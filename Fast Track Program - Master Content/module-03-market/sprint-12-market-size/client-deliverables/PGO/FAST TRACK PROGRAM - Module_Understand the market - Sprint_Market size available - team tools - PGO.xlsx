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codeName="ThisWorkbook" defaultThemeVersion="166925"/>
  <mc:AlternateContent xmlns:mc="http://schemas.openxmlformats.org/markup-compatibility/2006">
    <mc:Choice Requires="x15">
      <x15ac:absPath xmlns:x15ac="http://schemas.microsoft.com/office/spreadsheetml/2010/11/ac" url="/Users/nikol/Downloads/"/>
    </mc:Choice>
  </mc:AlternateContent>
  <xr:revisionPtr revIDLastSave="1" documentId="13_ncr:1_{B04579FD-6144-544F-8E06-9C8BBDDC4D6B}" xr6:coauthVersionLast="47" xr6:coauthVersionMax="47" xr10:uidLastSave="{063703F6-9162-478E-9E89-A030B06DAC08}"/>
  <bookViews>
    <workbookView xWindow="8760" yWindow="1960" windowWidth="38860" windowHeight="24720" tabRatio="916" firstSheet="8" activeTab="8" xr2:uid="{89A8F9B4-2672-4D07-A6C2-4BC2621DAAF9}"/>
  </bookViews>
  <sheets>
    <sheet name="Market size" sheetId="1" r:id="rId1"/>
    <sheet name="Market Attractiveness" sheetId="4" state="hidden" r:id="rId2"/>
    <sheet name="Driving Forces brainstorm" sheetId="2" r:id="rId3"/>
    <sheet name="Driving Forces impact" sheetId="3" r:id="rId4"/>
    <sheet name="Segment brainstorm" sheetId="5" r:id="rId5"/>
    <sheet name="Segment quantification" sheetId="6" r:id="rId6"/>
    <sheet name="Segment ranking" sheetId="7" r:id="rId7"/>
    <sheet name="Segment summary" sheetId="8" r:id="rId8"/>
    <sheet name="Target setting" sheetId="9" r:id="rId9"/>
    <sheet name="Core segment needs" sheetId="10" state="hidden" r:id="rId10"/>
    <sheet name="Secondary segment needs" sheetId="11" state="hidden" r:id="rId11"/>
    <sheet name="Needs summary"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 r="I14" i="1" s="1"/>
  <c r="O8" i="6"/>
  <c r="J27" i="11"/>
  <c r="B27" i="11"/>
  <c r="C27" i="11" s="1"/>
  <c r="A27" i="11"/>
  <c r="J26" i="11"/>
  <c r="B26" i="11"/>
  <c r="C26" i="11" s="1"/>
  <c r="A26" i="11"/>
  <c r="J25" i="11"/>
  <c r="B25" i="11"/>
  <c r="C25" i="11" s="1"/>
  <c r="A25" i="11"/>
  <c r="J24" i="11"/>
  <c r="B24" i="11"/>
  <c r="C24" i="11" s="1"/>
  <c r="A24" i="11"/>
  <c r="J23" i="11"/>
  <c r="B23" i="11"/>
  <c r="C23" i="11" s="1"/>
  <c r="A23" i="11"/>
  <c r="J22" i="11"/>
  <c r="B22" i="11"/>
  <c r="C22" i="11" s="1"/>
  <c r="A22" i="11"/>
  <c r="J21" i="11"/>
  <c r="B21" i="11"/>
  <c r="C21" i="11" s="1"/>
  <c r="A21" i="11"/>
  <c r="J20" i="11"/>
  <c r="B20" i="11"/>
  <c r="C20" i="11" s="1"/>
  <c r="A20" i="11"/>
  <c r="J19" i="11"/>
  <c r="B19" i="11"/>
  <c r="C19" i="11" s="1"/>
  <c r="A19" i="11"/>
  <c r="J18" i="11"/>
  <c r="C18" i="11"/>
  <c r="B18" i="11"/>
  <c r="A18" i="11"/>
  <c r="J17" i="11"/>
  <c r="B17" i="11"/>
  <c r="C17" i="11" s="1"/>
  <c r="A17" i="11"/>
  <c r="J16" i="11"/>
  <c r="B16" i="11"/>
  <c r="C16" i="11" s="1"/>
  <c r="A16" i="11"/>
  <c r="J15" i="11"/>
  <c r="B15" i="11"/>
  <c r="C15" i="11" s="1"/>
  <c r="A15" i="11"/>
  <c r="J14" i="11"/>
  <c r="B14" i="11"/>
  <c r="C14" i="11" s="1"/>
  <c r="A14" i="11"/>
  <c r="J13" i="11"/>
  <c r="C13" i="11"/>
  <c r="B13" i="11"/>
  <c r="A13" i="11"/>
  <c r="J12" i="11"/>
  <c r="B12" i="11"/>
  <c r="C12" i="11" s="1"/>
  <c r="A12" i="11"/>
  <c r="J11" i="11"/>
  <c r="B11" i="11"/>
  <c r="C11" i="11" s="1"/>
  <c r="A11" i="11"/>
  <c r="J10" i="11"/>
  <c r="B10" i="11"/>
  <c r="C10" i="11" s="1"/>
  <c r="A10" i="11"/>
  <c r="J9" i="11"/>
  <c r="B9" i="11"/>
  <c r="C9" i="11" s="1"/>
  <c r="A9" i="11"/>
  <c r="M19" i="11" l="1"/>
  <c r="M14" i="11"/>
  <c r="M9" i="11"/>
  <c r="M11" i="11"/>
  <c r="M17" i="11"/>
  <c r="M15" i="11"/>
  <c r="M10" i="11"/>
  <c r="M18" i="11"/>
  <c r="M13" i="11"/>
  <c r="M16" i="11"/>
  <c r="J27" i="10"/>
  <c r="B27" i="10"/>
  <c r="C27" i="10" s="1"/>
  <c r="A27" i="10"/>
  <c r="J26" i="10"/>
  <c r="B26" i="10"/>
  <c r="C26" i="10" s="1"/>
  <c r="A26" i="10"/>
  <c r="J25" i="10"/>
  <c r="B25" i="10"/>
  <c r="C25" i="10" s="1"/>
  <c r="A25" i="10"/>
  <c r="J24" i="10"/>
  <c r="B24" i="10"/>
  <c r="C24" i="10" s="1"/>
  <c r="A24" i="10"/>
  <c r="J23" i="10"/>
  <c r="B23" i="10"/>
  <c r="C23" i="10" s="1"/>
  <c r="A23" i="10"/>
  <c r="J22" i="10"/>
  <c r="B22" i="10"/>
  <c r="C22" i="10" s="1"/>
  <c r="A22" i="10"/>
  <c r="J21" i="10"/>
  <c r="C21" i="10"/>
  <c r="B21" i="10"/>
  <c r="A21" i="10"/>
  <c r="J20" i="10"/>
  <c r="B20" i="10"/>
  <c r="C20" i="10" s="1"/>
  <c r="A20" i="10"/>
  <c r="J19" i="10"/>
  <c r="B19" i="10"/>
  <c r="C19" i="10" s="1"/>
  <c r="A19" i="10"/>
  <c r="J18" i="10"/>
  <c r="B18" i="10"/>
  <c r="C18" i="10" s="1"/>
  <c r="A18" i="10"/>
  <c r="J17" i="10"/>
  <c r="B17" i="10"/>
  <c r="C17" i="10" s="1"/>
  <c r="A17" i="10"/>
  <c r="J16" i="10"/>
  <c r="B16" i="10"/>
  <c r="C16" i="10" s="1"/>
  <c r="A16" i="10"/>
  <c r="J15" i="10"/>
  <c r="B15" i="10"/>
  <c r="C15" i="10" s="1"/>
  <c r="A15" i="10"/>
  <c r="J14" i="10"/>
  <c r="B14" i="10"/>
  <c r="C14" i="10" s="1"/>
  <c r="A14" i="10"/>
  <c r="J13" i="10"/>
  <c r="B13" i="10"/>
  <c r="C13" i="10" s="1"/>
  <c r="A13" i="10"/>
  <c r="J12" i="10"/>
  <c r="B12" i="10"/>
  <c r="C12" i="10" s="1"/>
  <c r="A12" i="10"/>
  <c r="J11" i="10"/>
  <c r="C11" i="10"/>
  <c r="B11" i="10"/>
  <c r="A11" i="10"/>
  <c r="J10" i="10"/>
  <c r="B10" i="10"/>
  <c r="C10" i="10" s="1"/>
  <c r="A10" i="10"/>
  <c r="J9" i="10"/>
  <c r="B9" i="10"/>
  <c r="C9" i="10" s="1"/>
  <c r="A9" i="10"/>
  <c r="F11" i="8"/>
  <c r="F7" i="8"/>
  <c r="F13" i="8"/>
  <c r="F5" i="8"/>
  <c r="O20" i="7"/>
  <c r="N20" i="7"/>
  <c r="M20" i="7"/>
  <c r="L20" i="7"/>
  <c r="K20" i="7"/>
  <c r="J20" i="7"/>
  <c r="I20" i="7"/>
  <c r="H20" i="7"/>
  <c r="E19" i="7"/>
  <c r="N7" i="6"/>
  <c r="M7" i="6"/>
  <c r="N14" i="7" s="1"/>
  <c r="L7" i="6"/>
  <c r="L14" i="6" s="1"/>
  <c r="K7" i="6"/>
  <c r="K14" i="6" s="1"/>
  <c r="J7" i="6"/>
  <c r="J14" i="6" s="1"/>
  <c r="I7" i="6"/>
  <c r="J14" i="7" s="1"/>
  <c r="H7" i="6"/>
  <c r="H14" i="6" s="1"/>
  <c r="G7" i="6"/>
  <c r="O10" i="6"/>
  <c r="O9" i="6"/>
  <c r="M14" i="6"/>
  <c r="H7" i="5" a="1"/>
  <c r="H7" i="5" s="1"/>
  <c r="O9" i="4"/>
  <c r="H13" i="3"/>
  <c r="H15" i="3" s="1"/>
  <c r="Q9" i="3"/>
  <c r="Q8" i="3"/>
  <c r="Q7" i="3"/>
  <c r="Q6" i="3"/>
  <c r="G14" i="6" l="1"/>
  <c r="H14" i="7"/>
  <c r="N14" i="6"/>
  <c r="O14" i="7"/>
  <c r="M14" i="7"/>
  <c r="I14" i="6"/>
  <c r="L14" i="7"/>
  <c r="K14" i="7"/>
  <c r="I14" i="7"/>
  <c r="F19" i="8"/>
  <c r="N15" i="6"/>
  <c r="M15" i="6"/>
  <c r="L15" i="6"/>
  <c r="K15" i="6"/>
  <c r="J15" i="6"/>
  <c r="I15" i="6"/>
  <c r="H15" i="6"/>
  <c r="G15" i="6"/>
  <c r="F15" i="8"/>
  <c r="H16" i="6"/>
  <c r="I16" i="6"/>
  <c r="J16" i="6"/>
  <c r="K16" i="6"/>
  <c r="L16" i="6"/>
  <c r="M16" i="6"/>
  <c r="N16" i="6"/>
  <c r="G16" i="6"/>
  <c r="M19" i="10"/>
  <c r="M14" i="10"/>
  <c r="M9" i="10"/>
  <c r="M17" i="10"/>
  <c r="M15" i="10"/>
  <c r="M10" i="10"/>
  <c r="M18" i="10"/>
  <c r="M13" i="10"/>
  <c r="M16" i="10"/>
  <c r="M11" i="10"/>
  <c r="H22" i="7"/>
  <c r="O22" i="7"/>
  <c r="I22" i="7"/>
  <c r="J22" i="7"/>
  <c r="K22" i="7"/>
  <c r="L22" i="7"/>
  <c r="M22" i="7"/>
  <c r="N22" i="7"/>
  <c r="J21" i="7"/>
  <c r="H21" i="7"/>
  <c r="H23" i="7" s="1"/>
  <c r="I21" i="7"/>
  <c r="K21" i="7"/>
  <c r="L21" i="7"/>
  <c r="M21" i="7"/>
  <c r="N21" i="7"/>
  <c r="O21" i="7"/>
  <c r="H11" i="3"/>
  <c r="H8" i="5" a="1"/>
  <c r="H8" i="5" s="1"/>
  <c r="P9" i="4"/>
  <c r="I9" i="4"/>
  <c r="J9" i="4"/>
  <c r="K9" i="4"/>
  <c r="Q9" i="4"/>
  <c r="L9" i="4"/>
  <c r="H9" i="4"/>
  <c r="M9" i="4"/>
  <c r="N9" i="4"/>
  <c r="M23" i="7" l="1"/>
  <c r="K23" i="7"/>
  <c r="I23" i="7"/>
  <c r="J23" i="7"/>
  <c r="F17" i="8"/>
  <c r="H17" i="6"/>
  <c r="I17" i="6"/>
  <c r="J17" i="6"/>
  <c r="K17" i="6"/>
  <c r="L17" i="6"/>
  <c r="M17" i="6"/>
  <c r="N17" i="6"/>
  <c r="G17" i="6"/>
  <c r="O23" i="7"/>
  <c r="L23" i="7"/>
  <c r="N23" i="7"/>
  <c r="H9" i="5" a="1"/>
  <c r="H9" i="5" s="1"/>
  <c r="R9" i="4"/>
  <c r="O10" i="4" s="1"/>
  <c r="O11" i="4" s="1"/>
  <c r="P14" i="4"/>
  <c r="H14" i="4"/>
  <c r="O14" i="4"/>
  <c r="N14" i="4"/>
  <c r="K14" i="4"/>
  <c r="M14" i="4"/>
  <c r="J14" i="4"/>
  <c r="L14" i="4"/>
  <c r="Q14" i="4"/>
  <c r="I14" i="4"/>
  <c r="F31" i="8" l="1"/>
  <c r="N6" i="9"/>
  <c r="F37" i="8"/>
  <c r="N10" i="9" s="1"/>
  <c r="F33" i="8"/>
  <c r="F23" i="8"/>
  <c r="F35" i="8"/>
  <c r="H10" i="5" a="1"/>
  <c r="H10" i="5" s="1"/>
  <c r="H11" i="5" s="1" a="1"/>
  <c r="H11" i="5" s="1"/>
  <c r="K10" i="4"/>
  <c r="K11" i="4" s="1"/>
  <c r="P10" i="4"/>
  <c r="P11" i="4" s="1"/>
  <c r="N10" i="4"/>
  <c r="N11" i="4" s="1"/>
  <c r="M10" i="4"/>
  <c r="M11" i="4" s="1"/>
  <c r="Q10" i="4"/>
  <c r="Q11" i="4" s="1"/>
  <c r="L10" i="4"/>
  <c r="L11" i="4" s="1"/>
  <c r="R14" i="4"/>
  <c r="M15" i="4" s="1"/>
  <c r="M16" i="4" s="1"/>
  <c r="M20" i="4" s="1"/>
  <c r="J10" i="4"/>
  <c r="J11" i="4" s="1"/>
  <c r="I10" i="4"/>
  <c r="I11" i="4" s="1"/>
  <c r="H10" i="4"/>
  <c r="H11" i="4" s="1"/>
  <c r="N8" i="9" l="1"/>
  <c r="N11" i="9" s="1"/>
  <c r="I6" i="9"/>
  <c r="F25" i="8"/>
  <c r="I8" i="9" s="1"/>
  <c r="F29" i="8"/>
  <c r="F27" i="8"/>
  <c r="I9" i="9" s="1"/>
  <c r="N9" i="9"/>
  <c r="H12" i="5" a="1"/>
  <c r="H12" i="5" s="1"/>
  <c r="H15" i="4"/>
  <c r="H16" i="4" s="1"/>
  <c r="H20" i="4" s="1"/>
  <c r="Q15" i="4"/>
  <c r="Q16" i="4" s="1"/>
  <c r="Q20" i="4" s="1"/>
  <c r="I15" i="4"/>
  <c r="I16" i="4" s="1"/>
  <c r="I20" i="4" s="1"/>
  <c r="O15" i="4"/>
  <c r="O16" i="4" s="1"/>
  <c r="O20" i="4" s="1"/>
  <c r="L15" i="4"/>
  <c r="L16" i="4" s="1"/>
  <c r="L20" i="4" s="1"/>
  <c r="N15" i="4"/>
  <c r="N16" i="4" s="1"/>
  <c r="N20" i="4" s="1"/>
  <c r="J15" i="4"/>
  <c r="J16" i="4" s="1"/>
  <c r="J20" i="4" s="1"/>
  <c r="P15" i="4"/>
  <c r="P16" i="4" s="1"/>
  <c r="P20" i="4" s="1"/>
  <c r="K15" i="4"/>
  <c r="K16" i="4" s="1"/>
  <c r="K20" i="4" s="1"/>
  <c r="I10" i="9" l="1"/>
  <c r="F45" i="8"/>
  <c r="F43" i="8"/>
  <c r="L25" i="9"/>
  <c r="F57" i="8" s="1"/>
  <c r="I11" i="9"/>
  <c r="L19" i="9"/>
  <c r="F51" i="8" s="1"/>
  <c r="F41" i="8"/>
  <c r="L21" i="9"/>
  <c r="L27" i="9"/>
  <c r="F59" i="8" s="1"/>
  <c r="H13" i="5" a="1"/>
  <c r="H13" i="5" s="1"/>
  <c r="I19" i="9" l="1"/>
  <c r="I21" i="9"/>
  <c r="F53" i="8"/>
  <c r="H14" i="5" a="1"/>
  <c r="H14" i="5" s="1"/>
  <c r="H15" i="5" l="1" a="1"/>
  <c r="H15" i="5" s="1"/>
  <c r="H16" i="5" s="1" a="1"/>
  <c r="H16" i="5" s="1"/>
  <c r="H17" i="5" s="1" a="1"/>
  <c r="H17" i="5" s="1"/>
  <c r="H18" i="5" s="1" a="1"/>
  <c r="H18" i="5" s="1"/>
  <c r="H19" i="5" s="1" a="1"/>
  <c r="H19" i="5" s="1"/>
  <c r="H20" i="5" s="1" a="1"/>
  <c r="H20" i="5" s="1"/>
  <c r="H21" i="5" s="1" a="1"/>
  <c r="H21" i="5" s="1"/>
  <c r="H22" i="5" s="1" a="1"/>
  <c r="H22" i="5" s="1"/>
  <c r="H23" i="5" s="1" a="1"/>
  <c r="H23" i="5" s="1"/>
  <c r="H24" i="5" s="1" a="1"/>
  <c r="H24" i="5" s="1"/>
  <c r="H25" i="5" s="1" a="1"/>
  <c r="H25" i="5" s="1"/>
  <c r="F15" i="3" l="1"/>
  <c r="F13" i="3"/>
  <c r="F11" i="3"/>
  <c r="Q13" i="3"/>
  <c r="K25" i="2"/>
  <c r="B25" i="2"/>
  <c r="C25" i="2" s="1"/>
  <c r="A25" i="2"/>
  <c r="K24" i="2"/>
  <c r="B24" i="2"/>
  <c r="C24" i="2" s="1"/>
  <c r="A24" i="2"/>
  <c r="K23" i="2"/>
  <c r="B23" i="2"/>
  <c r="C23" i="2" s="1"/>
  <c r="A23" i="2"/>
  <c r="K22" i="2"/>
  <c r="K21" i="2"/>
  <c r="K20" i="2"/>
  <c r="K19" i="2"/>
  <c r="A19" i="2" s="1"/>
  <c r="K18" i="2"/>
  <c r="K17" i="2"/>
  <c r="K16" i="2"/>
  <c r="K15" i="2"/>
  <c r="K14" i="2"/>
  <c r="K13" i="2"/>
  <c r="K12" i="2"/>
  <c r="K11" i="2"/>
  <c r="K10" i="2"/>
  <c r="K9" i="2"/>
  <c r="K8" i="2"/>
  <c r="K7" i="2"/>
  <c r="G14" i="1"/>
  <c r="F9" i="8"/>
  <c r="G12" i="1"/>
  <c r="A12" i="2" l="1"/>
  <c r="A11" i="2"/>
  <c r="Q15" i="3"/>
  <c r="B8" i="2"/>
  <c r="B10" i="2"/>
  <c r="A15" i="2"/>
  <c r="A17" i="2"/>
  <c r="A9" i="2"/>
  <c r="B12" i="2"/>
  <c r="C12" i="2" s="1"/>
  <c r="B18" i="2"/>
  <c r="B13" i="2"/>
  <c r="A14" i="2"/>
  <c r="B20" i="2"/>
  <c r="B19" i="2"/>
  <c r="C19" i="2" s="1"/>
  <c r="B21" i="2"/>
  <c r="B16" i="2"/>
  <c r="B22" i="2"/>
  <c r="A10" i="2"/>
  <c r="A8" i="2"/>
  <c r="B15" i="2"/>
  <c r="C15" i="2" s="1"/>
  <c r="B7" i="2"/>
  <c r="B9" i="2"/>
  <c r="B14" i="2"/>
  <c r="B11" i="2"/>
  <c r="A16" i="2"/>
  <c r="A18" i="2"/>
  <c r="A20" i="2"/>
  <c r="A22" i="2"/>
  <c r="A13" i="2"/>
  <c r="A21" i="2"/>
  <c r="A7" i="2"/>
  <c r="B17" i="2"/>
  <c r="C17" i="2" s="1"/>
  <c r="C18" i="2" l="1"/>
  <c r="C11" i="2"/>
  <c r="C10" i="2"/>
  <c r="C20" i="2"/>
  <c r="C16" i="2"/>
  <c r="C21" i="2"/>
  <c r="C22" i="2"/>
  <c r="C8" i="2"/>
  <c r="C9" i="2"/>
  <c r="C13" i="2"/>
  <c r="C7" i="2"/>
  <c r="C14" i="2"/>
  <c r="N10" i="2" l="1"/>
  <c r="K5" i="3" s="1"/>
  <c r="N14" i="2"/>
  <c r="O5" i="3" s="1"/>
  <c r="N11" i="2"/>
  <c r="L5" i="3" s="1"/>
  <c r="N15" i="2"/>
  <c r="P5" i="3" s="1"/>
  <c r="N12" i="2"/>
  <c r="M5" i="3" s="1"/>
  <c r="N13" i="2"/>
  <c r="N5" i="3" s="1"/>
  <c r="N7" i="2"/>
  <c r="J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<sst xmlns="http://schemas.openxmlformats.org/spreadsheetml/2006/main" count="272" uniqueCount="158">
  <si>
    <t>MARKET SIZE AND PROFIT POOL ANALYSIS</t>
  </si>
  <si>
    <t>MARKET SIZE AVAILABLE</t>
  </si>
  <si>
    <r>
      <rPr>
        <b/>
        <sz val="16"/>
        <color rgb="FF000000"/>
        <rFont val="Calibri"/>
        <family val="2"/>
      </rPr>
      <t xml:space="preserve">WHY
</t>
    </r>
    <r>
      <rPr>
        <sz val="10"/>
        <color rgb="FF000000"/>
        <rFont val="Calibri"/>
        <family val="2"/>
      </rPr>
      <t xml:space="preserve">Setting targets precedes strategy formulation. Market size and profitability are the only viable context within which the business can set targets and develop strategies.
</t>
    </r>
    <r>
      <rPr>
        <b/>
        <sz val="16"/>
        <color rgb="FF000000"/>
        <rFont val="Calibri"/>
        <family val="2"/>
      </rPr>
      <t xml:space="preserve">WHAT
</t>
    </r>
    <r>
      <rPr>
        <sz val="10"/>
        <color rgb="FF000000"/>
        <rFont val="Calibri"/>
        <family val="2"/>
      </rPr>
      <t xml:space="preserve">Determine the size of the market in terms of total size and total profit pool.
</t>
    </r>
    <r>
      <rPr>
        <b/>
        <sz val="16"/>
        <color rgb="FF000000"/>
        <rFont val="Calibri"/>
        <family val="2"/>
      </rPr>
      <t xml:space="preserve">HOW
</t>
    </r>
    <r>
      <rPr>
        <sz val="10"/>
        <color rgb="FF000000"/>
        <rFont val="Calibri"/>
        <family val="2"/>
      </rPr>
      <t>1. Define the number of customers who are potential buyers for your product and service.
2. Determine how many products or services they buy per year.
3. Determine the average price they pay per product/ service.
4. The multiplication of the above 3 variables will give you the size of the market.
5. Multiply by your average gross margin %.
6. This will provide you with the overall profit pool in the market.</t>
    </r>
  </si>
  <si>
    <t>Total Number of Customers</t>
  </si>
  <si>
    <t>Average Spending per Customer</t>
  </si>
  <si>
    <t>Average Number of Purchases per Year</t>
  </si>
  <si>
    <t>Gross Profit Margin (%)</t>
  </si>
  <si>
    <t>Market Size</t>
  </si>
  <si>
    <t xml:space="preserve"> </t>
  </si>
  <si>
    <t>Profit Pool</t>
  </si>
  <si>
    <t>Next</t>
  </si>
  <si>
    <t>Driving Forces Brainstorm</t>
  </si>
  <si>
    <t>Optional tool in case you seek geographical expansion</t>
  </si>
  <si>
    <t>MARKET ATTRACTIVENESS INDEX</t>
  </si>
  <si>
    <t>Averaged numbers from base country</t>
  </si>
  <si>
    <t>Country 1</t>
  </si>
  <si>
    <t>Country 2</t>
  </si>
  <si>
    <t>Country 3</t>
  </si>
  <si>
    <t>Country 4</t>
  </si>
  <si>
    <t>Country 5</t>
  </si>
  <si>
    <t>Country 6</t>
  </si>
  <si>
    <t>Country 7</t>
  </si>
  <si>
    <t>Country 8</t>
  </si>
  <si>
    <t>Country 9</t>
  </si>
  <si>
    <t>Country 10</t>
  </si>
  <si>
    <t>The model provides a combination of the market reality and your own assessment of the strategic relevance of the country. It is a good starting point to evaluate alternative directions for expansion</t>
  </si>
  <si>
    <t>Sales per person - USD</t>
  </si>
  <si>
    <t>population "000</t>
  </si>
  <si>
    <t xml:space="preserve">profit per person USD </t>
  </si>
  <si>
    <t>market size adjustment</t>
  </si>
  <si>
    <t>Do calculations for one BASE country - sales per person and profit per person - E6 and E7</t>
  </si>
  <si>
    <t>Size and profitability adjustment</t>
  </si>
  <si>
    <t>Market size '000</t>
  </si>
  <si>
    <t>Choose the counties for which you want to perform the analyses and input population in row 6</t>
  </si>
  <si>
    <t>average adjustment</t>
  </si>
  <si>
    <t>Much better compared to base</t>
  </si>
  <si>
    <t>market size index (-3 to +3)</t>
  </si>
  <si>
    <t>Adjust the market size per country in row 8 in accordance with the scoring mechanism</t>
  </si>
  <si>
    <t>better than base</t>
  </si>
  <si>
    <t>Adjust the profit pool per country  in row 13  per country according to the scoring adjustment</t>
  </si>
  <si>
    <t>same</t>
  </si>
  <si>
    <t>Profit pool adjustment</t>
  </si>
  <si>
    <t>Determine the country attractiveness index (-3 - +3) in row 18</t>
  </si>
  <si>
    <t>worse than base</t>
  </si>
  <si>
    <t>Profit pool '000</t>
  </si>
  <si>
    <t>row 19 automatically calculates the country attractiveness index</t>
  </si>
  <si>
    <t>much worse than base</t>
  </si>
  <si>
    <t>profit  size index (-3 to +3)</t>
  </si>
  <si>
    <t>Final score is automatically calculated in row 20</t>
  </si>
  <si>
    <t>Country attractiveness adjustment</t>
  </si>
  <si>
    <t>country attractiveness</t>
  </si>
  <si>
    <t>Please only work on the BLUE cells</t>
  </si>
  <si>
    <t>very attractive</t>
  </si>
  <si>
    <t>attractive</t>
  </si>
  <si>
    <t>Overall attractiveness index</t>
  </si>
  <si>
    <t>neutral</t>
  </si>
  <si>
    <t>not attractive</t>
  </si>
  <si>
    <t>very unattractive</t>
  </si>
  <si>
    <t>DRIVING FORCES ANALYSIS</t>
  </si>
  <si>
    <t>DRIVING FORCES BRAINSTORM</t>
  </si>
  <si>
    <t>TOP DIRIVING FORCES</t>
  </si>
  <si>
    <t>Rank</t>
  </si>
  <si>
    <r>
      <rPr>
        <b/>
        <sz val="16"/>
        <color theme="1"/>
        <rFont val="Calibri"/>
        <family val="2"/>
        <scheme val="minor"/>
      </rPr>
      <t>WHY</t>
    </r>
    <r>
      <rPr>
        <sz val="10"/>
        <color theme="1"/>
        <rFont val="Calibri"/>
        <family val="2"/>
        <scheme val="minor"/>
      </rPr>
      <t xml:space="preserve">
So the ability to predict the future is the ability to understand the driving forces. This tool will help you determine what are the forces in the environment that are going to have an impact on these numbers over the next three, four years.
</t>
    </r>
    <r>
      <rPr>
        <b/>
        <sz val="16"/>
        <color theme="1"/>
        <rFont val="Calibri"/>
        <family val="2"/>
        <scheme val="minor"/>
      </rPr>
      <t>WHAT</t>
    </r>
    <r>
      <rPr>
        <sz val="10"/>
        <color theme="1"/>
        <rFont val="Calibri"/>
        <family val="2"/>
        <scheme val="minor"/>
      </rPr>
      <t xml:space="preserve">
Identify and describe the main driving forces today that will determine the changes in your industry in the next 3 years.
</t>
    </r>
    <r>
      <rPr>
        <b/>
        <sz val="16"/>
        <color theme="1"/>
        <rFont val="Calibri"/>
        <family val="2"/>
        <scheme val="minor"/>
      </rPr>
      <t>HOW</t>
    </r>
    <r>
      <rPr>
        <sz val="10"/>
        <color theme="1"/>
        <rFont val="Calibri"/>
        <family val="2"/>
        <scheme val="minor"/>
      </rPr>
      <t xml:space="preserve">
1. Create a list of the driving forces that are visible today.
2. Evaluate their potential impact on the industry
    • 1 - very low impact
    • 5 - very high impact
3. Evaluate the probability of occurence
    • 1 - very low probability
    • 5 - very high probability
</t>
    </r>
    <r>
      <rPr>
        <b/>
        <sz val="16"/>
        <color theme="1"/>
        <rFont val="Calibri"/>
        <family val="2"/>
        <scheme val="minor"/>
      </rPr>
      <t>MISTAKES TO AVOID</t>
    </r>
    <r>
      <rPr>
        <sz val="10"/>
        <color theme="1"/>
        <rFont val="Calibri"/>
        <family val="2"/>
        <scheme val="minor"/>
      </rPr>
      <t xml:space="preserve">
1. Not having the top 3-5 driving forces with biggest impact.
2. Not understanding their impact on the industry.
3. Not eliminating the blind spots that hide some driving forces.
4. Not underestimate the speed and impact of technology.
5. Not interpret correctly the impact on consumer’s behaviour.</t>
    </r>
  </si>
  <si>
    <t>List Driving Forces</t>
  </si>
  <si>
    <r>
      <t xml:space="preserve">Impact
</t>
    </r>
    <r>
      <rPr>
        <b/>
        <sz val="14"/>
        <color rgb="FF000000"/>
        <rFont val="Calibri"/>
        <family val="2"/>
        <scheme val="minor"/>
      </rPr>
      <t>(1-5)</t>
    </r>
  </si>
  <si>
    <r>
      <t xml:space="preserve">Probability
</t>
    </r>
    <r>
      <rPr>
        <b/>
        <sz val="14"/>
        <color rgb="FF000000"/>
        <rFont val="Calibri"/>
        <family val="2"/>
        <scheme val="minor"/>
      </rPr>
      <t>(1-5)</t>
    </r>
  </si>
  <si>
    <t>Score</t>
  </si>
  <si>
    <t>Top 10 Driving Forces</t>
  </si>
  <si>
    <t>Back</t>
  </si>
  <si>
    <t>Driving Forces Impact</t>
  </si>
  <si>
    <t>DRIVIGN FORCES IMPACT ANALYSIS</t>
  </si>
  <si>
    <t>DRIVING FORCES IMPACT</t>
  </si>
  <si>
    <r>
      <rPr>
        <b/>
        <sz val="10"/>
        <color rgb="FF000000"/>
        <rFont val="Calibri"/>
        <family val="2"/>
      </rPr>
      <t xml:space="preserve">WHY
</t>
    </r>
    <r>
      <rPr>
        <sz val="10"/>
        <color rgb="FF000000"/>
        <rFont val="Calibri"/>
        <family val="2"/>
      </rPr>
      <t xml:space="preserve">We are creating a strategy not for today, but for the next 3 years
</t>
    </r>
    <r>
      <rPr>
        <b/>
        <sz val="10"/>
        <color rgb="FF000000"/>
        <rFont val="Calibri"/>
        <family val="2"/>
      </rPr>
      <t xml:space="preserve">WHAT
</t>
    </r>
    <r>
      <rPr>
        <sz val="10"/>
        <color rgb="FF000000"/>
        <rFont val="Calibri"/>
        <family val="2"/>
      </rPr>
      <t xml:space="preserve">Understand how the market will change in the next years by estimating the effect of the driving forces on:
1. Number of clients
2. Their spending 
3. Their number of purchases
4. Your gross profit margin
</t>
    </r>
    <r>
      <rPr>
        <b/>
        <sz val="10"/>
        <color rgb="FF000000"/>
        <rFont val="Calibri"/>
        <family val="2"/>
      </rPr>
      <t xml:space="preserve">HOW
</t>
    </r>
    <r>
      <rPr>
        <sz val="10"/>
        <color rgb="FF000000"/>
        <rFont val="Calibri"/>
        <family val="2"/>
      </rPr>
      <t xml:space="preserve">Understand what could be the impact of driving forces on:
1. Insert by what % amount (positive or negative) each driving force will change the four pillars (e.g. average spending will increase by 10%)
</t>
    </r>
  </si>
  <si>
    <t>Customers</t>
  </si>
  <si>
    <t>Segment Brainstorm</t>
  </si>
  <si>
    <t>MARKET SEGMENTATION</t>
  </si>
  <si>
    <t>Segmentation</t>
  </si>
  <si>
    <t xml:space="preserve">Needs brainstorm list </t>
  </si>
  <si>
    <t>Customer need clusters</t>
  </si>
  <si>
    <t>Potential segments</t>
  </si>
  <si>
    <t>The Core Industry Segments</t>
  </si>
  <si>
    <r>
      <rPr>
        <b/>
        <sz val="16"/>
        <color rgb="FF000000"/>
        <rFont val="Calibri"/>
        <scheme val="minor"/>
      </rPr>
      <t xml:space="preserve">WHY
</t>
    </r>
    <r>
      <rPr>
        <sz val="10"/>
        <color rgb="FF000000"/>
        <rFont val="Calibri"/>
        <scheme val="minor"/>
      </rPr>
      <t xml:space="preserve">Segmenting the customers by similar behaviors and needs is a CRITICAL step in the strategic process. This step is critical for the strategy development process and selecting your core customer. </t>
    </r>
    <r>
      <rPr>
        <b/>
        <sz val="16"/>
        <color rgb="FF000000"/>
        <rFont val="Calibri"/>
        <scheme val="minor"/>
      </rPr>
      <t xml:space="preserve"> 
WHAT
</t>
    </r>
    <r>
      <rPr>
        <sz val="10"/>
        <color rgb="FF000000"/>
        <rFont val="Calibri"/>
        <scheme val="minor"/>
      </rPr>
      <t xml:space="preserve">Segmentation is a tool that helps us to select a core consumer for whom to create a clear,  focused, single-minded, and differentiated brand promise. 
</t>
    </r>
    <r>
      <rPr>
        <b/>
        <sz val="16"/>
        <color rgb="FF000000"/>
        <rFont val="Calibri"/>
        <scheme val="minor"/>
      </rPr>
      <t xml:space="preserve">HOW
</t>
    </r>
    <r>
      <rPr>
        <sz val="10"/>
        <color rgb="FF000000"/>
        <rFont val="Calibri"/>
        <scheme val="minor"/>
      </rPr>
      <t xml:space="preserve">1. Brainstorm different needs and behaviors of consumers of products and services in the industry.
2. In column E- try to identify clusters of customers according to shared needs and behaviors. 
3. In column F- further narrow down the clusters until you define the industry's top 5-7 segments. These consumer groups need to be mutually exclusive and collectively exhaustive.
</t>
    </r>
    <r>
      <rPr>
        <b/>
        <sz val="16"/>
        <color rgb="FF000000"/>
        <rFont val="Calibri"/>
        <scheme val="minor"/>
      </rPr>
      <t xml:space="preserve">MISTAKES TO AVOID
</t>
    </r>
    <r>
      <rPr>
        <sz val="10"/>
        <color rgb="FF000000"/>
        <rFont val="Calibri"/>
        <scheme val="minor"/>
      </rPr>
      <t xml:space="preserve">1. Thinking about the company's current customers - forget who you are and evaluate the segment groups in the entire industry.                                                                                                                          2. Ending up with market segments (buckets) that are not covering all possible segments -e.g., they are not exhaustive.
3. Ending up with market segments (buckets) overlapping among each other- e.g., they are not mutually exclusive.                                                                                                                              </t>
    </r>
  </si>
  <si>
    <t>Segment Quantification</t>
  </si>
  <si>
    <t>CUSTOMER SEGMENTS QUANTIFICATION</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</si>
  <si>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quantify the  segment. 
</t>
    </r>
    <r>
      <rPr>
        <b/>
        <sz val="16"/>
        <color theme="1"/>
        <rFont val="Calibri"/>
        <family val="2"/>
        <scheme val="minor"/>
      </rPr>
      <t>HOW</t>
    </r>
    <r>
      <rPr>
        <sz val="10"/>
        <color theme="1"/>
        <rFont val="Calibri"/>
        <family val="2"/>
        <scheme val="minor"/>
      </rPr>
      <t xml:space="preserve">
1. Calculate size and profitability of each segment as % of the market in 3 years
</t>
    </r>
    <r>
      <rPr>
        <b/>
        <sz val="10"/>
        <color theme="1"/>
        <rFont val="Calibri"/>
        <family val="2"/>
        <scheme val="minor"/>
      </rPr>
      <t xml:space="preserve">
</t>
    </r>
    <r>
      <rPr>
        <b/>
        <sz val="16"/>
        <color theme="1"/>
        <rFont val="Calibri"/>
        <family val="2"/>
        <scheme val="minor"/>
      </rPr>
      <t>MISTAKES TO AVOID</t>
    </r>
    <r>
      <rPr>
        <sz val="10"/>
        <color theme="1"/>
        <rFont val="Calibri"/>
        <family val="2"/>
        <scheme val="minor"/>
      </rPr>
      <t xml:space="preserve">
Looking for data accuracy of more than 70%.
Not having information for all segments.
Looking for too much information.
</t>
    </r>
  </si>
  <si>
    <t>Quantify the Segments</t>
  </si>
  <si>
    <t>Total Check</t>
  </si>
  <si>
    <t>% of All Customers</t>
  </si>
  <si>
    <t>% of Total Market Value</t>
  </si>
  <si>
    <t>% of Total Profit Size</t>
  </si>
  <si>
    <t>Segment Size</t>
  </si>
  <si>
    <t>Number of Customers</t>
  </si>
  <si>
    <t>Market size $$$</t>
  </si>
  <si>
    <t>Profit Pool $$$</t>
  </si>
  <si>
    <t>Segment Ranking</t>
  </si>
  <si>
    <t>CUSTOMER SEGMENTS RANKING</t>
  </si>
  <si>
    <r>
      <rPr>
        <b/>
        <sz val="16"/>
        <color theme="1"/>
        <rFont val="Calibri"/>
        <family val="2"/>
        <scheme val="minor"/>
      </rPr>
      <t>WHAT</t>
    </r>
    <r>
      <rPr>
        <sz val="10"/>
        <color theme="1"/>
        <rFont val="Calibri"/>
        <family val="2"/>
        <scheme val="minor"/>
      </rPr>
      <t xml:space="preserve">
The strategy development process is a combination between art and science and the ability to find a unique way to segment the market is the art part of strategy development.
</t>
    </r>
    <r>
      <rPr>
        <b/>
        <sz val="16"/>
        <color theme="1"/>
        <rFont val="Calibri"/>
        <family val="2"/>
        <scheme val="minor"/>
      </rPr>
      <t>WHY</t>
    </r>
    <r>
      <rPr>
        <sz val="10"/>
        <color theme="1"/>
        <rFont val="Calibri"/>
        <family val="2"/>
        <scheme val="minor"/>
      </rPr>
      <t xml:space="preserve">
A tool to help you choose you target segment. 
</t>
    </r>
    <r>
      <rPr>
        <b/>
        <sz val="16"/>
        <color theme="1"/>
        <rFont val="Calibri"/>
        <family val="2"/>
        <scheme val="minor"/>
      </rPr>
      <t>HOW</t>
    </r>
    <r>
      <rPr>
        <sz val="10"/>
        <color theme="1"/>
        <rFont val="Calibri"/>
        <family val="2"/>
        <scheme val="minor"/>
      </rPr>
      <t xml:space="preserve">
1. Define weight for each segment ranking factor (from 1 to 5). Feel free to add one more factor.
2. Rank each segment on all factors (from 1 to 5): Size; Profitability; Trend (Is it going up or down?); Fit (How close is each segment to the current activities [products and services] that we offer today?)
    • 1 - very low 
    • 5 - very high 
</t>
    </r>
    <r>
      <rPr>
        <b/>
        <sz val="16"/>
        <color theme="1"/>
        <rFont val="Calibri"/>
        <family val="2"/>
        <scheme val="minor"/>
      </rPr>
      <t>MISTAKES TO AVOID</t>
    </r>
    <r>
      <rPr>
        <sz val="10"/>
        <color theme="1"/>
        <rFont val="Calibri"/>
        <family val="2"/>
        <scheme val="minor"/>
      </rPr>
      <t xml:space="preserve">
Not saying NO to as many segments as possible.
Selected segments are not on a growth trajectory.
Focusing only on the segments you currently know.</t>
    </r>
  </si>
  <si>
    <t>Weight of each Pillar (1-5)</t>
  </si>
  <si>
    <t>Trend</t>
  </si>
  <si>
    <t>Fit with strategy</t>
  </si>
  <si>
    <t>Score of each Pillar per Segment (1-5)</t>
  </si>
  <si>
    <t>Segments</t>
  </si>
  <si>
    <t>Sumproduct?</t>
  </si>
  <si>
    <t>Repetative values?</t>
  </si>
  <si>
    <t>Descending ranking?</t>
  </si>
  <si>
    <t>Final ranking</t>
  </si>
  <si>
    <t xml:space="preserve">Next </t>
  </si>
  <si>
    <t>Segmentation Summary</t>
  </si>
  <si>
    <t>MARKET SUMMARY</t>
  </si>
  <si>
    <t>Market Summary</t>
  </si>
  <si>
    <t>Total Market</t>
  </si>
  <si>
    <t>REVIEW:</t>
  </si>
  <si>
    <t>Segment Summary</t>
  </si>
  <si>
    <t>Core Segment</t>
  </si>
  <si>
    <t>Secondary Segment</t>
  </si>
  <si>
    <t>Total Target Segment Market</t>
  </si>
  <si>
    <t>Target Setting</t>
  </si>
  <si>
    <t>Total Target Summary</t>
  </si>
  <si>
    <t>3-year Target</t>
  </si>
  <si>
    <t>Sales</t>
  </si>
  <si>
    <t>Profit</t>
  </si>
  <si>
    <t>1-year Target</t>
  </si>
  <si>
    <t>Next Step</t>
  </si>
  <si>
    <t>Segment Needs</t>
  </si>
  <si>
    <t>TARGET SETTING</t>
  </si>
  <si>
    <t>Core and Secondary Target</t>
  </si>
  <si>
    <r>
      <rPr>
        <b/>
        <sz val="16"/>
        <color rgb="FF000000"/>
        <rFont val="Calibri"/>
        <family val="2"/>
      </rPr>
      <t xml:space="preserve">WHAT
</t>
    </r>
    <r>
      <rPr>
        <sz val="10"/>
        <color rgb="FF000000"/>
        <rFont val="Calibri"/>
        <family val="2"/>
      </rPr>
      <t xml:space="preserve">Determine the 3-5 year goals of the company on the basis of MARKET share and PROFIT POOL share. Target setting is a personal exercise and cannot be dictated by tools, formulas or consultants.
</t>
    </r>
    <r>
      <rPr>
        <b/>
        <sz val="16"/>
        <color rgb="FF000000"/>
        <rFont val="Calibri"/>
        <family val="2"/>
      </rPr>
      <t xml:space="preserve">HOW
</t>
    </r>
    <r>
      <rPr>
        <sz val="10"/>
        <color rgb="FF000000"/>
        <rFont val="Calibri"/>
        <family val="2"/>
      </rPr>
      <t>1. Describe your CORE (and if applicable - also secondary) TARGET market.
2. Write down the size and profitability of your target segment in 3-5 years. 
3. Set target market share and PROFIT target of the target segment.
4. Combine steps 2 and 3 to determine the overall size of the target market and the profit pool</t>
    </r>
  </si>
  <si>
    <t>Target Segments</t>
  </si>
  <si>
    <t>Average annual spending</t>
  </si>
  <si>
    <t>Target Sales Share</t>
  </si>
  <si>
    <t>Target Profit Share</t>
  </si>
  <si>
    <r>
      <rPr>
        <b/>
        <sz val="16"/>
        <color theme="1"/>
        <rFont val="Calibri"/>
        <family val="2"/>
        <scheme val="minor"/>
      </rPr>
      <t>WHAT</t>
    </r>
    <r>
      <rPr>
        <sz val="10"/>
        <color theme="1"/>
        <rFont val="Calibri"/>
        <family val="2"/>
        <scheme val="minor"/>
      </rPr>
      <t xml:space="preserve">
Break down your 3 year goals into 1 year steps to make the achievement of the big goal easier.
</t>
    </r>
    <r>
      <rPr>
        <b/>
        <sz val="16"/>
        <color theme="1"/>
        <rFont val="Calibri"/>
        <family val="2"/>
        <scheme val="minor"/>
      </rPr>
      <t>WHY</t>
    </r>
    <r>
      <rPr>
        <sz val="10"/>
        <color theme="1"/>
        <rFont val="Calibri"/>
        <family val="2"/>
        <scheme val="minor"/>
      </rPr>
      <t xml:space="preserve">
A tool that helps you to define your 1 year goals
</t>
    </r>
    <r>
      <rPr>
        <b/>
        <sz val="16"/>
        <color theme="1"/>
        <rFont val="Calibri"/>
        <family val="2"/>
        <scheme val="minor"/>
      </rPr>
      <t>HOW</t>
    </r>
    <r>
      <rPr>
        <sz val="10"/>
        <color theme="1"/>
        <rFont val="Calibri"/>
        <family val="2"/>
        <scheme val="minor"/>
      </rPr>
      <t xml:space="preserve">
1. Write down your 3 year goals
2. Break down the 3-year market share and profit share targets by defining what you would like to achieve next year
3. Define another 5 1-year targets that are aligned with your 3-year plan
4.Put numbers for each target</t>
    </r>
  </si>
  <si>
    <t>3-year target</t>
  </si>
  <si>
    <t>Total Sales Share Target</t>
  </si>
  <si>
    <t>Total Profit Share Target</t>
  </si>
  <si>
    <t>1-year target</t>
  </si>
  <si>
    <t>[%]</t>
  </si>
  <si>
    <t>[Number]</t>
  </si>
  <si>
    <t>Sales Share</t>
  </si>
  <si>
    <t>Profit Share</t>
  </si>
  <si>
    <t>Additional Target [text]</t>
  </si>
  <si>
    <t>Additional Target [value]</t>
  </si>
  <si>
    <t>Core Segment Needs</t>
  </si>
  <si>
    <t>Core customer Needs</t>
  </si>
  <si>
    <t>CORE SEGMENT NAME:…</t>
  </si>
  <si>
    <t>Describe the Segment</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</si>
  <si>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</si>
  <si>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List Segment Needs</t>
  </si>
  <si>
    <r>
      <t xml:space="preserve">Importance
</t>
    </r>
    <r>
      <rPr>
        <b/>
        <sz val="14"/>
        <color theme="0"/>
        <rFont val="Calibri"/>
        <family val="2"/>
        <scheme val="minor"/>
      </rPr>
      <t>(1-5)</t>
    </r>
  </si>
  <si>
    <r>
      <t xml:space="preserve">Size???
</t>
    </r>
    <r>
      <rPr>
        <b/>
        <sz val="14"/>
        <color theme="0"/>
        <rFont val="Calibri"/>
        <family val="2"/>
        <scheme val="minor"/>
      </rPr>
      <t>(1-5)</t>
    </r>
  </si>
  <si>
    <t>Top Needs</t>
  </si>
  <si>
    <t>Secondary Segment Needs</t>
  </si>
  <si>
    <t>Customer Needs</t>
  </si>
  <si>
    <t>SECONDARY SEGMENT NAME:…</t>
  </si>
  <si>
    <r>
      <rPr>
        <b/>
        <sz val="16"/>
        <color theme="1"/>
        <rFont val="Calibri"/>
        <family val="2"/>
        <scheme val="minor"/>
      </rPr>
      <t>WHAT</t>
    </r>
    <r>
      <rPr>
        <sz val="10"/>
        <color theme="1"/>
        <rFont val="Calibri"/>
        <family val="2"/>
        <scheme val="minor"/>
      </rPr>
      <t xml:space="preserve">
Develop an intimate understanding of the pains and needs that drive the behavior of our TARGET customers so we make their behavior PREDICTABLE
</t>
    </r>
    <r>
      <rPr>
        <b/>
        <sz val="16"/>
        <color theme="1"/>
        <rFont val="Calibri"/>
        <family val="2"/>
        <scheme val="minor"/>
      </rPr>
      <t>WHY</t>
    </r>
    <r>
      <rPr>
        <sz val="10"/>
        <color theme="1"/>
        <rFont val="Calibri"/>
        <family val="2"/>
        <scheme val="minor"/>
      </rPr>
      <t xml:space="preserve">
The foundation of setting up a customer-focused value proposition is a good understanding of needs and pains and how they are prioritized in the mind to the consumer
</t>
    </r>
    <r>
      <rPr>
        <b/>
        <sz val="16"/>
        <color theme="1"/>
        <rFont val="Calibri"/>
        <family val="2"/>
        <scheme val="minor"/>
      </rPr>
      <t>HOW</t>
    </r>
    <r>
      <rPr>
        <sz val="10"/>
        <color theme="1"/>
        <rFont val="Calibri"/>
        <family val="2"/>
        <scheme val="minor"/>
      </rPr>
      <t xml:space="preserve">
</t>
    </r>
    <r>
      <rPr>
        <b/>
        <sz val="10"/>
        <color theme="1"/>
        <rFont val="Calibri"/>
        <family val="2"/>
        <scheme val="minor"/>
      </rPr>
      <t xml:space="preserve">1. Use the trigger questions at right to help you think of different potential customer needs:
</t>
    </r>
    <r>
      <rPr>
        <sz val="10"/>
        <color theme="1"/>
        <rFont val="Calibri"/>
        <family val="2"/>
        <scheme val="minor"/>
      </rPr>
      <t xml:space="preserve">a. What is the one thing that your customer couldn’t live without accomplishing?
b. What are the stepping stones that could help your customer achieve this key job?
c. What are the different contexts that your customers might be in? How do their activities and goals change depending on these different contexts?
d. What does your customer need to accomplish that involves interaction with others?
e. Are there problems that you think customers have that they may not even be aware of?
f. What emotional needs are your customers trying to satisfy?
g. What jobs, if completed, would give the user a sense of self-satisfaction?
h. How does your customer want to be perceived by others? What can your customer do to help themselves be perceived this way?
i. How does your customer want to feel? What does your customer need to do to feel this way?
j. Track your customer’s interaction with a product or service throughout its lifespan. What supporting jobs surface throughout this life cycle?
k. Does the user switch roles throughout this process?
</t>
    </r>
    <r>
      <rPr>
        <b/>
        <sz val="10"/>
        <color theme="1"/>
        <rFont val="Calibri"/>
        <family val="2"/>
        <scheme val="minor"/>
      </rPr>
      <t>2. Prioritize the needs according to how extreme they are in the customer’s eyes. Identify the top three needs of your core customer.</t>
    </r>
  </si>
  <si>
    <t>Segment Needs Summary</t>
  </si>
  <si>
    <t>Core and Secondary Segment Needs Summary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</si>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</sst>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_(* #,##0_);_(* \(#,##0\);_(* &quot;-&quot;??_);_(@_)"/>
    <numFmt numFmtId="167" formatCode="_(&quot;$&quot;* #,##0_);_(&quot;$&quot;* \(#,##0\);_(&quot;$&quot;* &quot;-&quot;??_);_(@_)"/>
    <numFmt numFmtId="168" formatCode="_([$$-409]* #,##0_);_([$$-409]* \(#,##0\);_([$$-409]* &quot;-&quot;??_);_(@_)"/>
    <numFmt numFmtId="169" formatCode="_(* #,##0.000000000_);_(* \(#,##0.000000000\);_(* &quot;-&quot;??_);_(@_)"/>
    <numFmt numFmtId="170" formatCode="_-[$$-409]* #,##0_ ;_-[$$-409]* \-#,##0\ ;_-[$$-409]* &quot;-&quot;??_ ;_-@_ "/>
    <numFmt numFmtId="171" formatCode="_([$€-2]\ * #,##0_);_([$€-2]\ * \(#,##0\);_([$€-2]\ * &quot;-&quot;??_);_(@_)"/>
    <numFmt numFmtId="172" formatCode="_([$€-2]\ * #,##0.00_);_([$€-2]\ * \(#,##0.00\);_([$€-2]\ * &quot;-&quot;??_);_(@_)"/>
  </numFmts>
  <fonts count="7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charset val="204"/>
      <scheme val="minor"/>
    </font>
    <font>
      <b/>
      <sz val="36"/>
      <color theme="0"/>
      <name val="Calibri"/>
      <family val="2"/>
      <scheme val="minor"/>
    </font>
    <font>
      <sz val="10"/>
      <color theme="1"/>
      <name val="Calibri"/>
      <family val="2"/>
      <scheme val="minor"/>
    </font>
    <font>
      <b/>
      <sz val="16"/>
      <color theme="1"/>
      <name val="Calibri"/>
      <family val="2"/>
      <scheme val="minor"/>
    </font>
    <font>
      <sz val="20"/>
      <color theme="1"/>
      <name val="Calibri"/>
      <family val="2"/>
      <charset val="204"/>
      <scheme val="minor"/>
    </font>
    <font>
      <sz val="24"/>
      <color theme="1"/>
      <name val="Calibri"/>
      <family val="2"/>
      <charset val="204"/>
      <scheme val="minor"/>
    </font>
    <font>
      <b/>
      <sz val="24"/>
      <color theme="1"/>
      <name val="Calibri"/>
      <family val="2"/>
      <scheme val="minor"/>
    </font>
    <font>
      <b/>
      <sz val="28"/>
      <color theme="1"/>
      <name val="Calibri"/>
      <family val="2"/>
      <scheme val="minor"/>
    </font>
    <font>
      <b/>
      <i/>
      <sz val="14"/>
      <color theme="0"/>
      <name val="Calibri"/>
      <family val="2"/>
      <scheme val="minor"/>
    </font>
    <font>
      <b/>
      <i/>
      <sz val="18"/>
      <color theme="1"/>
      <name val="Calibri"/>
      <family val="2"/>
      <scheme val="minor"/>
    </font>
    <font>
      <sz val="11"/>
      <name val="Calibri"/>
      <family val="2"/>
      <scheme val="minor"/>
    </font>
    <font>
      <b/>
      <sz val="20"/>
      <color theme="0"/>
      <name val="Calibri"/>
      <family val="2"/>
      <scheme val="minor"/>
    </font>
    <font>
      <b/>
      <sz val="14"/>
      <color theme="0"/>
      <name val="Calibri"/>
      <family val="2"/>
      <scheme val="minor"/>
    </font>
    <font>
      <sz val="16"/>
      <color theme="0"/>
      <name val="Calibri"/>
      <family val="2"/>
      <scheme val="minor"/>
    </font>
    <font>
      <b/>
      <sz val="22"/>
      <color theme="0"/>
      <name val="Calibri"/>
      <family val="2"/>
      <scheme val="minor"/>
    </font>
    <font>
      <sz val="20"/>
      <color theme="1"/>
      <name val="Calibri"/>
      <family val="2"/>
      <scheme val="minor"/>
    </font>
    <font>
      <b/>
      <sz val="22"/>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u/>
      <sz val="14"/>
      <color theme="1"/>
      <name val="Calibri"/>
      <family val="2"/>
      <scheme val="minor"/>
    </font>
    <font>
      <b/>
      <sz val="10"/>
      <color theme="1"/>
      <name val="Calibri"/>
      <family val="2"/>
      <scheme val="minor"/>
    </font>
    <font>
      <sz val="14"/>
      <color theme="1"/>
      <name val="Calibri"/>
      <family val="2"/>
      <charset val="204"/>
      <scheme val="minor"/>
    </font>
    <font>
      <sz val="16"/>
      <color theme="1"/>
      <name val="Calibri"/>
      <family val="2"/>
      <charset val="204"/>
      <scheme val="minor"/>
    </font>
    <font>
      <sz val="26"/>
      <color theme="0"/>
      <name val="Calibri"/>
      <family val="2"/>
      <charset val="204"/>
      <scheme val="minor"/>
    </font>
    <font>
      <i/>
      <sz val="10"/>
      <color theme="1"/>
      <name val="Calibri"/>
      <family val="2"/>
      <scheme val="minor"/>
    </font>
    <font>
      <b/>
      <sz val="12"/>
      <color theme="1"/>
      <name val="Calibri"/>
      <family val="2"/>
      <scheme val="minor"/>
    </font>
    <font>
      <sz val="16"/>
      <color theme="1"/>
      <name val="Calibri"/>
      <family val="2"/>
      <scheme val="minor"/>
    </font>
    <font>
      <b/>
      <sz val="16"/>
      <color theme="0"/>
      <name val="Calibri"/>
      <family val="2"/>
      <scheme val="minor"/>
    </font>
    <font>
      <sz val="12"/>
      <color theme="1"/>
      <name val="Calibri"/>
      <family val="2"/>
      <charset val="204"/>
      <scheme val="minor"/>
    </font>
    <font>
      <sz val="22"/>
      <color theme="1"/>
      <name val="Calibri"/>
      <family val="2"/>
      <charset val="204"/>
      <scheme val="minor"/>
    </font>
    <font>
      <i/>
      <sz val="20"/>
      <color theme="1"/>
      <name val="Calibri"/>
      <family val="2"/>
      <scheme val="minor"/>
    </font>
    <font>
      <sz val="11"/>
      <color theme="0"/>
      <name val="Calibri"/>
      <family val="2"/>
      <charset val="204"/>
      <scheme val="minor"/>
    </font>
    <font>
      <b/>
      <i/>
      <sz val="18"/>
      <name val="Calibri"/>
      <family val="2"/>
      <scheme val="minor"/>
    </font>
    <font>
      <b/>
      <sz val="24"/>
      <color theme="0"/>
      <name val="Calibri"/>
      <family val="2"/>
      <scheme val="minor"/>
    </font>
    <font>
      <sz val="24"/>
      <color theme="1"/>
      <name val="Calibri"/>
      <family val="2"/>
      <scheme val="minor"/>
    </font>
    <font>
      <sz val="22"/>
      <color theme="1"/>
      <name val="Calibri"/>
      <family val="2"/>
      <scheme val="minor"/>
    </font>
    <font>
      <b/>
      <i/>
      <sz val="16"/>
      <name val="Calibri"/>
      <family val="2"/>
      <scheme val="minor"/>
    </font>
    <font>
      <sz val="24"/>
      <name val="Calibri"/>
      <family val="2"/>
      <scheme val="minor"/>
    </font>
    <font>
      <sz val="18"/>
      <color theme="1"/>
      <name val="Calibri"/>
      <family val="2"/>
      <charset val="204"/>
      <scheme val="minor"/>
    </font>
    <font>
      <b/>
      <i/>
      <sz val="26"/>
      <name val="Calibri"/>
      <family val="2"/>
      <scheme val="minor"/>
    </font>
    <font>
      <b/>
      <i/>
      <sz val="14"/>
      <color theme="0" tint="-0.249977111117893"/>
      <name val="Calibri"/>
      <family val="2"/>
      <scheme val="minor"/>
    </font>
    <font>
      <b/>
      <i/>
      <sz val="18"/>
      <color theme="0" tint="-0.249977111117893"/>
      <name val="Calibri"/>
      <family val="2"/>
      <scheme val="minor"/>
    </font>
    <font>
      <b/>
      <sz val="26"/>
      <color theme="1"/>
      <name val="Calibri"/>
      <family val="2"/>
      <scheme val="minor"/>
    </font>
    <font>
      <sz val="11"/>
      <color rgb="FFFFFFFF"/>
      <name val="Calibri"/>
      <family val="2"/>
      <charset val="204"/>
      <scheme val="minor"/>
    </font>
    <font>
      <b/>
      <sz val="16"/>
      <color rgb="FF000000"/>
      <name val="Calibri"/>
      <family val="2"/>
    </font>
    <font>
      <sz val="10"/>
      <color rgb="FF000000"/>
      <name val="Calibri"/>
      <family val="2"/>
    </font>
    <font>
      <sz val="16"/>
      <color rgb="FF000000"/>
      <name val="Calibri"/>
      <family val="2"/>
    </font>
    <font>
      <i/>
      <sz val="20"/>
      <color rgb="FF000000"/>
      <name val="Calibri"/>
      <family val="2"/>
    </font>
    <font>
      <sz val="11"/>
      <color rgb="FF000000"/>
      <name val="Calibri"/>
      <family val="2"/>
      <charset val="204"/>
    </font>
    <font>
      <b/>
      <sz val="20"/>
      <color rgb="FF000000"/>
      <name val="Calibri"/>
      <family val="2"/>
      <scheme val="minor"/>
    </font>
    <font>
      <b/>
      <sz val="14"/>
      <color rgb="FF000000"/>
      <name val="Calibri"/>
      <family val="2"/>
      <scheme val="minor"/>
    </font>
    <font>
      <b/>
      <sz val="10"/>
      <color rgb="FF000000"/>
      <name val="Calibri"/>
      <family val="2"/>
    </font>
    <font>
      <sz val="18"/>
      <color rgb="FFFF0000"/>
      <name val="Calibri"/>
      <family val="2"/>
      <charset val="204"/>
    </font>
    <font>
      <i/>
      <sz val="16"/>
      <name val="Calibri"/>
      <family val="2"/>
      <scheme val="minor"/>
    </font>
    <font>
      <sz val="22"/>
      <color theme="1"/>
      <name val="Arial BLACK"/>
      <family val="2"/>
    </font>
    <font>
      <sz val="10"/>
      <name val="Calibri"/>
      <family val="2"/>
      <scheme val="minor"/>
    </font>
    <font>
      <sz val="10"/>
      <color theme="0"/>
      <name val="Arial black"/>
      <family val="2"/>
    </font>
    <font>
      <b/>
      <sz val="10"/>
      <color theme="0"/>
      <name val="Calibri"/>
      <family val="2"/>
      <scheme val="minor"/>
    </font>
    <font>
      <sz val="10"/>
      <color theme="1"/>
      <name val="Calibri"/>
      <family val="2"/>
      <charset val="204"/>
      <scheme val="minor"/>
    </font>
    <font>
      <sz val="14"/>
      <color theme="0"/>
      <name val="Arial black"/>
      <family val="2"/>
    </font>
    <font>
      <u/>
      <sz val="14"/>
      <color theme="0"/>
      <name val="Calibri"/>
      <family val="2"/>
      <scheme val="minor"/>
    </font>
    <font>
      <sz val="11"/>
      <color theme="0"/>
      <name val="Calibri"/>
      <family val="2"/>
      <scheme val="minor"/>
    </font>
    <font>
      <sz val="24"/>
      <color theme="1"/>
      <name val="Arial BLACK"/>
      <family val="2"/>
    </font>
    <font>
      <b/>
      <sz val="20"/>
      <color theme="0"/>
      <name val="Calibri"/>
      <family val="2"/>
    </font>
    <font>
      <b/>
      <sz val="16"/>
      <color rgb="FF000000"/>
      <name val="Calibri"/>
      <scheme val="minor"/>
    </font>
    <font>
      <sz val="10"/>
      <color rgb="FF000000"/>
      <name val="Calibri"/>
      <scheme val="minor"/>
    </font>
  </fonts>
  <fills count="20">
    <fill>
      <patternFill patternType="none"/>
    </fill>
    <fill>
      <patternFill patternType="gray125"/>
    </fill>
    <fill>
      <patternFill patternType="solid">
        <fgColor theme="1"/>
        <bgColor indexed="64"/>
      </patternFill>
    </fill>
    <fill>
      <gradientFill degree="90">
        <stop position="0">
          <color theme="0" tint="-5.0965910824915313E-2"/>
        </stop>
        <stop position="1">
          <color theme="0" tint="-0.1490218817712943"/>
        </stop>
      </gradientFill>
    </fill>
    <fill>
      <patternFill patternType="solid">
        <fgColor theme="8" tint="0.79998168889431442"/>
        <bgColor indexed="64"/>
      </patternFill>
    </fill>
    <fill>
      <patternFill patternType="solid">
        <fgColor rgb="FFFFF469"/>
        <bgColor indexed="64"/>
      </patternFill>
    </fill>
    <fill>
      <gradientFill degree="90">
        <stop position="0">
          <color rgb="FF00B050"/>
        </stop>
        <stop position="1">
          <color theme="9" tint="-0.25098422193060094"/>
        </stop>
      </gradientFill>
    </fill>
    <fill>
      <patternFill patternType="solid">
        <fgColor theme="0" tint="-0.499984740745262"/>
        <bgColor indexed="64"/>
      </patternFill>
    </fill>
    <fill>
      <patternFill patternType="solid">
        <fgColor rgb="FFFF3300"/>
        <bgColor indexed="64"/>
      </patternFill>
    </fill>
    <fill>
      <gradientFill degree="90">
        <stop position="0">
          <color theme="0" tint="-0.1490218817712943"/>
        </stop>
        <stop position="1">
          <color theme="0" tint="-0.34900967436750391"/>
        </stop>
      </gradient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gradientFill degree="90">
        <stop position="0">
          <color theme="0" tint="-0.1490218817712943"/>
        </stop>
        <stop position="1">
          <color theme="0" tint="-0.25098422193060094"/>
        </stop>
      </gradientFill>
    </fill>
    <fill>
      <patternFill patternType="solid">
        <fgColor rgb="FF000000"/>
        <bgColor indexed="64"/>
      </patternFill>
    </fill>
    <fill>
      <patternFill patternType="solid">
        <fgColor rgb="FFDDEBF7"/>
        <bgColor rgb="FF000000"/>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auto="1"/>
      </patternFill>
    </fill>
  </fills>
  <borders count="46">
    <border>
      <left/>
      <right/>
      <top/>
      <bottom/>
      <diagonal/>
    </border>
    <border>
      <left/>
      <right/>
      <top style="thin">
        <color theme="4"/>
      </top>
      <bottom style="double">
        <color theme="4"/>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style="medium">
        <color theme="0" tint="-0.14999847407452621"/>
      </left>
      <right style="medium">
        <color theme="0" tint="-0.14999847407452621"/>
      </right>
      <top style="medium">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style="thin">
        <color indexed="64"/>
      </bottom>
      <diagonal/>
    </border>
    <border>
      <left style="medium">
        <color indexed="64"/>
      </left>
      <right/>
      <top/>
      <bottom/>
      <diagonal/>
    </border>
    <border>
      <left style="medium">
        <color theme="0" tint="-0.14999847407452621"/>
      </left>
      <right style="medium">
        <color theme="0" tint="-0.14999847407452621"/>
      </right>
      <top style="medium">
        <color indexed="64"/>
      </top>
      <bottom style="thin">
        <color indexed="64"/>
      </bottom>
      <diagonal/>
    </border>
    <border>
      <left style="thin">
        <color theme="0"/>
      </left>
      <right style="thin">
        <color theme="0"/>
      </right>
      <top style="thin">
        <color theme="0"/>
      </top>
      <bottom style="thin">
        <color theme="0"/>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medium">
        <color theme="0" tint="-0.14999847407452621"/>
      </left>
      <right style="medium">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
      <left style="medium">
        <color theme="0" tint="-0.14999847407452621"/>
      </left>
      <right style="medium">
        <color theme="0" tint="-0.14999847407452621"/>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style="thin">
        <color theme="0"/>
      </right>
      <top/>
      <bottom style="thin">
        <color theme="0"/>
      </bottom>
      <diagonal/>
    </border>
    <border>
      <left/>
      <right/>
      <top/>
      <bottom style="thin">
        <color theme="2"/>
      </bottom>
      <diagonal/>
    </border>
    <border>
      <left/>
      <right/>
      <top style="thin">
        <color theme="2"/>
      </top>
      <bottom/>
      <diagonal/>
    </border>
    <border>
      <left style="thin">
        <color rgb="FF000000"/>
      </left>
      <right style="thin">
        <color rgb="FF000000"/>
      </right>
      <top style="thin">
        <color rgb="FF000000"/>
      </top>
      <bottom style="thin">
        <color rgb="FF000000"/>
      </bottom>
      <diagonal/>
    </border>
    <border>
      <left style="medium">
        <color theme="0" tint="-0.14999847407452621"/>
      </left>
      <right/>
      <top style="medium">
        <color theme="0" tint="-0.14999847407452621"/>
      </top>
      <bottom/>
      <diagonal/>
    </border>
    <border>
      <left style="medium">
        <color theme="0" tint="-0.14999847407452621"/>
      </left>
      <right/>
      <top style="medium">
        <color indexed="64"/>
      </top>
      <bottom style="thin">
        <color indexed="64"/>
      </bottom>
      <diagonal/>
    </border>
    <border>
      <left style="medium">
        <color theme="0" tint="-0.14999847407452621"/>
      </left>
      <right/>
      <top style="thin">
        <color indexed="64"/>
      </top>
      <bottom style="thin">
        <color indexed="64"/>
      </bottom>
      <diagonal/>
    </border>
    <border>
      <left style="medium">
        <color theme="0" tint="-0.14999847407452621"/>
      </left>
      <right/>
      <top/>
      <bottom style="thin">
        <color indexed="64"/>
      </bottom>
      <diagonal/>
    </border>
    <border>
      <left/>
      <right style="thin">
        <color indexed="64"/>
      </right>
      <top/>
      <bottom/>
      <diagonal/>
    </border>
    <border>
      <left/>
      <right/>
      <top/>
      <bottom style="thin">
        <color rgb="FF000000"/>
      </bottom>
      <diagonal/>
    </border>
    <border>
      <left/>
      <right style="thin">
        <color rgb="FF000000"/>
      </right>
      <top/>
      <bottom/>
      <diagonal/>
    </border>
  </borders>
  <cellStyleXfs count="9">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cellStyleXfs>
  <cellXfs count="291">
    <xf numFmtId="0" fontId="0" fillId="0" borderId="0" xfId="0"/>
    <xf numFmtId="0" fontId="4" fillId="0" borderId="0" xfId="6"/>
    <xf numFmtId="0" fontId="8" fillId="0" borderId="3" xfId="6" applyFont="1" applyBorder="1"/>
    <xf numFmtId="166" fontId="9" fillId="4" borderId="4" xfId="1" applyNumberFormat="1" applyFont="1" applyFill="1" applyBorder="1" applyProtection="1">
      <protection locked="0"/>
    </xf>
    <xf numFmtId="0" fontId="8" fillId="0" borderId="5" xfId="6" applyFont="1" applyBorder="1"/>
    <xf numFmtId="0" fontId="9" fillId="4" borderId="4" xfId="6" applyFont="1" applyFill="1" applyBorder="1" applyProtection="1">
      <protection locked="0"/>
    </xf>
    <xf numFmtId="9" fontId="9" fillId="4" borderId="4" xfId="6" applyNumberFormat="1" applyFont="1" applyFill="1" applyBorder="1" applyProtection="1">
      <protection locked="0"/>
    </xf>
    <xf numFmtId="0" fontId="10" fillId="5" borderId="0" xfId="6" applyFont="1" applyFill="1" applyAlignment="1">
      <alignment vertical="center"/>
    </xf>
    <xf numFmtId="0" fontId="10" fillId="5" borderId="0" xfId="6" applyFont="1" applyFill="1" applyAlignment="1">
      <alignment horizontal="left" vertical="center"/>
    </xf>
    <xf numFmtId="0" fontId="12" fillId="2" borderId="4" xfId="0" applyFont="1" applyFill="1" applyBorder="1" applyAlignment="1">
      <alignment horizontal="right"/>
    </xf>
    <xf numFmtId="0" fontId="14" fillId="0" borderId="0" xfId="0" applyFont="1"/>
    <xf numFmtId="0" fontId="5" fillId="2" borderId="0" xfId="0" applyFont="1" applyFill="1"/>
    <xf numFmtId="0" fontId="14" fillId="0" borderId="9" xfId="0" applyFont="1" applyBorder="1"/>
    <xf numFmtId="0" fontId="14" fillId="0" borderId="10" xfId="0" applyFont="1" applyBorder="1"/>
    <xf numFmtId="0" fontId="14" fillId="0" borderId="11" xfId="0" applyFont="1" applyBorder="1"/>
    <xf numFmtId="0" fontId="15" fillId="7" borderId="0" xfId="0" applyFont="1" applyFill="1" applyAlignment="1">
      <alignment horizontal="left" vertical="top"/>
    </xf>
    <xf numFmtId="0" fontId="15" fillId="7" borderId="12" xfId="0" applyFont="1" applyFill="1" applyBorder="1" applyAlignment="1">
      <alignment horizontal="left" vertical="top"/>
    </xf>
    <xf numFmtId="0" fontId="15" fillId="7" borderId="12" xfId="0" applyFont="1" applyFill="1" applyBorder="1" applyAlignment="1">
      <alignment horizontal="left" vertical="top" wrapText="1"/>
    </xf>
    <xf numFmtId="0" fontId="17" fillId="2" borderId="13" xfId="0" applyFont="1" applyFill="1" applyBorder="1"/>
    <xf numFmtId="0" fontId="14" fillId="0" borderId="14" xfId="0" applyFont="1" applyBorder="1"/>
    <xf numFmtId="0" fontId="14" fillId="0" borderId="15" xfId="0" applyFont="1" applyBorder="1"/>
    <xf numFmtId="0" fontId="19" fillId="4" borderId="16" xfId="0" applyFont="1" applyFill="1" applyBorder="1" applyProtection="1">
      <protection locked="0"/>
    </xf>
    <xf numFmtId="0" fontId="14" fillId="0" borderId="19" xfId="0" applyFont="1" applyBorder="1"/>
    <xf numFmtId="0" fontId="21" fillId="0" borderId="20" xfId="0" applyFont="1" applyBorder="1" applyAlignment="1">
      <alignment horizontal="center"/>
    </xf>
    <xf numFmtId="0" fontId="14" fillId="0" borderId="21" xfId="0" applyFont="1" applyBorder="1"/>
    <xf numFmtId="0" fontId="22" fillId="0" borderId="0" xfId="0" applyFont="1"/>
    <xf numFmtId="0" fontId="21" fillId="0" borderId="0" xfId="0" applyFont="1" applyAlignment="1">
      <alignment horizontal="center"/>
    </xf>
    <xf numFmtId="0" fontId="23" fillId="0" borderId="0" xfId="0" applyFont="1" applyAlignment="1">
      <alignment horizontal="left" vertical="center"/>
    </xf>
    <xf numFmtId="0" fontId="0" fillId="0" borderId="0" xfId="0" applyAlignment="1">
      <alignment horizontal="left"/>
    </xf>
    <xf numFmtId="0" fontId="4" fillId="0" borderId="0" xfId="6" applyAlignment="1">
      <alignment horizontal="left"/>
    </xf>
    <xf numFmtId="0" fontId="26" fillId="10" borderId="16" xfId="6" applyFont="1" applyFill="1" applyBorder="1" applyAlignment="1">
      <alignment horizontal="left" vertical="top" wrapText="1"/>
    </xf>
    <xf numFmtId="9" fontId="27" fillId="4" borderId="16" xfId="3" applyFont="1" applyFill="1" applyBorder="1" applyProtection="1">
      <protection locked="0"/>
    </xf>
    <xf numFmtId="9" fontId="4" fillId="0" borderId="0" xfId="3" applyFont="1" applyBorder="1"/>
    <xf numFmtId="3" fontId="4" fillId="0" borderId="0" xfId="6" applyNumberFormat="1"/>
    <xf numFmtId="3" fontId="4" fillId="0" borderId="0" xfId="6" applyNumberFormat="1" applyProtection="1">
      <protection locked="0"/>
    </xf>
    <xf numFmtId="3" fontId="28" fillId="2" borderId="0" xfId="6" applyNumberFormat="1" applyFont="1" applyFill="1"/>
    <xf numFmtId="3" fontId="2" fillId="10" borderId="9" xfId="6" applyNumberFormat="1" applyFont="1" applyFill="1" applyBorder="1"/>
    <xf numFmtId="3" fontId="2" fillId="10" borderId="10" xfId="6" applyNumberFormat="1" applyFont="1" applyFill="1" applyBorder="1"/>
    <xf numFmtId="3" fontId="2" fillId="10" borderId="22" xfId="6" applyNumberFormat="1" applyFont="1" applyFill="1" applyBorder="1"/>
    <xf numFmtId="3" fontId="1" fillId="11" borderId="23" xfId="6" applyNumberFormat="1" applyFont="1" applyFill="1" applyBorder="1"/>
    <xf numFmtId="3" fontId="1" fillId="11" borderId="24" xfId="6" applyNumberFormat="1" applyFont="1" applyFill="1" applyBorder="1"/>
    <xf numFmtId="3" fontId="4" fillId="0" borderId="14" xfId="6" applyNumberFormat="1" applyBorder="1"/>
    <xf numFmtId="3" fontId="4" fillId="0" borderId="25" xfId="6" applyNumberFormat="1" applyBorder="1"/>
    <xf numFmtId="168" fontId="4" fillId="12" borderId="25" xfId="6" applyNumberFormat="1" applyFill="1" applyBorder="1" applyProtection="1">
      <protection locked="0"/>
    </xf>
    <xf numFmtId="3" fontId="4" fillId="12" borderId="27" xfId="6" applyNumberFormat="1" applyFill="1" applyBorder="1" applyProtection="1">
      <protection locked="0"/>
    </xf>
    <xf numFmtId="3" fontId="4" fillId="12" borderId="28" xfId="6" applyNumberFormat="1" applyFill="1" applyBorder="1" applyProtection="1">
      <protection locked="0"/>
    </xf>
    <xf numFmtId="168" fontId="4" fillId="12" borderId="31" xfId="2" applyNumberFormat="1" applyFont="1" applyFill="1" applyBorder="1" applyProtection="1">
      <protection locked="0"/>
    </xf>
    <xf numFmtId="9" fontId="0" fillId="12" borderId="0" xfId="7" applyFont="1" applyFill="1" applyBorder="1" applyProtection="1">
      <protection locked="0"/>
    </xf>
    <xf numFmtId="9" fontId="0" fillId="12" borderId="25" xfId="7" applyFont="1" applyFill="1" applyBorder="1" applyProtection="1">
      <protection locked="0"/>
    </xf>
    <xf numFmtId="3" fontId="2" fillId="11" borderId="0" xfId="6" applyNumberFormat="1" applyFont="1" applyFill="1" applyProtection="1">
      <protection locked="0"/>
    </xf>
    <xf numFmtId="3" fontId="4" fillId="11" borderId="0" xfId="6" applyNumberFormat="1" applyFill="1" applyProtection="1">
      <protection locked="0"/>
    </xf>
    <xf numFmtId="9" fontId="4" fillId="0" borderId="0" xfId="6" applyNumberFormat="1"/>
    <xf numFmtId="9" fontId="4" fillId="0" borderId="25" xfId="6" applyNumberFormat="1" applyBorder="1"/>
    <xf numFmtId="9" fontId="0" fillId="0" borderId="25" xfId="7" applyFont="1" applyBorder="1" applyProtection="1"/>
    <xf numFmtId="3" fontId="4" fillId="0" borderId="27" xfId="6" applyNumberFormat="1" applyBorder="1" applyAlignment="1">
      <alignment horizontal="right"/>
    </xf>
    <xf numFmtId="3" fontId="4" fillId="0" borderId="28" xfId="6" applyNumberFormat="1" applyBorder="1" applyAlignment="1">
      <alignment horizontal="right"/>
    </xf>
    <xf numFmtId="9" fontId="0" fillId="0" borderId="31" xfId="7" applyFont="1" applyBorder="1" applyProtection="1"/>
    <xf numFmtId="3" fontId="2" fillId="11" borderId="27" xfId="6" applyNumberFormat="1" applyFont="1" applyFill="1" applyBorder="1" applyProtection="1">
      <protection locked="0"/>
    </xf>
    <xf numFmtId="3" fontId="29" fillId="11" borderId="0" xfId="6" applyNumberFormat="1" applyFont="1" applyFill="1" applyProtection="1">
      <protection locked="0"/>
    </xf>
    <xf numFmtId="3" fontId="2" fillId="0" borderId="33" xfId="6" applyNumberFormat="1" applyFont="1" applyBorder="1"/>
    <xf numFmtId="3" fontId="2" fillId="0" borderId="34" xfId="6" applyNumberFormat="1" applyFont="1" applyBorder="1"/>
    <xf numFmtId="3" fontId="4" fillId="0" borderId="31" xfId="6" applyNumberFormat="1" applyBorder="1"/>
    <xf numFmtId="0" fontId="15" fillId="7" borderId="0" xfId="0" applyFont="1" applyFill="1" applyAlignment="1">
      <alignment horizontal="left" vertical="top" wrapText="1"/>
    </xf>
    <xf numFmtId="0" fontId="31" fillId="4" borderId="16" xfId="0" applyFont="1" applyFill="1" applyBorder="1" applyProtection="1">
      <protection locked="0"/>
    </xf>
    <xf numFmtId="0" fontId="19" fillId="4" borderId="0" xfId="0" applyFont="1" applyFill="1"/>
    <xf numFmtId="0" fontId="13" fillId="6" borderId="3" xfId="5" applyFont="1" applyFill="1" applyBorder="1" applyAlignment="1">
      <alignment horizontal="left"/>
    </xf>
    <xf numFmtId="0" fontId="13" fillId="6" borderId="8" xfId="5" applyFont="1" applyFill="1" applyBorder="1" applyAlignment="1">
      <alignment horizontal="left"/>
    </xf>
    <xf numFmtId="0" fontId="5" fillId="2" borderId="0" xfId="0" applyFont="1" applyFill="1" applyAlignment="1">
      <alignment horizontal="left"/>
    </xf>
    <xf numFmtId="0" fontId="15" fillId="7" borderId="0" xfId="6" applyFont="1" applyFill="1"/>
    <xf numFmtId="0" fontId="32" fillId="7" borderId="0" xfId="6" applyFont="1" applyFill="1"/>
    <xf numFmtId="0" fontId="26" fillId="10" borderId="35" xfId="6" applyFont="1" applyFill="1" applyBorder="1" applyAlignment="1">
      <alignment horizontal="left" vertical="top" wrapText="1"/>
    </xf>
    <xf numFmtId="0" fontId="26" fillId="10" borderId="35" xfId="6" applyFont="1" applyFill="1" applyBorder="1" applyAlignment="1">
      <alignment horizontal="right" wrapText="1"/>
    </xf>
    <xf numFmtId="9" fontId="33" fillId="0" borderId="5" xfId="3" applyFont="1" applyBorder="1" applyAlignment="1"/>
    <xf numFmtId="166" fontId="27" fillId="0" borderId="5" xfId="1" applyNumberFormat="1" applyFont="1" applyBorder="1" applyAlignment="1"/>
    <xf numFmtId="167" fontId="27" fillId="0" borderId="5" xfId="2" applyNumberFormat="1" applyFont="1" applyBorder="1" applyAlignment="1"/>
    <xf numFmtId="0" fontId="13" fillId="9" borderId="0" xfId="5" applyFont="1" applyFill="1" applyBorder="1" applyAlignment="1">
      <alignment horizontal="left"/>
    </xf>
    <xf numFmtId="0" fontId="13" fillId="6" borderId="0" xfId="5" applyFont="1" applyFill="1" applyBorder="1" applyAlignment="1">
      <alignment horizontal="left"/>
    </xf>
    <xf numFmtId="2" fontId="0" fillId="0" borderId="0" xfId="0" applyNumberFormat="1"/>
    <xf numFmtId="0" fontId="8" fillId="0" borderId="0" xfId="6" applyFont="1"/>
    <xf numFmtId="0" fontId="34" fillId="4" borderId="16" xfId="1" applyNumberFormat="1" applyFont="1" applyFill="1" applyBorder="1" applyAlignment="1" applyProtection="1">
      <alignment horizontal="center"/>
      <protection locked="0"/>
    </xf>
    <xf numFmtId="0" fontId="2" fillId="0" borderId="0" xfId="6" applyFont="1"/>
    <xf numFmtId="0" fontId="2" fillId="0" borderId="0" xfId="0" applyFont="1"/>
    <xf numFmtId="0" fontId="34" fillId="4" borderId="16" xfId="1" applyNumberFormat="1" applyFont="1" applyFill="1" applyBorder="1" applyAlignment="1" applyProtection="1">
      <alignment horizontal="left"/>
      <protection locked="0"/>
    </xf>
    <xf numFmtId="0" fontId="35" fillId="4" borderId="0" xfId="6" applyFont="1" applyFill="1" applyAlignment="1">
      <alignment horizontal="left" wrapText="1"/>
    </xf>
    <xf numFmtId="0" fontId="38" fillId="7" borderId="0" xfId="6" applyFont="1" applyFill="1"/>
    <xf numFmtId="0" fontId="39" fillId="0" borderId="0" xfId="6" applyFont="1"/>
    <xf numFmtId="0" fontId="38" fillId="7" borderId="0" xfId="6" applyFont="1" applyFill="1" applyAlignment="1">
      <alignment horizontal="center"/>
    </xf>
    <xf numFmtId="0" fontId="1" fillId="0" borderId="0" xfId="0" applyFont="1"/>
    <xf numFmtId="0" fontId="40" fillId="0" borderId="0" xfId="6" applyFont="1"/>
    <xf numFmtId="0" fontId="41" fillId="13" borderId="0" xfId="5" applyFont="1" applyFill="1" applyBorder="1" applyAlignment="1">
      <alignment horizontal="center" vertical="center" wrapText="1"/>
    </xf>
    <xf numFmtId="0" fontId="42" fillId="0" borderId="0" xfId="6" applyFont="1"/>
    <xf numFmtId="0" fontId="40" fillId="0" borderId="0" xfId="0" applyFont="1"/>
    <xf numFmtId="0" fontId="1" fillId="0" borderId="0" xfId="6" applyFont="1"/>
    <xf numFmtId="0" fontId="43" fillId="0" borderId="0" xfId="6" applyFont="1"/>
    <xf numFmtId="0" fontId="8" fillId="0" borderId="36" xfId="6" applyFont="1" applyBorder="1"/>
    <xf numFmtId="0" fontId="43" fillId="0" borderId="36" xfId="6" applyFont="1" applyBorder="1"/>
    <xf numFmtId="0" fontId="27" fillId="0" borderId="36" xfId="6" applyFont="1" applyBorder="1"/>
    <xf numFmtId="166" fontId="27" fillId="0" borderId="36" xfId="1" applyNumberFormat="1" applyFont="1" applyBorder="1"/>
    <xf numFmtId="166" fontId="27" fillId="0" borderId="0" xfId="1" applyNumberFormat="1" applyFont="1" applyBorder="1"/>
    <xf numFmtId="0" fontId="20" fillId="0" borderId="5" xfId="6" applyFont="1" applyBorder="1" applyAlignment="1">
      <alignment horizontal="left"/>
    </xf>
    <xf numFmtId="0" fontId="40" fillId="0" borderId="5" xfId="6" applyFont="1" applyBorder="1"/>
    <xf numFmtId="0" fontId="4" fillId="0" borderId="0" xfId="6" applyAlignment="1">
      <alignment horizontal="right"/>
    </xf>
    <xf numFmtId="164" fontId="27" fillId="0" borderId="0" xfId="2" applyFont="1"/>
    <xf numFmtId="0" fontId="40" fillId="0" borderId="3" xfId="6" applyFont="1" applyBorder="1"/>
    <xf numFmtId="164" fontId="4" fillId="0" borderId="0" xfId="2" applyFont="1"/>
    <xf numFmtId="0" fontId="8" fillId="0" borderId="0" xfId="6" applyFont="1" applyAlignment="1">
      <alignment horizontal="right"/>
    </xf>
    <xf numFmtId="9" fontId="4" fillId="0" borderId="0" xfId="3" applyFont="1"/>
    <xf numFmtId="0" fontId="34" fillId="0" borderId="0" xfId="6" applyFont="1"/>
    <xf numFmtId="0" fontId="4" fillId="0" borderId="36" xfId="6" applyBorder="1"/>
    <xf numFmtId="0" fontId="21" fillId="0" borderId="36" xfId="0" applyFont="1" applyBorder="1" applyAlignment="1">
      <alignment horizontal="center"/>
    </xf>
    <xf numFmtId="0" fontId="39" fillId="0" borderId="0" xfId="6" applyFont="1" applyAlignment="1">
      <alignment horizontal="left"/>
    </xf>
    <xf numFmtId="0" fontId="40" fillId="0" borderId="0" xfId="6" applyFont="1" applyAlignment="1">
      <alignment horizontal="left"/>
    </xf>
    <xf numFmtId="9" fontId="27" fillId="4" borderId="16" xfId="3" applyFont="1" applyFill="1" applyBorder="1" applyAlignment="1" applyProtection="1">
      <alignment wrapText="1"/>
      <protection locked="0"/>
    </xf>
    <xf numFmtId="0" fontId="53" fillId="0" borderId="0" xfId="0" applyFont="1"/>
    <xf numFmtId="0" fontId="20" fillId="0" borderId="0" xfId="6" applyFont="1" applyAlignment="1">
      <alignment horizontal="left"/>
    </xf>
    <xf numFmtId="9" fontId="10" fillId="4" borderId="0" xfId="3" applyFont="1" applyFill="1" applyBorder="1" applyAlignment="1" applyProtection="1">
      <alignment horizontal="right"/>
      <protection locked="0"/>
    </xf>
    <xf numFmtId="0" fontId="14" fillId="16" borderId="0" xfId="0" applyFont="1" applyFill="1"/>
    <xf numFmtId="0" fontId="4" fillId="16" borderId="0" xfId="6" applyFill="1"/>
    <xf numFmtId="0" fontId="0" fillId="16" borderId="0" xfId="0" applyFill="1"/>
    <xf numFmtId="0" fontId="14" fillId="16" borderId="14" xfId="0" applyFont="1" applyFill="1" applyBorder="1"/>
    <xf numFmtId="0" fontId="22" fillId="16" borderId="0" xfId="0" applyFont="1" applyFill="1"/>
    <xf numFmtId="0" fontId="21" fillId="16" borderId="0" xfId="0" applyFont="1" applyFill="1" applyAlignment="1">
      <alignment horizontal="center"/>
    </xf>
    <xf numFmtId="0" fontId="23" fillId="16" borderId="0" xfId="0" applyFont="1" applyFill="1" applyAlignment="1">
      <alignment horizontal="left" vertical="center"/>
    </xf>
    <xf numFmtId="0" fontId="0" fillId="16" borderId="0" xfId="0" applyFill="1" applyAlignment="1">
      <alignment horizontal="center"/>
    </xf>
    <xf numFmtId="0" fontId="21" fillId="16" borderId="20" xfId="0" applyFont="1" applyFill="1" applyBorder="1" applyAlignment="1">
      <alignment horizontal="center"/>
    </xf>
    <xf numFmtId="0" fontId="17" fillId="16" borderId="13" xfId="0" applyFont="1" applyFill="1" applyBorder="1"/>
    <xf numFmtId="0" fontId="36" fillId="16" borderId="0" xfId="6" applyFont="1" applyFill="1"/>
    <xf numFmtId="0" fontId="8" fillId="16" borderId="5" xfId="6" applyFont="1" applyFill="1" applyBorder="1"/>
    <xf numFmtId="0" fontId="35" fillId="16" borderId="5" xfId="6" applyFont="1" applyFill="1" applyBorder="1" applyProtection="1">
      <protection locked="0"/>
    </xf>
    <xf numFmtId="0" fontId="2" fillId="16" borderId="0" xfId="6" applyFont="1" applyFill="1"/>
    <xf numFmtId="0" fontId="4" fillId="16" borderId="2" xfId="6" applyFill="1" applyBorder="1"/>
    <xf numFmtId="0" fontId="4" fillId="16" borderId="3" xfId="6" applyFill="1" applyBorder="1"/>
    <xf numFmtId="0" fontId="8" fillId="16" borderId="3" xfId="6" applyFont="1" applyFill="1" applyBorder="1"/>
    <xf numFmtId="0" fontId="0" fillId="16" borderId="0" xfId="0" applyFill="1" applyAlignment="1">
      <alignment horizontal="left"/>
    </xf>
    <xf numFmtId="0" fontId="4" fillId="16" borderId="0" xfId="6" applyFill="1" applyAlignment="1">
      <alignment horizontal="left"/>
    </xf>
    <xf numFmtId="0" fontId="20" fillId="16" borderId="0" xfId="6" applyFont="1" applyFill="1"/>
    <xf numFmtId="3" fontId="4" fillId="16" borderId="0" xfId="6" applyNumberFormat="1" applyFill="1" applyProtection="1">
      <protection locked="0"/>
    </xf>
    <xf numFmtId="3" fontId="4" fillId="16" borderId="0" xfId="6" applyNumberFormat="1" applyFill="1"/>
    <xf numFmtId="3" fontId="2" fillId="16" borderId="0" xfId="6" applyNumberFormat="1" applyFont="1" applyFill="1" applyProtection="1">
      <protection locked="0"/>
    </xf>
    <xf numFmtId="3" fontId="4" fillId="16" borderId="9" xfId="6" applyNumberFormat="1" applyFill="1" applyBorder="1"/>
    <xf numFmtId="3" fontId="4" fillId="16" borderId="14" xfId="6" applyNumberFormat="1" applyFill="1" applyBorder="1"/>
    <xf numFmtId="3" fontId="4" fillId="16" borderId="26" xfId="6" applyNumberFormat="1" applyFill="1" applyBorder="1" applyAlignment="1">
      <alignment horizontal="right"/>
    </xf>
    <xf numFmtId="3" fontId="4" fillId="16" borderId="14" xfId="6" applyNumberFormat="1" applyFill="1" applyBorder="1" applyAlignment="1">
      <alignment horizontal="right"/>
    </xf>
    <xf numFmtId="3" fontId="2" fillId="16" borderId="32" xfId="6" applyNumberFormat="1" applyFont="1" applyFill="1" applyBorder="1" applyAlignment="1">
      <alignment horizontal="right"/>
    </xf>
    <xf numFmtId="166" fontId="0" fillId="16" borderId="0" xfId="8" applyNumberFormat="1" applyFont="1" applyFill="1" applyProtection="1"/>
    <xf numFmtId="3" fontId="4" fillId="16" borderId="29" xfId="6" applyNumberFormat="1" applyFill="1" applyBorder="1"/>
    <xf numFmtId="3" fontId="4" fillId="16" borderId="30" xfId="6" applyNumberFormat="1" applyFill="1" applyBorder="1"/>
    <xf numFmtId="170" fontId="30" fillId="16" borderId="0" xfId="4" applyNumberFormat="1" applyFont="1" applyFill="1" applyBorder="1"/>
    <xf numFmtId="0" fontId="0" fillId="16" borderId="0" xfId="7" applyNumberFormat="1" applyFont="1" applyFill="1" applyProtection="1">
      <protection locked="0"/>
    </xf>
    <xf numFmtId="169" fontId="0" fillId="16" borderId="0" xfId="8" applyNumberFormat="1" applyFont="1" applyFill="1" applyProtection="1"/>
    <xf numFmtId="0" fontId="57" fillId="17" borderId="0" xfId="0" applyFont="1" applyFill="1"/>
    <xf numFmtId="172" fontId="9" fillId="4" borderId="6" xfId="2" applyNumberFormat="1" applyFont="1" applyFill="1" applyBorder="1" applyProtection="1">
      <protection locked="0"/>
    </xf>
    <xf numFmtId="0" fontId="54" fillId="16" borderId="12" xfId="0" applyFont="1" applyFill="1" applyBorder="1" applyAlignment="1">
      <alignment vertical="center"/>
    </xf>
    <xf numFmtId="0" fontId="54" fillId="16" borderId="12" xfId="0" applyFont="1" applyFill="1" applyBorder="1" applyAlignment="1">
      <alignment vertical="center" wrapText="1"/>
    </xf>
    <xf numFmtId="0" fontId="4" fillId="2" borderId="0" xfId="6" applyFill="1"/>
    <xf numFmtId="0" fontId="15" fillId="7" borderId="12" xfId="0" applyFont="1" applyFill="1" applyBorder="1" applyAlignment="1">
      <alignment horizontal="left" vertical="center"/>
    </xf>
    <xf numFmtId="0" fontId="15" fillId="7" borderId="12" xfId="0" applyFont="1" applyFill="1" applyBorder="1" applyAlignment="1">
      <alignment horizontal="left" vertical="center" wrapText="1"/>
    </xf>
    <xf numFmtId="0" fontId="4" fillId="18" borderId="0" xfId="6" applyFill="1"/>
    <xf numFmtId="0" fontId="0" fillId="16" borderId="27" xfId="0" applyFill="1" applyBorder="1"/>
    <xf numFmtId="0" fontId="4" fillId="16" borderId="27" xfId="6" applyFill="1" applyBorder="1"/>
    <xf numFmtId="0" fontId="14" fillId="0" borderId="39" xfId="0" applyFont="1" applyBorder="1"/>
    <xf numFmtId="0" fontId="14" fillId="0" borderId="40" xfId="0" applyFont="1" applyBorder="1"/>
    <xf numFmtId="0" fontId="14" fillId="0" borderId="41" xfId="0" applyFont="1" applyBorder="1"/>
    <xf numFmtId="0" fontId="14" fillId="16" borderId="42" xfId="0" applyFont="1" applyFill="1" applyBorder="1"/>
    <xf numFmtId="0" fontId="0" fillId="18" borderId="43" xfId="0" applyFill="1" applyBorder="1"/>
    <xf numFmtId="0" fontId="4" fillId="18" borderId="43" xfId="6" applyFill="1" applyBorder="1"/>
    <xf numFmtId="0" fontId="14" fillId="18" borderId="43" xfId="0" applyFont="1" applyFill="1" applyBorder="1"/>
    <xf numFmtId="0" fontId="59" fillId="16" borderId="27" xfId="0" applyFont="1" applyFill="1" applyBorder="1"/>
    <xf numFmtId="0" fontId="60" fillId="0" borderId="0" xfId="0" applyFont="1" applyAlignment="1">
      <alignment vertical="center"/>
    </xf>
    <xf numFmtId="0" fontId="60" fillId="18" borderId="43" xfId="0" applyFont="1" applyFill="1" applyBorder="1" applyAlignment="1">
      <alignment vertical="center"/>
    </xf>
    <xf numFmtId="0" fontId="60" fillId="16" borderId="0" xfId="0" applyFont="1" applyFill="1" applyAlignment="1">
      <alignment vertical="center"/>
    </xf>
    <xf numFmtId="0" fontId="62" fillId="2" borderId="38" xfId="0" applyFont="1" applyFill="1" applyBorder="1" applyAlignment="1">
      <alignment vertical="center"/>
    </xf>
    <xf numFmtId="0" fontId="62" fillId="2" borderId="0" xfId="0" applyFont="1" applyFill="1" applyAlignment="1">
      <alignment vertical="center"/>
    </xf>
    <xf numFmtId="0" fontId="62" fillId="16" borderId="0" xfId="0" applyFont="1" applyFill="1" applyAlignment="1">
      <alignment vertical="center"/>
    </xf>
    <xf numFmtId="0" fontId="6" fillId="16" borderId="0" xfId="0" applyFont="1" applyFill="1" applyAlignment="1">
      <alignment vertical="center"/>
    </xf>
    <xf numFmtId="0" fontId="63" fillId="16" borderId="0" xfId="6" applyFont="1" applyFill="1" applyAlignment="1">
      <alignment vertical="center"/>
    </xf>
    <xf numFmtId="0" fontId="64" fillId="2" borderId="38" xfId="0" applyFont="1" applyFill="1" applyBorder="1" applyAlignment="1">
      <alignment vertical="center"/>
    </xf>
    <xf numFmtId="0" fontId="64" fillId="2" borderId="0" xfId="0" applyFont="1" applyFill="1" applyAlignment="1">
      <alignment vertical="center"/>
    </xf>
    <xf numFmtId="0" fontId="61" fillId="2" borderId="0" xfId="0" applyFont="1" applyFill="1" applyAlignment="1">
      <alignment vertical="center"/>
    </xf>
    <xf numFmtId="0" fontId="4" fillId="18" borderId="7" xfId="6" applyFill="1" applyBorder="1"/>
    <xf numFmtId="0" fontId="12" fillId="18" borderId="0" xfId="0" applyFont="1" applyFill="1" applyAlignment="1">
      <alignment horizontal="right"/>
    </xf>
    <xf numFmtId="0" fontId="66" fillId="18" borderId="0" xfId="0" applyFont="1" applyFill="1"/>
    <xf numFmtId="0" fontId="66" fillId="18" borderId="0" xfId="6" applyFont="1" applyFill="1"/>
    <xf numFmtId="0" fontId="0" fillId="16" borderId="43" xfId="0" applyFill="1" applyBorder="1"/>
    <xf numFmtId="0" fontId="4" fillId="16" borderId="43" xfId="6" applyFill="1" applyBorder="1"/>
    <xf numFmtId="0" fontId="67" fillId="16" borderId="27" xfId="0" applyFont="1" applyFill="1" applyBorder="1"/>
    <xf numFmtId="0" fontId="0" fillId="16" borderId="44" xfId="0" applyFill="1" applyBorder="1"/>
    <xf numFmtId="0" fontId="4" fillId="16" borderId="44" xfId="6" applyFill="1" applyBorder="1"/>
    <xf numFmtId="0" fontId="0" fillId="16" borderId="45" xfId="0" applyFill="1" applyBorder="1"/>
    <xf numFmtId="0" fontId="4" fillId="16" borderId="45" xfId="6" applyFill="1" applyBorder="1"/>
    <xf numFmtId="0" fontId="0" fillId="0" borderId="45" xfId="0" applyBorder="1"/>
    <xf numFmtId="0" fontId="23" fillId="0" borderId="5" xfId="6" applyFont="1" applyBorder="1" applyAlignment="1">
      <alignment horizontal="left"/>
    </xf>
    <xf numFmtId="0" fontId="23" fillId="0" borderId="3" xfId="6" applyFont="1" applyBorder="1" applyAlignment="1">
      <alignment horizontal="left"/>
    </xf>
    <xf numFmtId="0" fontId="0" fillId="18" borderId="0" xfId="0" applyFill="1"/>
    <xf numFmtId="0" fontId="4" fillId="18" borderId="3" xfId="6" applyFill="1" applyBorder="1"/>
    <xf numFmtId="0" fontId="45" fillId="18" borderId="0" xfId="6" applyFont="1" applyFill="1"/>
    <xf numFmtId="0" fontId="4" fillId="18" borderId="5" xfId="6" applyFill="1" applyBorder="1"/>
    <xf numFmtId="0" fontId="46" fillId="18" borderId="0" xfId="6" applyFont="1" applyFill="1"/>
    <xf numFmtId="0" fontId="45" fillId="18" borderId="36" xfId="6" applyFont="1" applyFill="1" applyBorder="1"/>
    <xf numFmtId="0" fontId="4" fillId="18" borderId="36" xfId="6" applyFill="1" applyBorder="1"/>
    <xf numFmtId="0" fontId="68" fillId="2" borderId="0" xfId="6" applyFont="1" applyFill="1" applyAlignment="1">
      <alignment horizontal="left"/>
    </xf>
    <xf numFmtId="0" fontId="50" fillId="3" borderId="0" xfId="6" applyFont="1" applyFill="1" applyAlignment="1">
      <alignment horizontal="left" vertical="top" wrapText="1"/>
    </xf>
    <xf numFmtId="0" fontId="6" fillId="3" borderId="0" xfId="6" applyFont="1" applyFill="1" applyAlignment="1">
      <alignment horizontal="left" vertical="top" wrapText="1"/>
    </xf>
    <xf numFmtId="171" fontId="11" fillId="5" borderId="0" xfId="2" applyNumberFormat="1" applyFont="1" applyFill="1" applyBorder="1" applyAlignment="1">
      <alignment vertical="center"/>
    </xf>
    <xf numFmtId="0" fontId="24" fillId="6" borderId="3" xfId="5" applyFont="1" applyFill="1" applyBorder="1" applyAlignment="1">
      <alignment horizontal="left"/>
    </xf>
    <xf numFmtId="0" fontId="24" fillId="6" borderId="8" xfId="5" applyFont="1" applyFill="1" applyBorder="1" applyAlignment="1">
      <alignment horizontal="left"/>
    </xf>
    <xf numFmtId="3" fontId="2" fillId="10" borderId="0" xfId="6" applyNumberFormat="1" applyFont="1" applyFill="1" applyAlignment="1" applyProtection="1">
      <alignment horizontal="left" vertical="center" wrapText="1"/>
      <protection locked="0"/>
    </xf>
    <xf numFmtId="0" fontId="6" fillId="3" borderId="0" xfId="0" applyFont="1" applyFill="1" applyAlignment="1">
      <alignment horizontal="left" vertical="top" wrapText="1"/>
    </xf>
    <xf numFmtId="0" fontId="24" fillId="9" borderId="3" xfId="5" applyFont="1" applyFill="1" applyBorder="1" applyAlignment="1">
      <alignment horizontal="left"/>
    </xf>
    <xf numFmtId="0" fontId="24" fillId="9" borderId="8" xfId="5" applyFont="1" applyFill="1" applyBorder="1" applyAlignment="1">
      <alignment horizontal="left"/>
    </xf>
    <xf numFmtId="0" fontId="18" fillId="16" borderId="0" xfId="0" applyFont="1" applyFill="1" applyAlignment="1">
      <alignment horizontal="left" vertical="top"/>
    </xf>
    <xf numFmtId="0" fontId="10" fillId="16" borderId="0" xfId="0" applyFont="1" applyFill="1" applyAlignment="1">
      <alignment horizontal="center" vertical="center"/>
    </xf>
    <xf numFmtId="0" fontId="10" fillId="16" borderId="5" xfId="0" applyFont="1" applyFill="1" applyBorder="1" applyAlignment="1">
      <alignment horizontal="center" vertical="center"/>
    </xf>
    <xf numFmtId="0" fontId="20" fillId="8" borderId="7" xfId="0" applyFont="1" applyFill="1" applyBorder="1" applyAlignment="1">
      <alignment horizontal="left" wrapText="1"/>
    </xf>
    <xf numFmtId="0" fontId="20" fillId="8" borderId="17" xfId="0" applyFont="1" applyFill="1" applyBorder="1" applyAlignment="1">
      <alignment horizontal="left" wrapText="1"/>
    </xf>
    <xf numFmtId="0" fontId="20" fillId="8" borderId="18" xfId="0" applyFont="1" applyFill="1" applyBorder="1" applyAlignment="1">
      <alignment horizontal="left" wrapText="1"/>
    </xf>
    <xf numFmtId="0" fontId="20" fillId="8" borderId="6" xfId="0" applyFont="1" applyFill="1" applyBorder="1" applyAlignment="1">
      <alignment horizontal="left" wrapText="1"/>
    </xf>
    <xf numFmtId="0" fontId="20" fillId="8" borderId="5" xfId="0" applyFont="1" applyFill="1" applyBorder="1" applyAlignment="1">
      <alignment horizontal="left" wrapText="1"/>
    </xf>
    <xf numFmtId="0" fontId="20" fillId="8" borderId="20" xfId="0" applyFont="1" applyFill="1" applyBorder="1" applyAlignment="1">
      <alignment horizontal="left" wrapText="1"/>
    </xf>
    <xf numFmtId="0" fontId="19" fillId="5" borderId="5" xfId="0" applyFont="1" applyFill="1" applyBorder="1" applyAlignment="1">
      <alignment horizontal="left"/>
    </xf>
    <xf numFmtId="166" fontId="11" fillId="5" borderId="0" xfId="1" applyNumberFormat="1" applyFont="1" applyFill="1" applyBorder="1" applyAlignment="1">
      <alignment horizontal="center"/>
    </xf>
    <xf numFmtId="167" fontId="11" fillId="5" borderId="0" xfId="2" applyNumberFormat="1" applyFont="1" applyFill="1" applyBorder="1" applyAlignment="1">
      <alignment horizontal="center"/>
    </xf>
    <xf numFmtId="0" fontId="65" fillId="19" borderId="0" xfId="5" applyFont="1" applyFill="1" applyBorder="1" applyAlignment="1">
      <alignment horizontal="left"/>
    </xf>
    <xf numFmtId="0" fontId="19" fillId="5" borderId="7" xfId="0" applyFont="1" applyFill="1" applyBorder="1" applyAlignment="1">
      <alignment horizontal="left" wrapText="1"/>
    </xf>
    <xf numFmtId="0" fontId="19" fillId="5" borderId="17" xfId="0" applyFont="1" applyFill="1" applyBorder="1" applyAlignment="1">
      <alignment horizontal="left" wrapText="1"/>
    </xf>
    <xf numFmtId="0" fontId="19" fillId="5" borderId="18" xfId="0" applyFont="1" applyFill="1" applyBorder="1" applyAlignment="1">
      <alignment horizontal="left" wrapText="1"/>
    </xf>
    <xf numFmtId="0" fontId="19" fillId="5" borderId="6" xfId="0" applyFont="1" applyFill="1" applyBorder="1" applyAlignment="1">
      <alignment horizontal="left" wrapText="1"/>
    </xf>
    <xf numFmtId="0" fontId="19" fillId="5" borderId="5" xfId="0" applyFont="1" applyFill="1" applyBorder="1" applyAlignment="1">
      <alignment horizontal="left" wrapText="1"/>
    </xf>
    <xf numFmtId="0" fontId="19" fillId="5" borderId="20" xfId="0" applyFont="1" applyFill="1" applyBorder="1" applyAlignment="1">
      <alignment horizontal="left" wrapText="1"/>
    </xf>
    <xf numFmtId="0" fontId="10" fillId="16" borderId="0" xfId="0" applyFont="1" applyFill="1" applyAlignment="1">
      <alignment horizontal="center"/>
    </xf>
    <xf numFmtId="0" fontId="10" fillId="16" borderId="5" xfId="0" applyFont="1" applyFill="1" applyBorder="1" applyAlignment="1">
      <alignment horizontal="center"/>
    </xf>
    <xf numFmtId="0" fontId="18" fillId="7" borderId="0" xfId="0" applyFont="1" applyFill="1" applyAlignment="1">
      <alignment horizontal="left" vertical="top"/>
    </xf>
    <xf numFmtId="0" fontId="70" fillId="3" borderId="0" xfId="0" applyFont="1" applyFill="1" applyAlignment="1">
      <alignment horizontal="left" vertical="top" wrapText="1"/>
    </xf>
    <xf numFmtId="0" fontId="5" fillId="2" borderId="0" xfId="0" applyFont="1" applyFill="1" applyAlignment="1">
      <alignment horizontal="left"/>
    </xf>
    <xf numFmtId="0" fontId="13" fillId="9" borderId="3" xfId="5" applyFont="1" applyFill="1" applyBorder="1" applyAlignment="1">
      <alignment horizontal="left"/>
    </xf>
    <xf numFmtId="0" fontId="13" fillId="6" borderId="3" xfId="5" applyFont="1" applyFill="1" applyBorder="1" applyAlignment="1">
      <alignment horizontal="left"/>
    </xf>
    <xf numFmtId="0" fontId="37" fillId="6" borderId="3" xfId="5" applyFont="1" applyFill="1" applyBorder="1" applyAlignment="1">
      <alignment horizontal="left"/>
    </xf>
    <xf numFmtId="0" fontId="38" fillId="7" borderId="0" xfId="6" applyFont="1" applyFill="1" applyAlignment="1">
      <alignment horizontal="left"/>
    </xf>
    <xf numFmtId="0" fontId="20" fillId="11" borderId="0" xfId="6" applyFont="1" applyFill="1" applyAlignment="1">
      <alignment vertical="center"/>
    </xf>
    <xf numFmtId="167" fontId="20" fillId="5" borderId="0" xfId="2" applyNumberFormat="1" applyFont="1" applyFill="1" applyBorder="1" applyAlignment="1">
      <alignment horizontal="center"/>
    </xf>
    <xf numFmtId="166" fontId="20" fillId="5" borderId="0" xfId="1" applyNumberFormat="1" applyFont="1" applyFill="1" applyBorder="1" applyAlignment="1">
      <alignment horizontal="center"/>
    </xf>
    <xf numFmtId="0" fontId="44" fillId="6" borderId="17" xfId="5" applyFont="1" applyFill="1" applyBorder="1" applyAlignment="1">
      <alignment horizontal="center" vertical="center"/>
    </xf>
    <xf numFmtId="0" fontId="44" fillId="6" borderId="0" xfId="5" applyFont="1" applyFill="1" applyBorder="1" applyAlignment="1">
      <alignment horizontal="center" vertical="center"/>
    </xf>
    <xf numFmtId="0" fontId="44" fillId="6" borderId="5" xfId="5" applyFont="1" applyFill="1" applyBorder="1" applyAlignment="1">
      <alignment horizontal="center" vertical="center"/>
    </xf>
    <xf numFmtId="0" fontId="6" fillId="3" borderId="0" xfId="6" applyFont="1" applyFill="1" applyAlignment="1" applyProtection="1">
      <alignment horizontal="left" vertical="top" wrapText="1"/>
      <protection locked="0"/>
    </xf>
    <xf numFmtId="0" fontId="48" fillId="14" borderId="0" xfId="6" applyFont="1" applyFill="1" applyAlignment="1">
      <alignment horizontal="center"/>
    </xf>
    <xf numFmtId="0" fontId="52" fillId="15" borderId="0" xfId="0" applyFont="1" applyFill="1" applyAlignment="1">
      <alignment horizontal="left"/>
    </xf>
    <xf numFmtId="167" fontId="8" fillId="0" borderId="36" xfId="2" applyNumberFormat="1" applyFont="1" applyFill="1" applyBorder="1" applyAlignment="1" applyProtection="1">
      <alignment horizontal="center"/>
      <protection locked="0"/>
    </xf>
    <xf numFmtId="166" fontId="8" fillId="0" borderId="36" xfId="1" applyNumberFormat="1" applyFont="1" applyFill="1" applyBorder="1" applyAlignment="1" applyProtection="1">
      <alignment horizontal="center"/>
      <protection locked="0"/>
    </xf>
    <xf numFmtId="167" fontId="8" fillId="0" borderId="37" xfId="2" applyNumberFormat="1" applyFont="1" applyFill="1" applyBorder="1" applyAlignment="1" applyProtection="1">
      <alignment horizontal="center"/>
      <protection locked="0"/>
    </xf>
    <xf numFmtId="9" fontId="10" fillId="4" borderId="4" xfId="3" applyFont="1" applyFill="1" applyBorder="1" applyAlignment="1" applyProtection="1">
      <alignment horizontal="right"/>
      <protection locked="0"/>
    </xf>
    <xf numFmtId="9" fontId="10" fillId="4" borderId="3" xfId="3" applyFont="1" applyFill="1" applyBorder="1" applyAlignment="1" applyProtection="1">
      <alignment horizontal="right"/>
      <protection locked="0"/>
    </xf>
    <xf numFmtId="0" fontId="47" fillId="5" borderId="5" xfId="3" applyNumberFormat="1" applyFont="1" applyFill="1" applyBorder="1" applyAlignment="1">
      <alignment horizontal="right"/>
    </xf>
    <xf numFmtId="9" fontId="47" fillId="5" borderId="5" xfId="3" applyFont="1" applyFill="1" applyBorder="1" applyAlignment="1">
      <alignment horizontal="right"/>
    </xf>
    <xf numFmtId="167" fontId="47" fillId="5" borderId="5" xfId="2" applyNumberFormat="1" applyFont="1" applyFill="1" applyBorder="1" applyAlignment="1"/>
    <xf numFmtId="0" fontId="21" fillId="5" borderId="36" xfId="6" applyFont="1" applyFill="1" applyBorder="1" applyAlignment="1" applyProtection="1">
      <alignment horizontal="left"/>
      <protection locked="0"/>
    </xf>
    <xf numFmtId="0" fontId="51" fillId="3" borderId="0" xfId="6" applyFont="1" applyFill="1" applyAlignment="1" applyProtection="1">
      <alignment horizontal="left" vertical="top" wrapText="1"/>
      <protection locked="0"/>
    </xf>
    <xf numFmtId="0" fontId="31" fillId="3" borderId="0" xfId="6" applyFont="1" applyFill="1" applyAlignment="1" applyProtection="1">
      <alignment horizontal="left" vertical="top" wrapText="1"/>
      <protection locked="0"/>
    </xf>
    <xf numFmtId="167" fontId="47" fillId="0" borderId="3" xfId="2" applyNumberFormat="1" applyFont="1" applyFill="1" applyBorder="1" applyAlignment="1"/>
    <xf numFmtId="167" fontId="47" fillId="5" borderId="3" xfId="2" applyNumberFormat="1" applyFont="1" applyFill="1" applyBorder="1" applyAlignment="1"/>
    <xf numFmtId="9" fontId="34" fillId="4" borderId="4" xfId="3" applyFont="1" applyFill="1" applyBorder="1" applyAlignment="1" applyProtection="1">
      <alignment horizontal="right"/>
      <protection locked="0"/>
    </xf>
    <xf numFmtId="9" fontId="34" fillId="4" borderId="3" xfId="3" applyFont="1" applyFill="1" applyBorder="1" applyAlignment="1" applyProtection="1">
      <alignment horizontal="right"/>
      <protection locked="0"/>
    </xf>
    <xf numFmtId="167" fontId="34" fillId="0" borderId="36" xfId="2" applyNumberFormat="1" applyFont="1" applyFill="1" applyBorder="1" applyAlignment="1" applyProtection="1">
      <alignment horizontal="right"/>
      <protection locked="0"/>
    </xf>
    <xf numFmtId="9" fontId="34" fillId="4" borderId="36" xfId="3" applyFont="1" applyFill="1" applyBorder="1" applyAlignment="1" applyProtection="1">
      <alignment horizontal="right"/>
      <protection locked="0"/>
    </xf>
    <xf numFmtId="0" fontId="4" fillId="0" borderId="37" xfId="6" applyBorder="1" applyAlignment="1">
      <alignment horizontal="right"/>
    </xf>
    <xf numFmtId="0" fontId="37" fillId="9" borderId="0" xfId="5" applyFont="1" applyFill="1" applyBorder="1" applyAlignment="1">
      <alignment horizontal="center"/>
    </xf>
    <xf numFmtId="0" fontId="0" fillId="0" borderId="0" xfId="0" applyAlignment="1">
      <alignment horizontal="center"/>
    </xf>
    <xf numFmtId="0" fontId="37" fillId="6" borderId="0" xfId="5" applyFont="1" applyFill="1" applyBorder="1" applyAlignment="1">
      <alignment horizontal="center"/>
    </xf>
    <xf numFmtId="0" fontId="19" fillId="0" borderId="5" xfId="0" applyFont="1" applyBorder="1" applyAlignment="1">
      <alignment horizontal="left"/>
    </xf>
    <xf numFmtId="0" fontId="37" fillId="9" borderId="3" xfId="5" applyFont="1" applyFill="1" applyBorder="1" applyAlignment="1">
      <alignment horizontal="left"/>
    </xf>
    <xf numFmtId="0" fontId="37" fillId="9" borderId="8" xfId="5" applyFont="1" applyFill="1" applyBorder="1" applyAlignment="1">
      <alignment horizontal="left"/>
    </xf>
    <xf numFmtId="0" fontId="58" fillId="5" borderId="0" xfId="0" applyFont="1" applyFill="1" applyAlignment="1">
      <alignment horizontal="left" vertical="center"/>
    </xf>
    <xf numFmtId="0" fontId="15" fillId="7" borderId="2" xfId="0" applyFont="1" applyFill="1" applyBorder="1" applyAlignment="1">
      <alignment horizontal="left" vertical="center" wrapText="1"/>
    </xf>
    <xf numFmtId="0" fontId="15" fillId="7" borderId="0" xfId="0" applyFont="1" applyFill="1" applyAlignment="1">
      <alignment horizontal="left" vertical="center" wrapText="1"/>
    </xf>
    <xf numFmtId="0" fontId="43" fillId="4" borderId="0" xfId="6" applyFont="1" applyFill="1" applyAlignment="1" applyProtection="1">
      <alignment horizontal="left" vertical="top" wrapText="1"/>
      <protection locked="0"/>
    </xf>
    <xf numFmtId="0" fontId="43" fillId="4" borderId="0" xfId="6" applyFont="1" applyFill="1" applyAlignment="1" applyProtection="1">
      <alignment horizontal="left" vertical="top"/>
      <protection locked="0"/>
    </xf>
    <xf numFmtId="0" fontId="18" fillId="7" borderId="0" xfId="0" applyFont="1" applyFill="1" applyAlignment="1">
      <alignment horizontal="left" vertical="center"/>
    </xf>
    <xf numFmtId="0" fontId="37" fillId="6" borderId="3" xfId="5" applyFont="1" applyFill="1" applyBorder="1" applyAlignment="1">
      <alignment horizontal="center"/>
    </xf>
    <xf numFmtId="0" fontId="37" fillId="6" borderId="8" xfId="5" applyFont="1" applyFill="1" applyBorder="1" applyAlignment="1">
      <alignment horizontal="center"/>
    </xf>
    <xf numFmtId="0" fontId="13" fillId="6" borderId="8" xfId="5" applyFont="1" applyFill="1" applyBorder="1" applyAlignment="1">
      <alignment horizontal="left"/>
    </xf>
    <xf numFmtId="0" fontId="20" fillId="0" borderId="0" xfId="6" applyFont="1" applyAlignment="1">
      <alignment vertical="center"/>
    </xf>
    <xf numFmtId="0" fontId="20" fillId="5" borderId="0" xfId="2" applyNumberFormat="1" applyFont="1" applyFill="1" applyBorder="1" applyAlignment="1">
      <alignment horizontal="left"/>
    </xf>
    <xf numFmtId="0" fontId="20" fillId="5" borderId="0" xfId="1" applyNumberFormat="1" applyFont="1" applyFill="1" applyBorder="1" applyAlignment="1">
      <alignment horizontal="left"/>
    </xf>
    <xf numFmtId="0" fontId="20" fillId="11" borderId="0" xfId="2" applyNumberFormat="1" applyFont="1" applyFill="1" applyBorder="1" applyAlignment="1">
      <alignment horizontal="left"/>
    </xf>
    <xf numFmtId="0" fontId="20" fillId="11" borderId="0" xfId="1" applyNumberFormat="1" applyFont="1" applyFill="1" applyBorder="1" applyAlignment="1">
      <alignment horizontal="left"/>
    </xf>
    <xf numFmtId="0" fontId="4" fillId="0" borderId="0" xfId="6" applyAlignment="1"/>
    <xf numFmtId="0" fontId="40" fillId="0" borderId="0" xfId="6" applyFont="1" applyAlignment="1"/>
    <xf numFmtId="0" fontId="8" fillId="0" borderId="5" xfId="6" applyFont="1" applyBorder="1" applyAlignment="1"/>
    <xf numFmtId="0" fontId="4" fillId="0" borderId="37" xfId="6" applyBorder="1" applyAlignment="1"/>
    <xf numFmtId="0" fontId="8" fillId="0" borderId="36" xfId="6" applyFont="1" applyBorder="1" applyAlignment="1"/>
    <xf numFmtId="0" fontId="35" fillId="4" borderId="36" xfId="6" applyFont="1" applyFill="1" applyBorder="1" applyAlignment="1" applyProtection="1">
      <protection locked="0"/>
    </xf>
  </cellXfs>
  <cellStyles count="9">
    <cellStyle name="Comma" xfId="1" builtinId="3"/>
    <cellStyle name="Comma 2" xfId="8" xr:uid="{033ADBCF-C2BF-4C2C-9125-44044B3DABF2}"/>
    <cellStyle name="Currency" xfId="2" builtinId="4"/>
    <cellStyle name="Hyperlink" xfId="5" builtinId="8"/>
    <cellStyle name="Normal" xfId="0" builtinId="0"/>
    <cellStyle name="Normal 2" xfId="6" xr:uid="{081D9CB3-08EF-4DCB-A5B4-76836066D071}"/>
    <cellStyle name="Per cent" xfId="3" builtinId="5"/>
    <cellStyle name="Percent 2" xfId="7" xr:uid="{3C343088-E9FD-4D33-8FB6-8C86CF89695C}"/>
    <cellStyle name="Total" xfId="4" builtinId="25"/>
  </cellStyles>
  <dxfs count="4">
    <dxf>
      <fill>
        <patternFill>
          <bgColor rgb="FFFF0000"/>
        </patternFill>
      </fill>
    </dxf>
    <dxf>
      <fill>
        <patternFill>
          <bgColor rgb="FFFF0000"/>
        </patternFill>
      </fill>
    </dxf>
    <dxf>
      <fill>
        <patternFill>
          <bgColor rgb="FFFF33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145346</xdr:colOff>
      <xdr:row>0</xdr:row>
      <xdr:rowOff>76483</xdr:rowOff>
    </xdr:from>
    <xdr:to>
      <xdr:col>0</xdr:col>
      <xdr:colOff>447040</xdr:colOff>
      <xdr:row>0</xdr:row>
      <xdr:rowOff>413679</xdr:rowOff>
    </xdr:to>
    <xdr:pic>
      <xdr:nvPicPr>
        <xdr:cNvPr id="2" name="Picture 1">
          <a:extLst>
            <a:ext uri="{FF2B5EF4-FFF2-40B4-BE49-F238E27FC236}">
              <a16:creationId xmlns:a16="http://schemas.microsoft.com/office/drawing/2014/main" id="{4D4B1B32-1556-4142-86AD-FCB2F26295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5346" y="76483"/>
          <a:ext cx="301694" cy="337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110065</xdr:colOff>
      <xdr:row>0</xdr:row>
      <xdr:rowOff>143932</xdr:rowOff>
    </xdr:from>
    <xdr:to>
      <xdr:col>3</xdr:col>
      <xdr:colOff>437780</xdr:colOff>
      <xdr:row>0</xdr:row>
      <xdr:rowOff>507999</xdr:rowOff>
    </xdr:to>
    <xdr:pic>
      <xdr:nvPicPr>
        <xdr:cNvPr id="3" name="Picture 2">
          <a:extLst>
            <a:ext uri="{FF2B5EF4-FFF2-40B4-BE49-F238E27FC236}">
              <a16:creationId xmlns:a16="http://schemas.microsoft.com/office/drawing/2014/main" id="{7059FFA4-45B0-D44E-8CBE-6EB61CB2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065" y="143932"/>
          <a:ext cx="327715" cy="3640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142586</xdr:colOff>
      <xdr:row>0</xdr:row>
      <xdr:rowOff>114588</xdr:rowOff>
    </xdr:from>
    <xdr:to>
      <xdr:col>0</xdr:col>
      <xdr:colOff>470301</xdr:colOff>
      <xdr:row>0</xdr:row>
      <xdr:rowOff>478171</xdr:rowOff>
    </xdr:to>
    <xdr:pic>
      <xdr:nvPicPr>
        <xdr:cNvPr id="2" name="Picture 1">
          <a:extLst>
            <a:ext uri="{FF2B5EF4-FFF2-40B4-BE49-F238E27FC236}">
              <a16:creationId xmlns:a16="http://schemas.microsoft.com/office/drawing/2014/main" id="{20B8DBC8-B1B9-404F-91D9-DBB3840FA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586" y="114588"/>
          <a:ext cx="327715" cy="36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148936</xdr:colOff>
      <xdr:row>0</xdr:row>
      <xdr:rowOff>130463</xdr:rowOff>
    </xdr:from>
    <xdr:to>
      <xdr:col>0</xdr:col>
      <xdr:colOff>476651</xdr:colOff>
      <xdr:row>0</xdr:row>
      <xdr:rowOff>494046</xdr:rowOff>
    </xdr:to>
    <xdr:pic>
      <xdr:nvPicPr>
        <xdr:cNvPr id="2" name="Picture 1">
          <a:extLst>
            <a:ext uri="{FF2B5EF4-FFF2-40B4-BE49-F238E27FC236}">
              <a16:creationId xmlns:a16="http://schemas.microsoft.com/office/drawing/2014/main" id="{00CBC126-0CD1-4BC9-B100-2560A469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936" y="130463"/>
          <a:ext cx="327715" cy="36358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170699</xdr:colOff>
      <xdr:row>0</xdr:row>
      <xdr:rowOff>75108</xdr:rowOff>
    </xdr:from>
    <xdr:to>
      <xdr:col>0</xdr:col>
      <xdr:colOff>498414</xdr:colOff>
      <xdr:row>0</xdr:row>
      <xdr:rowOff>438691</xdr:rowOff>
    </xdr:to>
    <xdr:pic>
      <xdr:nvPicPr>
        <xdr:cNvPr id="4" name="Picture 3">
          <a:extLst>
            <a:ext uri="{FF2B5EF4-FFF2-40B4-BE49-F238E27FC236}">
              <a16:creationId xmlns:a16="http://schemas.microsoft.com/office/drawing/2014/main" id="{32F3A377-A9CD-F04F-894C-CFF925E73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99" y="75108"/>
          <a:ext cx="327715" cy="36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182880</xdr:colOff>
      <xdr:row>0</xdr:row>
      <xdr:rowOff>152400</xdr:rowOff>
    </xdr:from>
    <xdr:to>
      <xdr:col>0</xdr:col>
      <xdr:colOff>510595</xdr:colOff>
      <xdr:row>0</xdr:row>
      <xdr:rowOff>515983</xdr:rowOff>
    </xdr:to>
    <xdr:pic>
      <xdr:nvPicPr>
        <xdr:cNvPr id="7" name="Picture 6">
          <a:extLst>
            <a:ext uri="{FF2B5EF4-FFF2-40B4-BE49-F238E27FC236}">
              <a16:creationId xmlns:a16="http://schemas.microsoft.com/office/drawing/2014/main" id="{FF9AA81C-B451-7B45-8649-0775B11F4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 y="152400"/>
          <a:ext cx="327715" cy="363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10" name="Picture 9">
          <a:extLst>
            <a:ext uri="{FF2B5EF4-FFF2-40B4-BE49-F238E27FC236}">
              <a16:creationId xmlns:a16="http://schemas.microsoft.com/office/drawing/2014/main" id="{133B7F0F-EEDA-A545-9C56-BBDC6A7D8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157345</xdr:colOff>
      <xdr:row>0</xdr:row>
      <xdr:rowOff>123629</xdr:rowOff>
    </xdr:from>
    <xdr:to>
      <xdr:col>0</xdr:col>
      <xdr:colOff>485060</xdr:colOff>
      <xdr:row>0</xdr:row>
      <xdr:rowOff>487212</xdr:rowOff>
    </xdr:to>
    <xdr:pic>
      <xdr:nvPicPr>
        <xdr:cNvPr id="3" name="Picture 2">
          <a:extLst>
            <a:ext uri="{FF2B5EF4-FFF2-40B4-BE49-F238E27FC236}">
              <a16:creationId xmlns:a16="http://schemas.microsoft.com/office/drawing/2014/main" id="{63A8E668-9558-CD4C-B3EC-8577EA0BD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345" y="123629"/>
          <a:ext cx="327715" cy="3635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501E-3C34-420E-B431-C4653C06A9DA}">
  <sheetPr codeName="Sheet1"/>
  <dimension ref="A1:O22"/>
  <sheetViews>
    <sheetView zoomScale="125" workbookViewId="0">
      <selection activeCell="C3" sqref="C3:K3"/>
    </sheetView>
  </sheetViews>
  <sheetFormatPr defaultColWidth="9.140625" defaultRowHeight="15"/>
  <cols>
    <col min="1" max="1" width="7.7109375" style="184" customWidth="1"/>
    <col min="2" max="2" width="3.42578125" style="117" customWidth="1"/>
    <col min="3" max="3" width="65.7109375" style="117" customWidth="1"/>
    <col min="4" max="4" width="3.85546875" style="118" customWidth="1"/>
    <col min="5" max="5" width="2.7109375" style="118" customWidth="1"/>
    <col min="6" max="6" width="24.7109375" style="117" customWidth="1"/>
    <col min="7" max="8" width="12.7109375" style="117" customWidth="1"/>
    <col min="9" max="9" width="8.140625" style="117" customWidth="1"/>
    <col min="10" max="10" width="4.7109375" style="117" customWidth="1"/>
    <col min="11" max="11" width="31.85546875" style="117" customWidth="1"/>
    <col min="12" max="12" width="2.7109375" style="117" customWidth="1"/>
    <col min="13" max="13" width="18.7109375" style="117" customWidth="1"/>
    <col min="14" max="17" width="22.42578125" style="117" customWidth="1"/>
    <col min="18" max="20" width="18.7109375" style="117" customWidth="1"/>
    <col min="21" max="16384" width="9.140625" style="117"/>
  </cols>
  <sheetData>
    <row r="1" spans="1:15" s="159" customFormat="1" ht="33.950000000000003" customHeight="1">
      <c r="A1" s="184"/>
      <c r="C1" s="167" t="s">
        <v>0</v>
      </c>
      <c r="D1" s="158"/>
      <c r="E1" s="158"/>
    </row>
    <row r="2" spans="1:15" ht="26.1" customHeight="1"/>
    <row r="3" spans="1:15" ht="26.1">
      <c r="C3" s="200" t="s">
        <v>1</v>
      </c>
      <c r="D3" s="200"/>
      <c r="E3" s="200"/>
      <c r="F3" s="200"/>
      <c r="G3" s="200"/>
      <c r="H3" s="200"/>
      <c r="I3" s="200"/>
      <c r="J3" s="200"/>
      <c r="K3" s="200"/>
    </row>
    <row r="4" spans="1:15" ht="7.5" customHeight="1">
      <c r="D4" s="117"/>
      <c r="E4" s="117"/>
    </row>
    <row r="5" spans="1:15" ht="9" customHeight="1">
      <c r="D5" s="117"/>
      <c r="E5" s="117"/>
      <c r="K5" s="130"/>
    </row>
    <row r="6" spans="1:15" ht="30.95">
      <c r="C6" s="201" t="s">
        <v>2</v>
      </c>
      <c r="E6" s="131"/>
      <c r="F6" s="132" t="s">
        <v>3</v>
      </c>
      <c r="G6" s="132"/>
      <c r="H6" s="132"/>
      <c r="I6" s="132"/>
      <c r="J6" s="132"/>
      <c r="K6" s="3">
        <v>2000000</v>
      </c>
    </row>
    <row r="7" spans="1:15" ht="30.95">
      <c r="C7" s="202"/>
      <c r="E7" s="131"/>
      <c r="F7" s="132" t="s">
        <v>4</v>
      </c>
      <c r="G7" s="132"/>
      <c r="H7" s="132"/>
      <c r="I7" s="132"/>
      <c r="J7" s="127"/>
      <c r="K7" s="151">
        <v>100</v>
      </c>
    </row>
    <row r="8" spans="1:15" ht="30.95">
      <c r="C8" s="202"/>
      <c r="E8" s="131"/>
      <c r="F8" s="132" t="s">
        <v>5</v>
      </c>
      <c r="G8" s="132"/>
      <c r="H8" s="132"/>
      <c r="I8" s="132"/>
      <c r="J8" s="132"/>
      <c r="K8" s="5">
        <v>100</v>
      </c>
    </row>
    <row r="9" spans="1:15" ht="30.95">
      <c r="C9" s="202"/>
      <c r="E9" s="131"/>
      <c r="F9" s="132" t="s">
        <v>6</v>
      </c>
      <c r="G9" s="132"/>
      <c r="H9" s="132"/>
      <c r="I9" s="132"/>
      <c r="J9" s="132"/>
      <c r="K9" s="6">
        <v>0.1</v>
      </c>
    </row>
    <row r="10" spans="1:15" ht="7.5" customHeight="1">
      <c r="C10" s="202"/>
      <c r="F10" s="157"/>
      <c r="G10" s="157"/>
      <c r="H10" s="157"/>
      <c r="I10" s="157"/>
      <c r="J10" s="157"/>
      <c r="K10" s="179"/>
      <c r="L10" s="157"/>
    </row>
    <row r="11" spans="1:15" ht="14.25" customHeight="1">
      <c r="C11" s="202"/>
      <c r="F11" s="157"/>
      <c r="G11" s="157"/>
      <c r="H11" s="157"/>
      <c r="I11" s="157"/>
      <c r="J11" s="157"/>
      <c r="K11" s="157"/>
      <c r="L11" s="157"/>
    </row>
    <row r="12" spans="1:15" ht="36.950000000000003">
      <c r="C12" s="202"/>
      <c r="F12" s="7" t="s">
        <v>7</v>
      </c>
      <c r="G12" s="8">
        <f ca="1">YEAR(TODAY())</f>
        <v>2025</v>
      </c>
      <c r="I12" s="203">
        <f>K6*K7*K8</f>
        <v>20000000000</v>
      </c>
      <c r="J12" s="203"/>
      <c r="K12" s="203"/>
    </row>
    <row r="13" spans="1:15">
      <c r="C13" s="202"/>
      <c r="O13" s="117" t="s">
        <v>8</v>
      </c>
    </row>
    <row r="14" spans="1:15" ht="36.950000000000003">
      <c r="C14" s="202"/>
      <c r="F14" s="7" t="s">
        <v>9</v>
      </c>
      <c r="G14" s="8">
        <f ca="1">YEAR(TODAY())</f>
        <v>2025</v>
      </c>
      <c r="I14" s="203">
        <f>I12*K9</f>
        <v>2000000000</v>
      </c>
      <c r="J14" s="203"/>
      <c r="K14" s="203"/>
    </row>
    <row r="15" spans="1:15">
      <c r="C15" s="202"/>
    </row>
    <row r="16" spans="1:15" ht="18.95">
      <c r="C16" s="202"/>
      <c r="F16" s="117" t="s">
        <v>8</v>
      </c>
      <c r="H16" s="9" t="s">
        <v>10</v>
      </c>
      <c r="I16" s="204" t="s">
        <v>11</v>
      </c>
      <c r="J16" s="204"/>
      <c r="K16" s="205"/>
    </row>
    <row r="17" spans="6:13" ht="15.75" customHeight="1">
      <c r="F17" s="118"/>
      <c r="G17" s="118"/>
      <c r="I17" s="118"/>
      <c r="J17" s="118"/>
      <c r="K17" s="118"/>
      <c r="L17" s="118"/>
      <c r="M17" s="118"/>
    </row>
    <row r="22" spans="6:13">
      <c r="H22" s="137"/>
    </row>
  </sheetData>
  <mergeCells count="5">
    <mergeCell ref="C3:K3"/>
    <mergeCell ref="C6:C16"/>
    <mergeCell ref="I12:K12"/>
    <mergeCell ref="I14:K14"/>
    <mergeCell ref="I16:K16"/>
  </mergeCells>
  <hyperlinks>
    <hyperlink ref="I16:K16" location="'Driving Forces brainstorm'!A1" display="Driving Forces Brainstorm" xr:uid="{7AE34F83-C46F-4647-BBA2-516664A1A772}"/>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0120-7BDC-420D-8E21-A9465018B1D9}">
  <sheetPr codeName="Sheet10">
    <tabColor theme="1"/>
  </sheetPr>
  <dimension ref="B1:AD27"/>
  <sheetViews>
    <sheetView zoomScale="85" zoomScaleNormal="85" workbookViewId="0">
      <selection activeCell="G42" sqref="G42"/>
    </sheetView>
  </sheetViews>
  <sheetFormatPr defaultColWidth="9.140625" defaultRowHeight="15"/>
  <cols>
    <col min="1" max="1" width="3.42578125" style="136" customWidth="1"/>
    <col min="2" max="4" width="9.140625" style="136"/>
    <col min="5" max="5" width="11.28515625" style="136" bestFit="1" customWidth="1"/>
    <col min="6" max="6" width="4.85546875" style="136" customWidth="1"/>
    <col min="7" max="7" width="26.42578125" style="136" bestFit="1" customWidth="1"/>
    <col min="8" max="9" width="12.42578125" style="136" bestFit="1" customWidth="1"/>
    <col min="10" max="10" width="11.42578125" style="136" customWidth="1"/>
    <col min="11" max="11" width="11.140625" style="136" customWidth="1"/>
    <col min="12" max="12" width="11.42578125" style="136" customWidth="1"/>
    <col min="13" max="16" width="9.42578125" style="136" bestFit="1" customWidth="1"/>
    <col min="17" max="17" width="10.42578125" style="136" bestFit="1" customWidth="1"/>
    <col min="18" max="18" width="0" style="136" hidden="1" customWidth="1"/>
    <col min="19" max="19" width="7.42578125" style="136" customWidth="1"/>
    <col min="20" max="20" width="2" style="138" bestFit="1" customWidth="1"/>
    <col min="21" max="16384" width="9.140625" style="136"/>
  </cols>
  <sheetData>
    <row r="1" spans="2:30" ht="24">
      <c r="B1" s="150" t="s">
        <v>12</v>
      </c>
      <c r="C1" s="137"/>
      <c r="D1" s="137"/>
      <c r="E1" s="137"/>
      <c r="F1" s="137"/>
      <c r="G1" s="137"/>
      <c r="H1" s="137"/>
      <c r="I1" s="137"/>
      <c r="J1" s="137"/>
      <c r="K1" s="137"/>
      <c r="L1" s="137"/>
      <c r="M1" s="137"/>
      <c r="N1" s="137"/>
      <c r="O1" s="137"/>
      <c r="P1" s="137"/>
      <c r="Q1" s="137"/>
    </row>
    <row r="2" spans="2:30" ht="33.950000000000003">
      <c r="B2" s="35" t="s">
        <v>13</v>
      </c>
      <c r="C2" s="35"/>
      <c r="D2" s="35"/>
      <c r="E2" s="35"/>
      <c r="F2" s="35"/>
      <c r="G2" s="35"/>
      <c r="H2" s="35"/>
      <c r="I2" s="35"/>
      <c r="J2" s="35"/>
      <c r="K2" s="35"/>
      <c r="L2" s="35"/>
      <c r="M2" s="35"/>
      <c r="N2" s="35"/>
      <c r="O2" s="35"/>
      <c r="P2" s="35"/>
      <c r="Q2" s="35"/>
      <c r="R2" s="34"/>
    </row>
    <row r="3" spans="2:30" ht="15.95" thickBot="1">
      <c r="B3" s="137"/>
      <c r="C3" s="137"/>
      <c r="D3" s="137"/>
      <c r="E3" s="137"/>
      <c r="F3" s="137"/>
      <c r="G3" s="137"/>
      <c r="H3" s="137"/>
      <c r="I3" s="137"/>
      <c r="J3" s="137"/>
      <c r="K3" s="137"/>
      <c r="L3" s="137"/>
      <c r="M3" s="137"/>
      <c r="N3" s="137"/>
      <c r="O3" s="137"/>
      <c r="P3" s="137"/>
      <c r="Q3" s="137"/>
    </row>
    <row r="4" spans="2:30">
      <c r="B4" s="36" t="s">
        <v>14</v>
      </c>
      <c r="C4" s="37"/>
      <c r="D4" s="37"/>
      <c r="E4" s="38"/>
      <c r="F4" s="137"/>
      <c r="G4" s="139"/>
      <c r="H4" s="39" t="s">
        <v>15</v>
      </c>
      <c r="I4" s="39" t="s">
        <v>16</v>
      </c>
      <c r="J4" s="39" t="s">
        <v>17</v>
      </c>
      <c r="K4" s="39" t="s">
        <v>18</v>
      </c>
      <c r="L4" s="39" t="s">
        <v>19</v>
      </c>
      <c r="M4" s="39" t="s">
        <v>20</v>
      </c>
      <c r="N4" s="39" t="s">
        <v>21</v>
      </c>
      <c r="O4" s="39" t="s">
        <v>22</v>
      </c>
      <c r="P4" s="39" t="s">
        <v>23</v>
      </c>
      <c r="Q4" s="40" t="s">
        <v>24</v>
      </c>
      <c r="R4" s="34"/>
      <c r="T4" s="206" t="s">
        <v>25</v>
      </c>
      <c r="U4" s="206"/>
      <c r="V4" s="206"/>
      <c r="W4" s="206"/>
      <c r="X4" s="206"/>
      <c r="Y4" s="206"/>
      <c r="Z4" s="206"/>
      <c r="AA4" s="206"/>
      <c r="AB4" s="206"/>
      <c r="AC4" s="206"/>
      <c r="AD4" s="206"/>
    </row>
    <row r="5" spans="2:30">
      <c r="B5" s="140"/>
      <c r="C5" s="137"/>
      <c r="D5" s="137"/>
      <c r="E5" s="42"/>
      <c r="F5" s="137"/>
      <c r="G5" s="140"/>
      <c r="H5" s="33"/>
      <c r="I5" s="33"/>
      <c r="J5" s="33"/>
      <c r="K5" s="33"/>
      <c r="L5" s="33"/>
      <c r="M5" s="33"/>
      <c r="N5" s="33"/>
      <c r="O5" s="33"/>
      <c r="P5" s="33"/>
      <c r="Q5" s="42"/>
      <c r="R5" s="34"/>
      <c r="T5" s="206"/>
      <c r="U5" s="206"/>
      <c r="V5" s="206"/>
      <c r="W5" s="206"/>
      <c r="X5" s="206"/>
      <c r="Y5" s="206"/>
      <c r="Z5" s="206"/>
      <c r="AA5" s="206"/>
      <c r="AB5" s="206"/>
      <c r="AC5" s="206"/>
      <c r="AD5" s="206"/>
    </row>
    <row r="6" spans="2:30">
      <c r="B6" s="140" t="s">
        <v>26</v>
      </c>
      <c r="C6" s="137"/>
      <c r="D6" s="137"/>
      <c r="E6" s="43">
        <v>5</v>
      </c>
      <c r="F6" s="137"/>
      <c r="G6" s="141" t="s">
        <v>27</v>
      </c>
      <c r="H6" s="44"/>
      <c r="I6" s="44"/>
      <c r="J6" s="44"/>
      <c r="K6" s="44"/>
      <c r="L6" s="44"/>
      <c r="M6" s="44"/>
      <c r="N6" s="44"/>
      <c r="O6" s="44"/>
      <c r="P6" s="44"/>
      <c r="Q6" s="45"/>
      <c r="R6" s="34"/>
      <c r="T6" s="206"/>
      <c r="U6" s="206"/>
      <c r="V6" s="206"/>
      <c r="W6" s="206"/>
      <c r="X6" s="206"/>
      <c r="Y6" s="206"/>
      <c r="Z6" s="206"/>
      <c r="AA6" s="206"/>
      <c r="AB6" s="206"/>
      <c r="AC6" s="206"/>
      <c r="AD6" s="206"/>
    </row>
    <row r="7" spans="2:30" ht="15.95" thickBot="1">
      <c r="B7" s="145" t="s">
        <v>28</v>
      </c>
      <c r="C7" s="146"/>
      <c r="D7" s="146"/>
      <c r="E7" s="46">
        <v>1</v>
      </c>
      <c r="F7" s="137"/>
      <c r="G7" s="142"/>
      <c r="H7" s="33"/>
      <c r="I7" s="33"/>
      <c r="J7" s="33"/>
      <c r="K7" s="33"/>
      <c r="L7" s="33"/>
      <c r="M7" s="33"/>
      <c r="N7" s="33"/>
      <c r="O7" s="33"/>
      <c r="P7" s="33"/>
      <c r="Q7" s="42"/>
      <c r="R7" s="34"/>
    </row>
    <row r="8" spans="2:30" ht="15.95" thickBot="1">
      <c r="B8" s="137"/>
      <c r="C8" s="137"/>
      <c r="D8" s="137"/>
      <c r="E8" s="137"/>
      <c r="F8" s="137"/>
      <c r="G8" s="142" t="s">
        <v>29</v>
      </c>
      <c r="H8" s="47"/>
      <c r="I8" s="47"/>
      <c r="J8" s="47"/>
      <c r="K8" s="47"/>
      <c r="L8" s="47"/>
      <c r="M8" s="47"/>
      <c r="N8" s="47"/>
      <c r="O8" s="47"/>
      <c r="P8" s="47"/>
      <c r="Q8" s="48"/>
      <c r="R8" s="34"/>
      <c r="T8" s="49">
        <v>1</v>
      </c>
      <c r="U8" s="50" t="s">
        <v>30</v>
      </c>
      <c r="V8" s="50"/>
      <c r="W8" s="50"/>
      <c r="X8" s="50"/>
      <c r="Y8" s="50"/>
      <c r="Z8" s="50"/>
      <c r="AA8" s="50"/>
      <c r="AB8" s="50"/>
      <c r="AC8" s="50"/>
      <c r="AD8" s="50"/>
    </row>
    <row r="9" spans="2:30">
      <c r="B9" s="36" t="s">
        <v>31</v>
      </c>
      <c r="C9" s="37"/>
      <c r="D9" s="37"/>
      <c r="E9" s="38"/>
      <c r="F9" s="137"/>
      <c r="G9" s="142" t="s">
        <v>32</v>
      </c>
      <c r="H9" s="33">
        <f>H6*H8*$E$6</f>
        <v>0</v>
      </c>
      <c r="I9" s="33">
        <f t="shared" ref="I9:Q9" si="0">I6*I8*$E$6</f>
        <v>0</v>
      </c>
      <c r="J9" s="33">
        <f t="shared" si="0"/>
        <v>0</v>
      </c>
      <c r="K9" s="33">
        <f>K6*K8*$E$6</f>
        <v>0</v>
      </c>
      <c r="L9" s="33">
        <f t="shared" si="0"/>
        <v>0</v>
      </c>
      <c r="M9" s="33">
        <f t="shared" si="0"/>
        <v>0</v>
      </c>
      <c r="N9" s="33">
        <f t="shared" si="0"/>
        <v>0</v>
      </c>
      <c r="O9" s="33">
        <f t="shared" si="0"/>
        <v>0</v>
      </c>
      <c r="P9" s="33">
        <f t="shared" si="0"/>
        <v>0</v>
      </c>
      <c r="Q9" s="42">
        <f t="shared" si="0"/>
        <v>0</v>
      </c>
      <c r="R9" s="34">
        <f>AVERAGE(H9:Q9)</f>
        <v>0</v>
      </c>
      <c r="T9" s="49">
        <v>2</v>
      </c>
      <c r="U9" s="50" t="s">
        <v>33</v>
      </c>
      <c r="V9" s="50"/>
      <c r="W9" s="50"/>
      <c r="X9" s="50"/>
      <c r="Y9" s="50"/>
      <c r="Z9" s="50"/>
      <c r="AA9" s="50"/>
      <c r="AB9" s="50"/>
      <c r="AC9" s="50"/>
      <c r="AD9" s="50"/>
    </row>
    <row r="10" spans="2:30" hidden="1">
      <c r="B10" s="41"/>
      <c r="C10" s="33"/>
      <c r="D10" s="33"/>
      <c r="E10" s="42"/>
      <c r="F10" s="137"/>
      <c r="G10" s="142" t="s">
        <v>34</v>
      </c>
      <c r="H10" s="51" t="e">
        <f t="shared" ref="H10:Q10" si="1">(H9*100%)/$R$9</f>
        <v>#DIV/0!</v>
      </c>
      <c r="I10" s="51" t="e">
        <f t="shared" si="1"/>
        <v>#DIV/0!</v>
      </c>
      <c r="J10" s="51" t="e">
        <f t="shared" si="1"/>
        <v>#DIV/0!</v>
      </c>
      <c r="K10" s="51" t="e">
        <f t="shared" si="1"/>
        <v>#DIV/0!</v>
      </c>
      <c r="L10" s="51" t="e">
        <f t="shared" si="1"/>
        <v>#DIV/0!</v>
      </c>
      <c r="M10" s="51" t="e">
        <f t="shared" si="1"/>
        <v>#DIV/0!</v>
      </c>
      <c r="N10" s="51" t="e">
        <f t="shared" si="1"/>
        <v>#DIV/0!</v>
      </c>
      <c r="O10" s="51" t="e">
        <f t="shared" si="1"/>
        <v>#DIV/0!</v>
      </c>
      <c r="P10" s="51" t="e">
        <f t="shared" si="1"/>
        <v>#DIV/0!</v>
      </c>
      <c r="Q10" s="52" t="e">
        <f t="shared" si="1"/>
        <v>#DIV/0!</v>
      </c>
      <c r="R10" s="34"/>
      <c r="T10" s="49"/>
      <c r="U10" s="50"/>
      <c r="V10" s="50"/>
      <c r="W10" s="50"/>
      <c r="X10" s="50"/>
      <c r="Y10" s="50"/>
      <c r="Z10" s="50"/>
      <c r="AA10" s="50"/>
      <c r="AB10" s="50"/>
      <c r="AC10" s="50"/>
      <c r="AD10" s="50"/>
    </row>
    <row r="11" spans="2:30">
      <c r="B11" s="140" t="s">
        <v>35</v>
      </c>
      <c r="C11" s="137"/>
      <c r="D11" s="137"/>
      <c r="E11" s="53">
        <v>1.5</v>
      </c>
      <c r="F11" s="137"/>
      <c r="G11" s="141" t="s">
        <v>36</v>
      </c>
      <c r="H11" s="54" t="str">
        <f t="shared" ref="H11:Q11" si="2">IFERROR(IF(H10&lt;$E$16,"-3",IF(H10&lt;$E$14,"-2",IF(AND(H10&gt;=$E$14,H10&lt;=$E$13),"-1",IF(H10=$E$13,0,IF(AND(H10&gt;$E$13,H10&lt;$E$12),1,IF(AND(H10&gt;$E$12,H10&lt;$E$11),2,IF(H10&gt;$E$11,"3"))))))),"")</f>
        <v/>
      </c>
      <c r="I11" s="54" t="str">
        <f t="shared" si="2"/>
        <v/>
      </c>
      <c r="J11" s="54" t="str">
        <f t="shared" si="2"/>
        <v/>
      </c>
      <c r="K11" s="54" t="str">
        <f t="shared" si="2"/>
        <v/>
      </c>
      <c r="L11" s="54" t="str">
        <f t="shared" si="2"/>
        <v/>
      </c>
      <c r="M11" s="54" t="str">
        <f t="shared" si="2"/>
        <v/>
      </c>
      <c r="N11" s="54" t="str">
        <f t="shared" si="2"/>
        <v/>
      </c>
      <c r="O11" s="54" t="str">
        <f t="shared" si="2"/>
        <v/>
      </c>
      <c r="P11" s="54" t="str">
        <f t="shared" si="2"/>
        <v/>
      </c>
      <c r="Q11" s="55" t="str">
        <f t="shared" si="2"/>
        <v/>
      </c>
      <c r="R11" s="34"/>
      <c r="T11" s="49">
        <v>3</v>
      </c>
      <c r="U11" s="50" t="s">
        <v>37</v>
      </c>
      <c r="V11" s="50"/>
      <c r="W11" s="50"/>
      <c r="X11" s="50"/>
      <c r="Y11" s="50"/>
      <c r="Z11" s="50"/>
      <c r="AA11" s="50"/>
      <c r="AB11" s="50"/>
      <c r="AC11" s="50"/>
      <c r="AD11" s="50"/>
    </row>
    <row r="12" spans="2:30">
      <c r="B12" s="140" t="s">
        <v>38</v>
      </c>
      <c r="C12" s="137"/>
      <c r="D12" s="137"/>
      <c r="E12" s="53">
        <v>1.25</v>
      </c>
      <c r="F12" s="137"/>
      <c r="G12" s="140"/>
      <c r="H12" s="33"/>
      <c r="I12" s="33"/>
      <c r="J12" s="33"/>
      <c r="K12" s="33"/>
      <c r="L12" s="33"/>
      <c r="M12" s="33"/>
      <c r="N12" s="33"/>
      <c r="O12" s="33"/>
      <c r="P12" s="33"/>
      <c r="Q12" s="42"/>
      <c r="R12" s="34"/>
      <c r="T12" s="49">
        <v>4</v>
      </c>
      <c r="U12" s="50" t="s">
        <v>39</v>
      </c>
      <c r="V12" s="50"/>
      <c r="W12" s="50"/>
      <c r="X12" s="50"/>
      <c r="Y12" s="50"/>
      <c r="Z12" s="50"/>
      <c r="AA12" s="50"/>
      <c r="AB12" s="50"/>
      <c r="AC12" s="50"/>
      <c r="AD12" s="50"/>
    </row>
    <row r="13" spans="2:30">
      <c r="B13" s="140" t="s">
        <v>40</v>
      </c>
      <c r="C13" s="137"/>
      <c r="D13" s="137"/>
      <c r="E13" s="53">
        <v>1</v>
      </c>
      <c r="F13" s="137"/>
      <c r="G13" s="142" t="s">
        <v>41</v>
      </c>
      <c r="H13" s="47">
        <v>1</v>
      </c>
      <c r="I13" s="47">
        <v>1</v>
      </c>
      <c r="J13" s="47">
        <v>1</v>
      </c>
      <c r="K13" s="47">
        <v>1</v>
      </c>
      <c r="L13" s="47">
        <v>1</v>
      </c>
      <c r="M13" s="47">
        <v>0</v>
      </c>
      <c r="N13" s="47">
        <v>0</v>
      </c>
      <c r="O13" s="47">
        <v>0</v>
      </c>
      <c r="P13" s="47">
        <v>0</v>
      </c>
      <c r="Q13" s="48">
        <v>0</v>
      </c>
      <c r="R13" s="34"/>
      <c r="T13" s="49">
        <v>5</v>
      </c>
      <c r="U13" s="50" t="s">
        <v>42</v>
      </c>
      <c r="V13" s="50"/>
      <c r="W13" s="50"/>
      <c r="X13" s="50"/>
      <c r="Y13" s="50"/>
      <c r="Z13" s="50"/>
      <c r="AA13" s="50"/>
      <c r="AB13" s="50"/>
      <c r="AC13" s="50"/>
      <c r="AD13" s="50"/>
    </row>
    <row r="14" spans="2:30">
      <c r="B14" s="140" t="s">
        <v>43</v>
      </c>
      <c r="C14" s="137"/>
      <c r="D14" s="137"/>
      <c r="E14" s="53">
        <v>0.75</v>
      </c>
      <c r="F14" s="137"/>
      <c r="G14" s="142" t="s">
        <v>44</v>
      </c>
      <c r="H14" s="33">
        <f>$E$7*H6*H13</f>
        <v>0</v>
      </c>
      <c r="I14" s="33">
        <f t="shared" ref="I14:Q14" si="3">$E$7*I6*I13</f>
        <v>0</v>
      </c>
      <c r="J14" s="33">
        <f t="shared" si="3"/>
        <v>0</v>
      </c>
      <c r="K14" s="33">
        <f t="shared" si="3"/>
        <v>0</v>
      </c>
      <c r="L14" s="33">
        <f t="shared" si="3"/>
        <v>0</v>
      </c>
      <c r="M14" s="33">
        <f t="shared" si="3"/>
        <v>0</v>
      </c>
      <c r="N14" s="33">
        <f t="shared" si="3"/>
        <v>0</v>
      </c>
      <c r="O14" s="33">
        <f t="shared" si="3"/>
        <v>0</v>
      </c>
      <c r="P14" s="33">
        <f t="shared" si="3"/>
        <v>0</v>
      </c>
      <c r="Q14" s="42">
        <f t="shared" si="3"/>
        <v>0</v>
      </c>
      <c r="R14" s="34">
        <f>AVERAGE(H14:Q14)</f>
        <v>0</v>
      </c>
      <c r="T14" s="49"/>
      <c r="U14" s="50"/>
      <c r="V14" s="50"/>
      <c r="W14" s="50"/>
      <c r="X14" s="50"/>
      <c r="Y14" s="50"/>
      <c r="Z14" s="50"/>
      <c r="AA14" s="50"/>
      <c r="AB14" s="50"/>
      <c r="AC14" s="50"/>
      <c r="AD14" s="50"/>
    </row>
    <row r="15" spans="2:30" hidden="1">
      <c r="B15" s="140"/>
      <c r="C15" s="137"/>
      <c r="D15" s="137"/>
      <c r="E15" s="53"/>
      <c r="F15" s="137"/>
      <c r="G15" s="142" t="s">
        <v>34</v>
      </c>
      <c r="H15" s="51" t="e">
        <f t="shared" ref="H15:Q15" si="4">(H14*100%)/$R$14</f>
        <v>#DIV/0!</v>
      </c>
      <c r="I15" s="51" t="e">
        <f t="shared" si="4"/>
        <v>#DIV/0!</v>
      </c>
      <c r="J15" s="51" t="e">
        <f t="shared" si="4"/>
        <v>#DIV/0!</v>
      </c>
      <c r="K15" s="51" t="e">
        <f t="shared" si="4"/>
        <v>#DIV/0!</v>
      </c>
      <c r="L15" s="51" t="e">
        <f t="shared" si="4"/>
        <v>#DIV/0!</v>
      </c>
      <c r="M15" s="51" t="e">
        <f t="shared" si="4"/>
        <v>#DIV/0!</v>
      </c>
      <c r="N15" s="51" t="e">
        <f t="shared" si="4"/>
        <v>#DIV/0!</v>
      </c>
      <c r="O15" s="51" t="e">
        <f t="shared" si="4"/>
        <v>#DIV/0!</v>
      </c>
      <c r="P15" s="51" t="e">
        <f t="shared" si="4"/>
        <v>#DIV/0!</v>
      </c>
      <c r="Q15" s="52" t="e">
        <f t="shared" si="4"/>
        <v>#DIV/0!</v>
      </c>
      <c r="R15" s="34"/>
      <c r="T15" s="49"/>
      <c r="U15" s="50" t="s">
        <v>45</v>
      </c>
      <c r="V15" s="50"/>
      <c r="W15" s="50"/>
      <c r="X15" s="50"/>
      <c r="Y15" s="50"/>
      <c r="Z15" s="50"/>
      <c r="AA15" s="50"/>
      <c r="AB15" s="50"/>
      <c r="AC15" s="50"/>
      <c r="AD15" s="50"/>
    </row>
    <row r="16" spans="2:30" ht="15.95" thickBot="1">
      <c r="B16" s="145" t="s">
        <v>46</v>
      </c>
      <c r="C16" s="146"/>
      <c r="D16" s="146"/>
      <c r="E16" s="56">
        <v>0.5</v>
      </c>
      <c r="F16" s="137"/>
      <c r="G16" s="141" t="s">
        <v>47</v>
      </c>
      <c r="H16" s="54" t="str">
        <f t="shared" ref="H16:Q16" si="5">IFERROR(IF(H15&lt;$E$16,"-3",IF(H15&lt;$E$14,"-2",IF(AND(H15&gt;=$E$14,H15&lt;=$E$13),"-1",IF(H15=$E$13,0,IF(AND(H15&gt;$E$13,H15&lt;$E$12),1,IF(AND(H15&gt;$E$12,H15&lt;$E$11),2,IF(H15&gt;$E$11,"3"))))))),"")</f>
        <v/>
      </c>
      <c r="I16" s="54" t="str">
        <f t="shared" si="5"/>
        <v/>
      </c>
      <c r="J16" s="54" t="str">
        <f t="shared" si="5"/>
        <v/>
      </c>
      <c r="K16" s="54" t="str">
        <f t="shared" si="5"/>
        <v/>
      </c>
      <c r="L16" s="54" t="str">
        <f t="shared" si="5"/>
        <v/>
      </c>
      <c r="M16" s="54" t="str">
        <f t="shared" si="5"/>
        <v/>
      </c>
      <c r="N16" s="54" t="str">
        <f t="shared" si="5"/>
        <v/>
      </c>
      <c r="O16" s="54" t="str">
        <f t="shared" si="5"/>
        <v/>
      </c>
      <c r="P16" s="54" t="str">
        <f t="shared" si="5"/>
        <v/>
      </c>
      <c r="Q16" s="55" t="str">
        <f t="shared" si="5"/>
        <v/>
      </c>
      <c r="R16" s="34"/>
      <c r="T16" s="49"/>
      <c r="U16" s="57" t="s">
        <v>48</v>
      </c>
      <c r="V16" s="57"/>
      <c r="W16" s="57"/>
      <c r="X16" s="57"/>
      <c r="Y16" s="57"/>
      <c r="Z16" s="57"/>
      <c r="AA16" s="57"/>
      <c r="AB16" s="57"/>
      <c r="AC16" s="57"/>
      <c r="AD16" s="57"/>
    </row>
    <row r="17" spans="2:30" ht="15.95" thickBot="1">
      <c r="B17" s="137"/>
      <c r="C17" s="137"/>
      <c r="D17" s="137"/>
      <c r="E17" s="137"/>
      <c r="F17" s="137"/>
      <c r="G17" s="140"/>
      <c r="H17" s="33"/>
      <c r="I17" s="33"/>
      <c r="J17" s="33"/>
      <c r="K17" s="33"/>
      <c r="L17" s="33"/>
      <c r="M17" s="33"/>
      <c r="N17" s="33"/>
      <c r="O17" s="33"/>
      <c r="P17" s="33"/>
      <c r="Q17" s="42"/>
      <c r="R17" s="34"/>
      <c r="T17" s="49"/>
      <c r="U17" s="50"/>
      <c r="V17" s="50"/>
      <c r="W17" s="50"/>
      <c r="X17" s="50"/>
      <c r="Y17" s="50"/>
      <c r="Z17" s="50"/>
      <c r="AA17" s="50"/>
      <c r="AB17" s="50"/>
      <c r="AC17" s="50"/>
      <c r="AD17" s="50"/>
    </row>
    <row r="18" spans="2:30">
      <c r="B18" s="36" t="s">
        <v>49</v>
      </c>
      <c r="C18" s="37"/>
      <c r="D18" s="37"/>
      <c r="E18" s="38"/>
      <c r="F18" s="137"/>
      <c r="G18" s="141" t="s">
        <v>50</v>
      </c>
      <c r="H18" s="44"/>
      <c r="I18" s="44"/>
      <c r="J18" s="44"/>
      <c r="K18" s="44"/>
      <c r="L18" s="44"/>
      <c r="M18" s="44"/>
      <c r="N18" s="44"/>
      <c r="O18" s="44"/>
      <c r="P18" s="44"/>
      <c r="Q18" s="45"/>
      <c r="R18" s="34"/>
      <c r="T18" s="49"/>
      <c r="U18" s="58" t="s">
        <v>51</v>
      </c>
      <c r="V18" s="58"/>
      <c r="W18" s="58"/>
      <c r="X18" s="50"/>
      <c r="Y18" s="50"/>
      <c r="Z18" s="50"/>
      <c r="AA18" s="50"/>
      <c r="AB18" s="50"/>
      <c r="AC18" s="50"/>
      <c r="AD18" s="50"/>
    </row>
    <row r="19" spans="2:30">
      <c r="B19" s="140" t="s">
        <v>52</v>
      </c>
      <c r="C19" s="137"/>
      <c r="D19" s="137"/>
      <c r="E19" s="42">
        <v>3</v>
      </c>
      <c r="F19" s="137"/>
      <c r="G19" s="142"/>
      <c r="H19" s="33"/>
      <c r="I19" s="33"/>
      <c r="J19" s="33"/>
      <c r="K19" s="33"/>
      <c r="L19" s="33"/>
      <c r="M19" s="33"/>
      <c r="N19" s="33"/>
      <c r="O19" s="33"/>
      <c r="P19" s="33"/>
      <c r="Q19" s="42"/>
      <c r="R19" s="34"/>
      <c r="T19" s="49"/>
      <c r="U19" s="58"/>
      <c r="V19" s="58"/>
      <c r="W19" s="58"/>
      <c r="X19" s="50"/>
      <c r="Y19" s="50"/>
      <c r="Z19" s="50"/>
      <c r="AA19" s="50"/>
      <c r="AB19" s="50"/>
      <c r="AC19" s="50"/>
      <c r="AD19" s="50"/>
    </row>
    <row r="20" spans="2:30" ht="15.95" thickBot="1">
      <c r="B20" s="140" t="s">
        <v>53</v>
      </c>
      <c r="C20" s="137"/>
      <c r="D20" s="137"/>
      <c r="E20" s="42">
        <v>2</v>
      </c>
      <c r="F20" s="137"/>
      <c r="G20" s="143" t="s">
        <v>54</v>
      </c>
      <c r="H20" s="59" t="str">
        <f t="shared" ref="H20:Q20" si="6">IFERROR(H11+H16+H18,"")</f>
        <v/>
      </c>
      <c r="I20" s="59" t="str">
        <f t="shared" si="6"/>
        <v/>
      </c>
      <c r="J20" s="59" t="str">
        <f t="shared" si="6"/>
        <v/>
      </c>
      <c r="K20" s="59" t="str">
        <f t="shared" si="6"/>
        <v/>
      </c>
      <c r="L20" s="59" t="str">
        <f t="shared" si="6"/>
        <v/>
      </c>
      <c r="M20" s="59" t="str">
        <f t="shared" si="6"/>
        <v/>
      </c>
      <c r="N20" s="59" t="str">
        <f t="shared" si="6"/>
        <v/>
      </c>
      <c r="O20" s="59" t="str">
        <f t="shared" si="6"/>
        <v/>
      </c>
      <c r="P20" s="59" t="str">
        <f t="shared" si="6"/>
        <v/>
      </c>
      <c r="Q20" s="60" t="str">
        <f t="shared" si="6"/>
        <v/>
      </c>
      <c r="R20" s="34"/>
      <c r="T20" s="49"/>
      <c r="U20" s="50"/>
      <c r="V20" s="50"/>
      <c r="W20" s="50"/>
      <c r="X20" s="50"/>
      <c r="Y20" s="50"/>
      <c r="Z20" s="50"/>
      <c r="AA20" s="50"/>
      <c r="AB20" s="50"/>
      <c r="AC20" s="50"/>
      <c r="AD20" s="50"/>
    </row>
    <row r="21" spans="2:30">
      <c r="B21" s="140" t="s">
        <v>55</v>
      </c>
      <c r="C21" s="137"/>
      <c r="D21" s="137"/>
      <c r="E21" s="42">
        <v>1</v>
      </c>
      <c r="F21" s="137"/>
      <c r="G21" s="137"/>
      <c r="H21" s="137"/>
      <c r="I21" s="137"/>
      <c r="J21" s="137"/>
      <c r="K21" s="137"/>
      <c r="L21" s="137"/>
      <c r="M21" s="137"/>
      <c r="N21" s="137"/>
      <c r="O21" s="137"/>
      <c r="P21" s="137"/>
      <c r="Q21" s="137"/>
    </row>
    <row r="22" spans="2:30">
      <c r="B22" s="140" t="s">
        <v>56</v>
      </c>
      <c r="C22" s="137"/>
      <c r="D22" s="137"/>
      <c r="E22" s="42">
        <v>-2</v>
      </c>
      <c r="F22" s="137"/>
      <c r="G22" s="137"/>
      <c r="H22" s="137"/>
      <c r="I22" s="137"/>
      <c r="J22" s="137"/>
      <c r="K22" s="137"/>
      <c r="L22" s="137"/>
      <c r="M22" s="137"/>
      <c r="N22" s="137"/>
      <c r="O22" s="137"/>
      <c r="P22" s="137"/>
      <c r="Q22" s="137"/>
    </row>
    <row r="23" spans="2:30" ht="15.95" thickBot="1">
      <c r="B23" s="145" t="s">
        <v>57</v>
      </c>
      <c r="C23" s="146"/>
      <c r="D23" s="146"/>
      <c r="E23" s="61">
        <v>-3</v>
      </c>
      <c r="F23" s="137"/>
      <c r="G23" s="137"/>
      <c r="H23" s="149"/>
      <c r="I23" s="137"/>
      <c r="J23" s="137"/>
      <c r="K23" s="137"/>
      <c r="L23" s="137"/>
      <c r="M23" s="137"/>
      <c r="N23" s="137"/>
      <c r="O23" s="137"/>
      <c r="P23" s="137"/>
      <c r="Q23" s="137"/>
    </row>
    <row r="24" spans="2:30">
      <c r="B24" s="137"/>
      <c r="C24" s="137"/>
      <c r="D24" s="137"/>
      <c r="E24" s="137"/>
      <c r="F24" s="137"/>
      <c r="G24" s="144"/>
      <c r="H24" s="137"/>
      <c r="I24" s="137"/>
      <c r="J24" s="137"/>
      <c r="K24" s="137"/>
      <c r="L24" s="137"/>
      <c r="M24" s="137"/>
      <c r="N24" s="137"/>
      <c r="O24" s="137"/>
      <c r="P24" s="137"/>
      <c r="Q24" s="137"/>
    </row>
    <row r="26" spans="2:30" ht="15.95">
      <c r="B26" s="147"/>
    </row>
    <row r="27" spans="2:30">
      <c r="G27" s="148"/>
    </row>
  </sheetData>
  <mergeCells count="1">
    <mergeCell ref="T4:AD6"/>
  </mergeCells>
  <conditionalFormatting sqref="E11:E16">
    <cfRule type="colorScale" priority="4">
      <colorScale>
        <cfvo type="min"/>
        <cfvo type="percentile" val="50"/>
        <cfvo type="max"/>
        <color rgb="FFF8696B"/>
        <color rgb="FFFCFCFF"/>
        <color rgb="FF63BE7B"/>
      </colorScale>
    </cfRule>
  </conditionalFormatting>
  <conditionalFormatting sqref="E19:E23">
    <cfRule type="colorScale" priority="2">
      <colorScale>
        <cfvo type="min"/>
        <cfvo type="percentile" val="50"/>
        <cfvo type="max"/>
        <color rgb="FFF8696B"/>
        <color rgb="FFFCFCFF"/>
        <color rgb="FF63BE7B"/>
      </colorScale>
    </cfRule>
  </conditionalFormatting>
  <conditionalFormatting sqref="H12:Q12">
    <cfRule type="colorScale" priority="3">
      <colorScale>
        <cfvo type="min"/>
        <cfvo type="percentile" val="50"/>
        <cfvo type="max"/>
        <color rgb="FFF8696B"/>
        <color rgb="FFFCFCFF"/>
        <color rgb="FF63BE7B"/>
      </colorScale>
    </cfRule>
  </conditionalFormatting>
  <conditionalFormatting sqref="H20: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8FAC-DB7F-4EB1-AF69-1224A7D6FC19}">
  <sheetPr codeName="Sheet2"/>
  <dimension ref="A1:X26"/>
  <sheetViews>
    <sheetView topLeftCell="D1" zoomScale="88" zoomScaleNormal="120" workbookViewId="0">
      <selection activeCell="F41" sqref="F41"/>
    </sheetView>
  </sheetViews>
  <sheetFormatPr defaultColWidth="8.7109375" defaultRowHeight="15"/>
  <cols>
    <col min="1" max="1" width="65.7109375" style="118" hidden="1" customWidth="1"/>
    <col min="2" max="3" width="9.140625" style="118" hidden="1" customWidth="1"/>
    <col min="4" max="4" width="7.7109375" style="164" customWidth="1"/>
    <col min="5" max="5" width="3.140625" style="118" customWidth="1"/>
    <col min="6" max="6" width="58" style="118" customWidth="1"/>
    <col min="7" max="7" width="2.7109375" style="118" customWidth="1"/>
    <col min="8" max="8" width="50.7109375" style="118" customWidth="1"/>
    <col min="9" max="9" width="17.28515625" style="118" customWidth="1"/>
    <col min="10" max="10" width="17.42578125" style="118" customWidth="1"/>
    <col min="11" max="11" width="4.7109375" style="118" hidden="1" customWidth="1"/>
    <col min="12" max="12" width="1.28515625" style="118" customWidth="1"/>
    <col min="13" max="13" width="7" style="118" customWidth="1"/>
    <col min="14" max="14" width="7.7109375" style="118" bestFit="1" customWidth="1"/>
    <col min="15" max="15" width="20.7109375" style="118" customWidth="1"/>
    <col min="16" max="16" width="2.42578125" style="118" customWidth="1"/>
    <col min="17" max="17" width="26" style="118" customWidth="1"/>
    <col min="18" max="18" width="2.7109375" style="118" customWidth="1"/>
    <col min="19" max="19" width="18.7109375" style="117" customWidth="1"/>
    <col min="20" max="23" width="22.42578125" style="117" customWidth="1"/>
    <col min="24" max="24" width="18.7109375" style="117" customWidth="1"/>
    <col min="25" max="16384" width="8.7109375" style="118"/>
  </cols>
  <sheetData>
    <row r="1" spans="1:24" s="158" customFormat="1" ht="41.1" customHeight="1">
      <c r="D1" s="164"/>
      <c r="F1" s="185" t="s">
        <v>58</v>
      </c>
      <c r="S1" s="159"/>
      <c r="T1" s="159"/>
      <c r="U1" s="159"/>
      <c r="V1" s="159"/>
      <c r="W1" s="159"/>
      <c r="X1" s="159"/>
    </row>
    <row r="2" spans="1:24" ht="30.95" customHeight="1"/>
    <row r="3" spans="1:24" s="174" customFormat="1" ht="30" customHeight="1">
      <c r="A3" s="168"/>
      <c r="B3" s="168"/>
      <c r="C3" s="168"/>
      <c r="D3" s="169"/>
      <c r="E3" s="170"/>
      <c r="F3" s="176" t="s">
        <v>59</v>
      </c>
      <c r="G3" s="171"/>
      <c r="H3" s="171"/>
      <c r="I3" s="171"/>
      <c r="J3" s="171"/>
      <c r="K3" s="172"/>
      <c r="L3" s="173"/>
      <c r="M3" s="173"/>
      <c r="N3" s="177" t="s">
        <v>60</v>
      </c>
      <c r="O3" s="178"/>
      <c r="P3" s="178"/>
      <c r="Q3" s="178"/>
      <c r="S3" s="175"/>
      <c r="T3" s="175"/>
      <c r="U3" s="175"/>
      <c r="V3" s="175"/>
      <c r="W3" s="175"/>
      <c r="X3" s="175"/>
    </row>
    <row r="4" spans="1:24" s="117" customFormat="1" ht="15.95" thickBot="1">
      <c r="A4" s="1"/>
      <c r="B4" s="1"/>
      <c r="C4" s="1"/>
      <c r="D4" s="165"/>
      <c r="F4" s="1"/>
    </row>
    <row r="5" spans="1:24" ht="47.1">
      <c r="A5" s="12"/>
      <c r="B5" s="13"/>
      <c r="C5" s="160" t="s">
        <v>61</v>
      </c>
      <c r="D5" s="166"/>
      <c r="E5" s="116"/>
      <c r="F5" s="207" t="s">
        <v>62</v>
      </c>
      <c r="G5" s="116"/>
      <c r="H5" s="152" t="s">
        <v>63</v>
      </c>
      <c r="I5" s="153" t="s">
        <v>64</v>
      </c>
      <c r="J5" s="153" t="s">
        <v>65</v>
      </c>
      <c r="K5" s="125" t="s">
        <v>66</v>
      </c>
      <c r="N5" s="210" t="s">
        <v>67</v>
      </c>
      <c r="O5" s="210"/>
      <c r="P5" s="210"/>
      <c r="Q5" s="210"/>
    </row>
    <row r="6" spans="1:24" ht="15.95" thickBot="1">
      <c r="A6"/>
      <c r="B6"/>
      <c r="C6"/>
      <c r="F6" s="207"/>
      <c r="G6" s="116"/>
    </row>
    <row r="7" spans="1:24" ht="26.1" customHeight="1">
      <c r="A7" s="19" t="str">
        <f>IF(H7&lt;&gt;"",COUNTIF($K7:K$7,K7),"")</f>
        <v/>
      </c>
      <c r="B7" s="10" t="str">
        <f t="shared" ref="B7:B25" si="0">IF(H7&lt;&gt;"",IFERROR(RANK(K7,$K$7:$K$25,0),1),"")</f>
        <v/>
      </c>
      <c r="C7" s="161" t="str">
        <f t="shared" ref="C7:C25" si="1">IF(ISNUMBER(B7),B7+A7-1,"")</f>
        <v/>
      </c>
      <c r="D7" s="166"/>
      <c r="E7" s="116"/>
      <c r="F7" s="207"/>
      <c r="G7" s="116"/>
      <c r="H7" s="63"/>
      <c r="I7" s="21"/>
      <c r="J7" s="21"/>
      <c r="K7" t="str">
        <f t="shared" ref="K7:K25" si="2">IF(H7&lt;&gt;"",(2*I7+J7),"")</f>
        <v/>
      </c>
      <c r="M7" s="211">
        <v>1</v>
      </c>
      <c r="N7" s="213" t="str">
        <f>IFERROR(INDEX($A$5:$J$1048576,MATCH($M7,$C$5:$C$25,0),MATCH($H$5,$5:$5,0)),"")</f>
        <v/>
      </c>
      <c r="O7" s="214"/>
      <c r="P7" s="214"/>
      <c r="Q7" s="215"/>
    </row>
    <row r="8" spans="1:24" ht="26.1">
      <c r="A8" s="19" t="str">
        <f>IF(H8&lt;&gt;"",COUNTIF($K$7:K8,K8),"")</f>
        <v/>
      </c>
      <c r="B8" s="10" t="str">
        <f t="shared" si="0"/>
        <v/>
      </c>
      <c r="C8" s="162" t="str">
        <f t="shared" si="1"/>
        <v/>
      </c>
      <c r="D8" s="166"/>
      <c r="E8" s="116"/>
      <c r="F8" s="207"/>
      <c r="G8" s="116"/>
      <c r="H8" s="63"/>
      <c r="I8" s="21"/>
      <c r="J8" s="21"/>
      <c r="K8" t="str">
        <f t="shared" si="2"/>
        <v/>
      </c>
      <c r="M8" s="212"/>
      <c r="N8" s="216"/>
      <c r="O8" s="217"/>
      <c r="P8" s="217"/>
      <c r="Q8" s="218"/>
    </row>
    <row r="9" spans="1:24" ht="26.1">
      <c r="A9" s="19" t="str">
        <f>IF(H9&lt;&gt;"",COUNTIF($K$7:K9,K9),"")</f>
        <v/>
      </c>
      <c r="B9" s="10" t="str">
        <f t="shared" si="0"/>
        <v/>
      </c>
      <c r="C9" s="162" t="str">
        <f>IF(ISNUMBER(B9),B9+A9-1,"")</f>
        <v/>
      </c>
      <c r="D9" s="166"/>
      <c r="E9" s="116"/>
      <c r="F9" s="207"/>
      <c r="G9" s="116"/>
      <c r="H9" s="63"/>
      <c r="I9" s="21"/>
      <c r="J9" s="21"/>
      <c r="K9" t="str">
        <f t="shared" si="2"/>
        <v/>
      </c>
      <c r="M9" s="123"/>
    </row>
    <row r="10" spans="1:24" ht="26.1">
      <c r="A10" s="19" t="str">
        <f>IF(H10&lt;&gt;"",COUNTIF($K$7:K10,K10),"")</f>
        <v/>
      </c>
      <c r="B10" s="10" t="str">
        <f t="shared" si="0"/>
        <v/>
      </c>
      <c r="C10" s="162" t="str">
        <f t="shared" si="1"/>
        <v/>
      </c>
      <c r="D10" s="166"/>
      <c r="E10" s="116"/>
      <c r="F10" s="207"/>
      <c r="G10" s="116"/>
      <c r="H10" s="63"/>
      <c r="I10" s="21"/>
      <c r="J10" s="21"/>
      <c r="K10" t="str">
        <f t="shared" si="2"/>
        <v/>
      </c>
      <c r="M10" s="124">
        <v>2</v>
      </c>
      <c r="N10" s="219" t="str">
        <f t="shared" ref="N10:N15" si="3">IFERROR(INDEX($A$5:$J$1048576,MATCH($M10,$C$5:$C$25,0),MATCH($H$5,$5:$5,0)),"")</f>
        <v/>
      </c>
      <c r="O10" s="219"/>
      <c r="P10" s="219"/>
      <c r="Q10" s="219"/>
    </row>
    <row r="11" spans="1:24" ht="26.1">
      <c r="A11" s="19" t="str">
        <f>IF(H11&lt;&gt;"",COUNTIF($K$7:K11,K11),"")</f>
        <v/>
      </c>
      <c r="B11" s="10" t="str">
        <f t="shared" si="0"/>
        <v/>
      </c>
      <c r="C11" s="162" t="str">
        <f t="shared" si="1"/>
        <v/>
      </c>
      <c r="D11" s="166"/>
      <c r="E11" s="116"/>
      <c r="F11" s="207"/>
      <c r="G11" s="116"/>
      <c r="H11" s="63"/>
      <c r="I11" s="21"/>
      <c r="J11" s="21"/>
      <c r="K11" t="str">
        <f t="shared" si="2"/>
        <v/>
      </c>
      <c r="M11" s="124">
        <v>3</v>
      </c>
      <c r="N11" s="219" t="str">
        <f t="shared" si="3"/>
        <v/>
      </c>
      <c r="O11" s="219"/>
      <c r="P11" s="219"/>
      <c r="Q11" s="219"/>
    </row>
    <row r="12" spans="1:24" ht="26.1">
      <c r="A12" s="19" t="str">
        <f>IF(H12&lt;&gt;"",COUNTIF($K$7:K12,K12),"")</f>
        <v/>
      </c>
      <c r="B12" s="10" t="str">
        <f t="shared" si="0"/>
        <v/>
      </c>
      <c r="C12" s="162" t="str">
        <f t="shared" si="1"/>
        <v/>
      </c>
      <c r="D12" s="166"/>
      <c r="E12" s="116"/>
      <c r="F12" s="207"/>
      <c r="G12" s="116"/>
      <c r="H12" s="63"/>
      <c r="I12" s="21"/>
      <c r="J12" s="21"/>
      <c r="K12" t="str">
        <f t="shared" si="2"/>
        <v/>
      </c>
      <c r="M12" s="124">
        <v>4</v>
      </c>
      <c r="N12" s="219" t="str">
        <f t="shared" si="3"/>
        <v/>
      </c>
      <c r="O12" s="219"/>
      <c r="P12" s="219"/>
      <c r="Q12" s="219"/>
    </row>
    <row r="13" spans="1:24" ht="26.1">
      <c r="A13" s="19" t="str">
        <f>IF(H13&lt;&gt;"",COUNTIF($K$7:K13,K13),"")</f>
        <v/>
      </c>
      <c r="B13" s="10" t="str">
        <f t="shared" si="0"/>
        <v/>
      </c>
      <c r="C13" s="162" t="str">
        <f t="shared" si="1"/>
        <v/>
      </c>
      <c r="D13" s="166"/>
      <c r="E13" s="116"/>
      <c r="F13" s="207"/>
      <c r="G13" s="116"/>
      <c r="H13" s="63"/>
      <c r="I13" s="21"/>
      <c r="J13" s="21"/>
      <c r="K13" t="str">
        <f>IF(H13&lt;&gt;"",(2*I13+J13),"")</f>
        <v/>
      </c>
      <c r="M13" s="124">
        <v>5</v>
      </c>
      <c r="N13" s="219" t="str">
        <f t="shared" si="3"/>
        <v/>
      </c>
      <c r="O13" s="219"/>
      <c r="P13" s="219"/>
      <c r="Q13" s="219"/>
      <c r="U13" s="117" t="s">
        <v>8</v>
      </c>
    </row>
    <row r="14" spans="1:24" ht="26.1">
      <c r="A14" s="19" t="str">
        <f>IF(H14&lt;&gt;"",COUNTIF($K$7:K14,K14),"")</f>
        <v/>
      </c>
      <c r="B14" s="10" t="str">
        <f t="shared" si="0"/>
        <v/>
      </c>
      <c r="C14" s="162" t="str">
        <f t="shared" si="1"/>
        <v/>
      </c>
      <c r="D14" s="166"/>
      <c r="E14" s="116"/>
      <c r="F14" s="207"/>
      <c r="G14" s="116"/>
      <c r="H14" s="63"/>
      <c r="I14" s="21"/>
      <c r="J14" s="21"/>
      <c r="K14" t="str">
        <f>IF(H14&lt;&gt;"",(2*I14+J14),"")</f>
        <v/>
      </c>
      <c r="M14" s="124">
        <v>6</v>
      </c>
      <c r="N14" s="219" t="str">
        <f t="shared" si="3"/>
        <v/>
      </c>
      <c r="O14" s="219"/>
      <c r="P14" s="219"/>
      <c r="Q14" s="219"/>
    </row>
    <row r="15" spans="1:24" ht="26.1">
      <c r="A15" s="19" t="str">
        <f>IF(H15&lt;&gt;"",COUNTIF($K$7:K15,K15),"")</f>
        <v/>
      </c>
      <c r="B15" s="10" t="str">
        <f t="shared" si="0"/>
        <v/>
      </c>
      <c r="C15" s="162" t="str">
        <f>IF(ISNUMBER(B15),B15+A15-1,"")</f>
        <v/>
      </c>
      <c r="D15" s="166"/>
      <c r="E15" s="116"/>
      <c r="F15" s="207"/>
      <c r="G15" s="116"/>
      <c r="H15" s="63"/>
      <c r="I15" s="21"/>
      <c r="J15" s="21"/>
      <c r="K15" t="str">
        <f t="shared" si="2"/>
        <v/>
      </c>
      <c r="M15" s="124">
        <v>7</v>
      </c>
      <c r="N15" s="219" t="str">
        <f t="shared" si="3"/>
        <v/>
      </c>
      <c r="O15" s="219"/>
      <c r="P15" s="219"/>
      <c r="Q15" s="219"/>
    </row>
    <row r="16" spans="1:24" ht="26.1">
      <c r="A16" s="19" t="str">
        <f>IF(H16&lt;&gt;"",COUNTIF($K$7:K16,K16),"")</f>
        <v/>
      </c>
      <c r="B16" s="10" t="str">
        <f t="shared" si="0"/>
        <v/>
      </c>
      <c r="C16" s="162" t="str">
        <f t="shared" si="1"/>
        <v/>
      </c>
      <c r="D16" s="166"/>
      <c r="E16" s="116"/>
      <c r="F16" s="207"/>
      <c r="G16" s="116"/>
      <c r="H16" s="63"/>
      <c r="I16" s="21"/>
      <c r="J16" s="21"/>
      <c r="K16" t="str">
        <f t="shared" si="2"/>
        <v/>
      </c>
    </row>
    <row r="17" spans="1:19" ht="26.1">
      <c r="A17" s="19" t="str">
        <f>IF(H17&lt;&gt;"",COUNTIF($K$7:K17,K17),"")</f>
        <v/>
      </c>
      <c r="B17" s="10" t="str">
        <f t="shared" si="0"/>
        <v/>
      </c>
      <c r="C17" s="162" t="str">
        <f t="shared" si="1"/>
        <v/>
      </c>
      <c r="D17" s="166"/>
      <c r="E17" s="116"/>
      <c r="F17" s="207"/>
      <c r="G17" s="116"/>
      <c r="H17" s="63"/>
      <c r="I17" s="21"/>
      <c r="J17" s="21"/>
      <c r="K17" t="str">
        <f t="shared" si="2"/>
        <v/>
      </c>
      <c r="S17" s="118"/>
    </row>
    <row r="18" spans="1:19" ht="26.1">
      <c r="A18" s="19" t="str">
        <f>IF(H18&lt;&gt;"",COUNTIF($K$7:K18,K18),"")</f>
        <v/>
      </c>
      <c r="B18" s="10" t="str">
        <f t="shared" si="0"/>
        <v/>
      </c>
      <c r="C18" s="162" t="str">
        <f t="shared" si="1"/>
        <v/>
      </c>
      <c r="D18" s="166"/>
      <c r="E18" s="116"/>
      <c r="F18" s="207"/>
      <c r="G18" s="116"/>
      <c r="H18" s="63"/>
      <c r="I18" s="21"/>
      <c r="J18" s="21"/>
      <c r="K18" t="str">
        <f t="shared" si="2"/>
        <v/>
      </c>
    </row>
    <row r="19" spans="1:19" ht="26.1">
      <c r="A19" s="19" t="str">
        <f>IF(H19&lt;&gt;"",COUNTIF($K$7:K19,K19),"")</f>
        <v/>
      </c>
      <c r="B19" s="10" t="str">
        <f t="shared" si="0"/>
        <v/>
      </c>
      <c r="C19" s="162" t="str">
        <f t="shared" si="1"/>
        <v/>
      </c>
      <c r="D19" s="166"/>
      <c r="E19" s="116"/>
      <c r="F19" s="207"/>
      <c r="G19" s="116"/>
      <c r="H19" s="63"/>
      <c r="I19" s="21"/>
      <c r="J19" s="21"/>
      <c r="K19" t="str">
        <f t="shared" si="2"/>
        <v/>
      </c>
    </row>
    <row r="20" spans="1:19" ht="26.1">
      <c r="A20" s="19" t="str">
        <f>IF(H20&lt;&gt;"",COUNTIF($K$7:K20,K20),"")</f>
        <v/>
      </c>
      <c r="B20" s="10" t="str">
        <f t="shared" si="0"/>
        <v/>
      </c>
      <c r="C20" s="162" t="str">
        <f t="shared" si="1"/>
        <v/>
      </c>
      <c r="D20" s="166"/>
      <c r="E20" s="116"/>
      <c r="F20" s="207"/>
      <c r="G20" s="116"/>
      <c r="H20" s="63"/>
      <c r="I20" s="21"/>
      <c r="J20" s="21"/>
      <c r="K20" t="str">
        <f t="shared" si="2"/>
        <v/>
      </c>
    </row>
    <row r="21" spans="1:19" ht="26.1">
      <c r="A21" s="19" t="str">
        <f>IF(H21&lt;&gt;"",COUNTIF($K$7:K21,K21),"")</f>
        <v/>
      </c>
      <c r="B21" s="10" t="str">
        <f t="shared" si="0"/>
        <v/>
      </c>
      <c r="C21" s="162" t="str">
        <f t="shared" si="1"/>
        <v/>
      </c>
      <c r="D21" s="166"/>
      <c r="E21" s="116"/>
      <c r="F21" s="207"/>
      <c r="G21" s="116"/>
      <c r="H21" s="63"/>
      <c r="I21" s="21"/>
      <c r="J21" s="21"/>
      <c r="K21" t="str">
        <f t="shared" si="2"/>
        <v/>
      </c>
    </row>
    <row r="22" spans="1:19" ht="26.1">
      <c r="A22" s="19" t="str">
        <f>IF(H22&lt;&gt;"",COUNTIF($K$7:K22,K22),"")</f>
        <v/>
      </c>
      <c r="B22" s="10" t="str">
        <f t="shared" si="0"/>
        <v/>
      </c>
      <c r="C22" s="162" t="str">
        <f t="shared" si="1"/>
        <v/>
      </c>
      <c r="D22" s="166"/>
      <c r="E22" s="116"/>
      <c r="F22" s="207"/>
      <c r="G22" s="116"/>
      <c r="H22" s="63"/>
      <c r="I22" s="21"/>
      <c r="J22" s="21"/>
      <c r="K22" t="str">
        <f t="shared" si="2"/>
        <v/>
      </c>
    </row>
    <row r="23" spans="1:19" ht="26.1">
      <c r="A23" s="19" t="str">
        <f>IF(H23&lt;&gt;"",COUNTIF($K$7:K23,K23),"")</f>
        <v/>
      </c>
      <c r="B23" s="10" t="str">
        <f t="shared" si="0"/>
        <v/>
      </c>
      <c r="C23" s="162" t="str">
        <f t="shared" si="1"/>
        <v/>
      </c>
      <c r="D23" s="166"/>
      <c r="E23" s="116"/>
      <c r="F23" s="207"/>
      <c r="G23" s="116"/>
      <c r="H23" s="63"/>
      <c r="I23" s="21"/>
      <c r="J23" s="21"/>
      <c r="K23" t="str">
        <f t="shared" si="2"/>
        <v/>
      </c>
      <c r="N23" s="9" t="s">
        <v>68</v>
      </c>
      <c r="O23" s="208" t="s">
        <v>7</v>
      </c>
      <c r="P23" s="208"/>
      <c r="Q23" s="209"/>
    </row>
    <row r="24" spans="1:19" ht="26.1">
      <c r="A24" s="19" t="str">
        <f>IF(H24&lt;&gt;"",COUNTIF($K$7:K24,K24),"")</f>
        <v/>
      </c>
      <c r="B24" s="10" t="str">
        <f t="shared" si="0"/>
        <v/>
      </c>
      <c r="C24" s="162" t="str">
        <f t="shared" si="1"/>
        <v/>
      </c>
      <c r="D24" s="166"/>
      <c r="E24" s="116"/>
      <c r="F24" s="207"/>
      <c r="G24" s="116"/>
      <c r="H24" s="63"/>
      <c r="I24" s="21"/>
      <c r="J24" s="21"/>
      <c r="K24" t="str">
        <f t="shared" si="2"/>
        <v/>
      </c>
    </row>
    <row r="25" spans="1:19" ht="26.1">
      <c r="A25" s="19" t="str">
        <f>IF(H25&lt;&gt;"",COUNTIF($K$7:K25,K25),"")</f>
        <v/>
      </c>
      <c r="B25" s="10" t="str">
        <f t="shared" si="0"/>
        <v/>
      </c>
      <c r="C25" s="162" t="str">
        <f t="shared" si="1"/>
        <v/>
      </c>
      <c r="D25" s="166"/>
      <c r="E25" s="116"/>
      <c r="F25" s="207"/>
      <c r="G25" s="116"/>
      <c r="H25" s="63"/>
      <c r="I25" s="21"/>
      <c r="J25" s="21"/>
      <c r="K25" t="str">
        <f t="shared" si="2"/>
        <v/>
      </c>
      <c r="N25" s="9" t="s">
        <v>10</v>
      </c>
      <c r="O25" s="204" t="s">
        <v>69</v>
      </c>
      <c r="P25" s="204"/>
      <c r="Q25" s="205"/>
    </row>
    <row r="26" spans="1:19" ht="26.1">
      <c r="A26" s="119"/>
      <c r="B26" s="116"/>
      <c r="C26" s="163"/>
      <c r="D26" s="166"/>
      <c r="E26" s="117"/>
      <c r="F26" s="117"/>
      <c r="H26" s="120"/>
      <c r="I26" s="120"/>
      <c r="J26" s="120"/>
      <c r="M26" s="121"/>
      <c r="N26" s="122"/>
      <c r="O26" s="122"/>
      <c r="P26" s="122"/>
      <c r="Q26" s="122"/>
    </row>
  </sheetData>
  <mergeCells count="12">
    <mergeCell ref="F5:F25"/>
    <mergeCell ref="O23:Q23"/>
    <mergeCell ref="O25:Q25"/>
    <mergeCell ref="N5:Q5"/>
    <mergeCell ref="M7:M8"/>
    <mergeCell ref="N7:Q8"/>
    <mergeCell ref="N10:Q10"/>
    <mergeCell ref="N11:Q11"/>
    <mergeCell ref="N12:Q12"/>
    <mergeCell ref="N13:Q13"/>
    <mergeCell ref="N14:Q14"/>
    <mergeCell ref="N15:Q15"/>
  </mergeCells>
  <hyperlinks>
    <hyperlink ref="N19:N20" location="'FULL MARKET SEGMENTATION'!A1" display="TOP DRIVING FORCES" xr:uid="{80184F9C-CF08-4F36-A0ED-55E7116DACD6}"/>
    <hyperlink ref="O23:Q23" location="'Market size'!A1" display="Market Size" xr:uid="{82FE04D7-830E-4A28-A00A-F2B37BE1A423}"/>
    <hyperlink ref="O25:Q25" location="'Driving Forces impact'!A1" display="Driving Forces Impact" xr:uid="{7DE8D3DE-B300-4C46-A8F1-B866DA52258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2981D-C05C-4D8D-A73F-BE19F4E81F18}">
  <sheetPr codeName="Sheet3"/>
  <dimension ref="A1:X24"/>
  <sheetViews>
    <sheetView zoomScaleNormal="100" workbookViewId="0">
      <selection activeCell="A3" sqref="A3"/>
    </sheetView>
  </sheetViews>
  <sheetFormatPr defaultColWidth="8.7109375" defaultRowHeight="15"/>
  <cols>
    <col min="1" max="1" width="7.7109375" style="183" customWidth="1"/>
    <col min="2" max="2" width="3.42578125" style="118" customWidth="1"/>
    <col min="3" max="3" width="42.7109375" style="133" customWidth="1"/>
    <col min="4" max="4" width="2.7109375" style="118" customWidth="1"/>
    <col min="5" max="5" width="29" style="118" customWidth="1"/>
    <col min="6" max="6" width="13.140625" style="118" customWidth="1"/>
    <col min="7" max="7" width="9.140625" style="118" customWidth="1"/>
    <col min="8" max="8" width="26.42578125" style="118" customWidth="1"/>
    <col min="9" max="9" width="18.7109375" style="118" customWidth="1"/>
    <col min="10" max="16" width="30" style="118" customWidth="1"/>
    <col min="17" max="17" width="16.42578125" style="118" hidden="1" customWidth="1"/>
    <col min="18" max="18" width="2.28515625" style="118" customWidth="1"/>
    <col min="19" max="19" width="18.7109375" style="117" customWidth="1"/>
    <col min="20" max="23" width="22.42578125" style="117" customWidth="1"/>
    <col min="24" max="24" width="18.7109375" style="117" customWidth="1"/>
    <col min="25" max="16384" width="8.7109375" style="118"/>
  </cols>
  <sheetData>
    <row r="1" spans="1:24" s="158" customFormat="1" ht="42.95" customHeight="1">
      <c r="A1" s="184"/>
      <c r="C1" s="185" t="s">
        <v>70</v>
      </c>
      <c r="S1" s="159"/>
      <c r="T1" s="159"/>
      <c r="U1" s="159"/>
      <c r="V1" s="159"/>
      <c r="W1" s="159"/>
      <c r="X1" s="159"/>
    </row>
    <row r="3" spans="1:24" ht="35.1" customHeight="1">
      <c r="C3" s="200" t="s">
        <v>71</v>
      </c>
      <c r="D3" s="200"/>
      <c r="E3" s="200"/>
      <c r="F3" s="200"/>
      <c r="G3" s="200"/>
      <c r="H3" s="200"/>
      <c r="I3" s="200"/>
      <c r="J3" s="200"/>
      <c r="K3" s="200"/>
      <c r="L3" s="200"/>
      <c r="M3" s="200"/>
      <c r="N3" s="200"/>
      <c r="O3" s="200"/>
      <c r="P3" s="200"/>
      <c r="Q3" s="11"/>
    </row>
    <row r="4" spans="1:24" s="117" customFormat="1" ht="8.25" customHeight="1">
      <c r="A4" s="184"/>
      <c r="C4" s="134"/>
      <c r="R4" s="118"/>
    </row>
    <row r="5" spans="1:24" s="117" customFormat="1" ht="66" customHeight="1">
      <c r="A5" s="184"/>
      <c r="C5" s="201" t="s">
        <v>72</v>
      </c>
      <c r="J5" s="30" t="str">
        <f>'Driving Forces brainstorm'!N7</f>
        <v/>
      </c>
      <c r="K5" s="30" t="str">
        <f>'Driving Forces brainstorm'!N10</f>
        <v/>
      </c>
      <c r="L5" s="30" t="str">
        <f>'Driving Forces brainstorm'!N11</f>
        <v/>
      </c>
      <c r="M5" s="30" t="str">
        <f>'Driving Forces brainstorm'!N12</f>
        <v/>
      </c>
      <c r="N5" s="30" t="str">
        <f>'Driving Forces brainstorm'!N13</f>
        <v/>
      </c>
      <c r="O5" s="30" t="str">
        <f>'Driving Forces brainstorm'!N14</f>
        <v/>
      </c>
      <c r="P5" s="30" t="str">
        <f>'Driving Forces brainstorm'!N15</f>
        <v/>
      </c>
      <c r="Q5" s="1"/>
      <c r="R5" s="118"/>
    </row>
    <row r="6" spans="1:24" s="117" customFormat="1" ht="26.1">
      <c r="A6" s="184"/>
      <c r="C6" s="202"/>
      <c r="E6" s="127" t="s">
        <v>3</v>
      </c>
      <c r="F6" s="127"/>
      <c r="G6" s="127"/>
      <c r="H6" s="127"/>
      <c r="I6" s="127"/>
      <c r="J6" s="112"/>
      <c r="K6" s="112"/>
      <c r="L6" s="31"/>
      <c r="M6" s="31"/>
      <c r="N6" s="31"/>
      <c r="O6" s="31"/>
      <c r="P6" s="31"/>
      <c r="Q6" s="1">
        <f>(1+SUM(J6:P6))*'Market size'!K6</f>
        <v>2000000</v>
      </c>
      <c r="R6" s="118"/>
    </row>
    <row r="7" spans="1:24" s="117" customFormat="1" ht="26.1">
      <c r="A7" s="184"/>
      <c r="C7" s="202"/>
      <c r="E7" s="127" t="s">
        <v>4</v>
      </c>
      <c r="F7" s="127"/>
      <c r="G7" s="127"/>
      <c r="H7" s="127"/>
      <c r="I7" s="127"/>
      <c r="J7" s="31"/>
      <c r="K7" s="31"/>
      <c r="L7" s="31"/>
      <c r="M7" s="31"/>
      <c r="N7" s="31"/>
      <c r="O7" s="31"/>
      <c r="P7" s="31"/>
      <c r="Q7" s="1">
        <f>(1+SUM(J7:P7))*'Market size'!K7</f>
        <v>100</v>
      </c>
      <c r="R7" s="118"/>
    </row>
    <row r="8" spans="1:24" s="117" customFormat="1" ht="26.1">
      <c r="A8" s="184"/>
      <c r="C8" s="202"/>
      <c r="E8" s="127" t="s">
        <v>5</v>
      </c>
      <c r="F8" s="127"/>
      <c r="G8" s="127"/>
      <c r="H8" s="127"/>
      <c r="I8" s="127"/>
      <c r="J8" s="31"/>
      <c r="K8" s="31"/>
      <c r="L8" s="31"/>
      <c r="M8" s="31"/>
      <c r="N8" s="31"/>
      <c r="O8" s="31"/>
      <c r="P8" s="31"/>
      <c r="Q8" s="1">
        <f>(1+SUM(J8:P8))*'Market size'!K8</f>
        <v>100</v>
      </c>
      <c r="R8" s="118"/>
    </row>
    <row r="9" spans="1:24" ht="26.1">
      <c r="C9" s="202"/>
      <c r="E9" s="127" t="s">
        <v>6</v>
      </c>
      <c r="F9" s="127"/>
      <c r="G9" s="127"/>
      <c r="H9" s="127"/>
      <c r="I9" s="127"/>
      <c r="J9" s="31"/>
      <c r="K9" s="31"/>
      <c r="L9" s="31"/>
      <c r="M9" s="31"/>
      <c r="N9" s="31"/>
      <c r="O9" s="31"/>
      <c r="P9" s="31"/>
      <c r="Q9" s="32">
        <f>(1+SUM(J9:P9))*'Market size'!K9</f>
        <v>0.1</v>
      </c>
    </row>
    <row r="10" spans="1:24" ht="39.75" customHeight="1">
      <c r="C10" s="202"/>
    </row>
    <row r="11" spans="1:24" ht="36.950000000000003">
      <c r="C11" s="202"/>
      <c r="E11" s="7" t="s">
        <v>73</v>
      </c>
      <c r="F11" s="8">
        <f ca="1">YEAR(TODAY())+3</f>
        <v>2028</v>
      </c>
      <c r="H11" s="220">
        <f>Q6</f>
        <v>2000000</v>
      </c>
      <c r="I11" s="220"/>
    </row>
    <row r="12" spans="1:24" ht="9" customHeight="1">
      <c r="C12" s="202"/>
    </row>
    <row r="13" spans="1:24" ht="36.950000000000003">
      <c r="C13" s="202"/>
      <c r="E13" s="7" t="s">
        <v>7</v>
      </c>
      <c r="F13" s="8">
        <f ca="1">YEAR(TODAY())+3</f>
        <v>2028</v>
      </c>
      <c r="H13" s="221">
        <f>'Market size'!I12*((1+SUM(J6:P6))*(1+SUM(J7:P7))*(1+SUM(J8:P8)))</f>
        <v>20000000000</v>
      </c>
      <c r="I13" s="221"/>
      <c r="N13" s="9" t="s">
        <v>68</v>
      </c>
      <c r="O13" s="208" t="s">
        <v>11</v>
      </c>
      <c r="P13" s="209"/>
      <c r="Q13">
        <f>Q6*Q7*Q8</f>
        <v>20000000000</v>
      </c>
      <c r="U13" s="117" t="s">
        <v>8</v>
      </c>
    </row>
    <row r="14" spans="1:24" ht="9.75" customHeight="1">
      <c r="C14" s="202"/>
      <c r="E14" s="117"/>
      <c r="F14" s="117"/>
      <c r="H14" s="117"/>
      <c r="I14" s="135"/>
      <c r="Q14"/>
    </row>
    <row r="15" spans="1:24" ht="36.950000000000003">
      <c r="C15" s="202"/>
      <c r="E15" s="7" t="s">
        <v>9</v>
      </c>
      <c r="F15" s="8">
        <f ca="1">YEAR(TODAY())+3</f>
        <v>2028</v>
      </c>
      <c r="H15" s="221">
        <f>H13*'Market size'!K9*(1+SUM(J9:P9))</f>
        <v>2000000000</v>
      </c>
      <c r="I15" s="221"/>
      <c r="N15" s="180" t="s">
        <v>10</v>
      </c>
      <c r="O15" s="222" t="s">
        <v>74</v>
      </c>
      <c r="P15" s="222"/>
      <c r="Q15" s="181">
        <f>Q13*Q9</f>
        <v>2000000000</v>
      </c>
      <c r="R15" s="181"/>
      <c r="S15" s="182"/>
      <c r="U15" s="117" t="s">
        <v>8</v>
      </c>
    </row>
    <row r="16" spans="1:24">
      <c r="N16" s="181"/>
      <c r="O16" s="181"/>
      <c r="P16" s="181"/>
      <c r="Q16" s="181"/>
      <c r="R16" s="181"/>
      <c r="S16" s="182"/>
    </row>
    <row r="17" spans="5:19">
      <c r="N17" s="181"/>
      <c r="O17" s="181"/>
      <c r="P17" s="181"/>
      <c r="Q17" s="181"/>
      <c r="R17" s="181"/>
      <c r="S17" s="182"/>
    </row>
    <row r="18" spans="5:19">
      <c r="N18" s="181"/>
      <c r="O18" s="181"/>
      <c r="P18" s="181"/>
      <c r="Q18" s="181"/>
      <c r="R18" s="181"/>
      <c r="S18" s="182"/>
    </row>
    <row r="19" spans="5:19">
      <c r="N19" s="181"/>
      <c r="O19" s="181"/>
      <c r="P19" s="181"/>
      <c r="Q19" s="181"/>
      <c r="R19" s="181"/>
      <c r="S19" s="181"/>
    </row>
    <row r="20" spans="5:19">
      <c r="N20" s="181"/>
      <c r="O20" s="181"/>
      <c r="P20" s="181"/>
      <c r="Q20" s="181"/>
      <c r="R20" s="181"/>
      <c r="S20" s="182"/>
    </row>
    <row r="21" spans="5:19">
      <c r="N21" s="181"/>
      <c r="O21" s="181"/>
      <c r="P21" s="181"/>
      <c r="Q21" s="181"/>
      <c r="R21" s="181"/>
      <c r="S21" s="182"/>
    </row>
    <row r="22" spans="5:19" ht="29.1">
      <c r="E22" s="117"/>
      <c r="F22" s="117"/>
      <c r="H22" s="117"/>
      <c r="I22" s="135"/>
      <c r="N22" s="181"/>
      <c r="O22" s="181"/>
      <c r="P22" s="181"/>
      <c r="Q22" s="181"/>
      <c r="R22" s="181"/>
      <c r="S22" s="182"/>
    </row>
    <row r="23" spans="5:19">
      <c r="N23" s="181"/>
      <c r="O23" s="181"/>
      <c r="P23" s="181"/>
      <c r="Q23" s="181"/>
      <c r="R23" s="181"/>
      <c r="S23" s="182"/>
    </row>
    <row r="24" spans="5:19">
      <c r="N24" s="181"/>
      <c r="O24" s="181"/>
      <c r="P24" s="181"/>
      <c r="Q24" s="181"/>
      <c r="R24" s="181"/>
      <c r="S24" s="182"/>
    </row>
  </sheetData>
  <mergeCells count="8">
    <mergeCell ref="C3:K3"/>
    <mergeCell ref="L3:P3"/>
    <mergeCell ref="C5:C15"/>
    <mergeCell ref="H11:I11"/>
    <mergeCell ref="H13:I13"/>
    <mergeCell ref="O13:P13"/>
    <mergeCell ref="H15:I15"/>
    <mergeCell ref="O15:P15"/>
  </mergeCells>
  <hyperlinks>
    <hyperlink ref="O13:P13" location="'Driving Forces brainstorm'!A1" display="Driving Forces Brainstorm" xr:uid="{39C65922-24B5-4C22-9E95-7EDA8B1E6121}"/>
    <hyperlink ref="O15:P15" location="'Segment brainstorm'!A1" display="Segment Brainstorm" xr:uid="{9E75D1AB-FD46-466A-9535-CB1E462F2D1F}"/>
    <hyperlink ref="O15" location="'Segment Brainstorm'!A1" display="Segmentation Brainstorm" xr:uid="{5C91F78A-2B38-4D00-ABD6-794E1213C97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2428-280D-4CB9-8D5B-980B97766BCA}">
  <sheetPr codeName="Sheet4"/>
  <dimension ref="A1:T40"/>
  <sheetViews>
    <sheetView topLeftCell="A12" zoomScale="109" zoomScaleNormal="90" workbookViewId="0">
      <selection activeCell="C7" sqref="C7:C25"/>
    </sheetView>
  </sheetViews>
  <sheetFormatPr defaultColWidth="8.85546875" defaultRowHeight="15"/>
  <cols>
    <col min="1" max="1" width="8.85546875" style="118"/>
    <col min="2" max="2" width="4.42578125" style="118" customWidth="1"/>
    <col min="3" max="3" width="55.42578125" style="118" customWidth="1"/>
    <col min="4" max="4" width="2.85546875" style="118" customWidth="1"/>
    <col min="5" max="5" width="50.85546875" style="118" customWidth="1"/>
    <col min="6" max="6" width="42.85546875" style="118" customWidth="1"/>
    <col min="7" max="7" width="32" style="118" customWidth="1"/>
    <col min="8" max="8" width="19.42578125" style="118" hidden="1" customWidth="1"/>
    <col min="9" max="9" width="1.42578125" style="118" customWidth="1"/>
    <col min="10" max="10" width="7" style="118" customWidth="1"/>
    <col min="11" max="11" width="7.42578125" style="118" bestFit="1" customWidth="1"/>
    <col min="12" max="12" width="20.42578125" style="118" customWidth="1"/>
    <col min="13" max="13" width="2.42578125" style="118" customWidth="1"/>
    <col min="14" max="14" width="20.42578125" style="118" customWidth="1"/>
    <col min="15" max="15" width="18.85546875" style="117" customWidth="1"/>
    <col min="16" max="19" width="22.42578125" style="117" customWidth="1"/>
    <col min="20" max="20" width="18.85546875" style="117" customWidth="1"/>
    <col min="21" max="16384" width="8.85546875" style="118"/>
  </cols>
  <sheetData>
    <row r="1" spans="1:20" s="186" customFormat="1" ht="40.5" customHeight="1">
      <c r="A1" s="183"/>
      <c r="C1" s="185" t="s">
        <v>75</v>
      </c>
      <c r="O1" s="187"/>
      <c r="P1" s="187"/>
      <c r="Q1" s="187"/>
      <c r="R1" s="187"/>
      <c r="S1" s="187"/>
      <c r="T1" s="187"/>
    </row>
    <row r="2" spans="1:20">
      <c r="A2" s="183"/>
    </row>
    <row r="3" spans="1:20" ht="47.1" hidden="1">
      <c r="A3" s="183"/>
      <c r="B3" s="116"/>
      <c r="C3" s="11" t="s">
        <v>76</v>
      </c>
      <c r="D3" s="11"/>
      <c r="E3" s="11"/>
      <c r="F3" s="11"/>
      <c r="G3" s="11"/>
      <c r="H3" s="11"/>
      <c r="I3" s="11"/>
      <c r="J3" s="11"/>
      <c r="K3" s="11"/>
      <c r="L3" s="11"/>
      <c r="M3" s="11"/>
      <c r="N3" s="11"/>
    </row>
    <row r="4" spans="1:20" s="117" customFormat="1" ht="7.5" customHeight="1">
      <c r="A4" s="184"/>
    </row>
    <row r="5" spans="1:20" ht="29.1">
      <c r="A5" s="184"/>
      <c r="B5" s="116"/>
      <c r="C5" s="15"/>
      <c r="D5" s="116"/>
      <c r="E5" s="16" t="s">
        <v>77</v>
      </c>
      <c r="F5" s="17" t="s">
        <v>78</v>
      </c>
      <c r="G5" s="17" t="s">
        <v>79</v>
      </c>
      <c r="H5" s="62"/>
      <c r="K5" s="231" t="s">
        <v>80</v>
      </c>
      <c r="L5" s="231"/>
      <c r="M5" s="231"/>
      <c r="N5" s="231"/>
    </row>
    <row r="6" spans="1:20" ht="3" customHeight="1">
      <c r="A6" s="184"/>
      <c r="C6"/>
      <c r="D6" s="116"/>
      <c r="E6"/>
      <c r="F6"/>
      <c r="G6"/>
      <c r="H6"/>
    </row>
    <row r="7" spans="1:20" ht="26.25">
      <c r="A7" s="184"/>
      <c r="B7" s="116"/>
      <c r="C7" s="232" t="s">
        <v>81</v>
      </c>
      <c r="D7" s="116"/>
      <c r="E7" s="63"/>
      <c r="F7" s="63"/>
      <c r="G7" s="63"/>
      <c r="H7" s="64" cm="1">
        <f t="array" ref="H7">IFERROR(INDEX($G$7:$G$490, MATCH(0,COUNTIF($H$6:H6, $G$7:$G$490), 0)),"")</f>
        <v>0</v>
      </c>
      <c r="J7" s="229">
        <v>1</v>
      </c>
      <c r="K7" s="223"/>
      <c r="L7" s="224"/>
      <c r="M7" s="224"/>
      <c r="N7" s="225"/>
    </row>
    <row r="8" spans="1:20" ht="26.1">
      <c r="A8" s="184"/>
      <c r="B8" s="116"/>
      <c r="C8" s="207"/>
      <c r="D8" s="116"/>
      <c r="E8" s="63"/>
      <c r="F8" s="63"/>
      <c r="G8" s="63"/>
      <c r="H8" s="64" t="str" cm="1">
        <f t="array" ref="H8">IFERROR(INDEX($G$7:$G$490, MATCH(0,COUNTIF($H$6:H7, $G$7:$G$490), 0)),"")</f>
        <v/>
      </c>
      <c r="J8" s="230">
        <v>2</v>
      </c>
      <c r="K8" s="226"/>
      <c r="L8" s="227"/>
      <c r="M8" s="227"/>
      <c r="N8" s="228"/>
    </row>
    <row r="9" spans="1:20" ht="26.1">
      <c r="A9" s="183"/>
      <c r="B9" s="116"/>
      <c r="C9" s="207"/>
      <c r="D9" s="116"/>
      <c r="E9" s="63"/>
      <c r="F9" s="63"/>
      <c r="G9" s="63"/>
      <c r="H9" s="64" t="str" cm="1">
        <f t="array" ref="H9">IFERROR(INDEX($G$7:$G$490, MATCH(0,COUNTIF($H$6:H8, $G$7:$G$490), 0)),"")</f>
        <v/>
      </c>
      <c r="J9" s="229">
        <v>2</v>
      </c>
      <c r="K9" s="223"/>
      <c r="L9" s="224"/>
      <c r="M9" s="224"/>
      <c r="N9" s="225"/>
    </row>
    <row r="10" spans="1:20" ht="26.1">
      <c r="A10" s="183"/>
      <c r="B10" s="116"/>
      <c r="C10" s="207"/>
      <c r="D10" s="116"/>
      <c r="E10" s="63"/>
      <c r="F10" s="63"/>
      <c r="G10" s="63"/>
      <c r="H10" s="64" t="str" cm="1">
        <f t="array" ref="H10">IFERROR(INDEX($G$7:$G$490, MATCH(0,COUNTIF($H$6:H9, $G$7:$G$490), 0)),"")</f>
        <v/>
      </c>
      <c r="J10" s="230"/>
      <c r="K10" s="226"/>
      <c r="L10" s="227"/>
      <c r="M10" s="227"/>
      <c r="N10" s="228"/>
    </row>
    <row r="11" spans="1:20" ht="26.1">
      <c r="A11" s="183"/>
      <c r="B11" s="116"/>
      <c r="C11" s="207"/>
      <c r="D11" s="116"/>
      <c r="E11" s="63"/>
      <c r="F11" s="63"/>
      <c r="G11" s="63"/>
      <c r="H11" s="64" t="str" cm="1">
        <f t="array" ref="H11">IFERROR(INDEX($G$7:$G$490, MATCH(0,COUNTIF($H$6:H10, $G$7:$G$490), 0)),"")</f>
        <v/>
      </c>
      <c r="J11" s="229">
        <v>3</v>
      </c>
      <c r="K11" s="223"/>
      <c r="L11" s="224"/>
      <c r="M11" s="224"/>
      <c r="N11" s="225"/>
    </row>
    <row r="12" spans="1:20" ht="26.1">
      <c r="A12" s="183"/>
      <c r="B12" s="116"/>
      <c r="C12" s="207"/>
      <c r="D12" s="116"/>
      <c r="E12" s="63"/>
      <c r="F12" s="63"/>
      <c r="G12" s="63"/>
      <c r="H12" s="64" t="str" cm="1">
        <f t="array" ref="H12">IFERROR(INDEX($G$7:$G$490, MATCH(0,COUNTIF($H$6:H11, $G$7:$G$490), 0)),"")</f>
        <v/>
      </c>
      <c r="J12" s="230"/>
      <c r="K12" s="226"/>
      <c r="L12" s="227"/>
      <c r="M12" s="227"/>
      <c r="N12" s="228"/>
    </row>
    <row r="13" spans="1:20" ht="26.1">
      <c r="A13" s="183"/>
      <c r="B13" s="116"/>
      <c r="C13" s="207"/>
      <c r="D13" s="116"/>
      <c r="E13" s="63"/>
      <c r="F13" s="63"/>
      <c r="G13" s="63"/>
      <c r="H13" s="64" t="str" cm="1">
        <f t="array" ref="H13">IFERROR(INDEX($G$7:$G$490, MATCH(0,COUNTIF($H$6:H12, $G$7:$G$490), 0)),"")</f>
        <v/>
      </c>
      <c r="J13" s="229">
        <v>4</v>
      </c>
      <c r="K13" s="223"/>
      <c r="L13" s="224"/>
      <c r="M13" s="224"/>
      <c r="N13" s="225"/>
      <c r="Q13" s="117" t="s">
        <v>8</v>
      </c>
    </row>
    <row r="14" spans="1:20" ht="26.1">
      <c r="A14" s="183"/>
      <c r="B14" s="116"/>
      <c r="C14" s="207"/>
      <c r="D14" s="116"/>
      <c r="E14" s="63"/>
      <c r="F14" s="63"/>
      <c r="G14" s="63"/>
      <c r="H14" s="64" t="str" cm="1">
        <f t="array" ref="H14">IFERROR(INDEX($G$7:$G$490, MATCH(0,COUNTIF($H$6:H13, $G$7:$G$490), 0)),"")</f>
        <v/>
      </c>
      <c r="J14" s="230"/>
      <c r="K14" s="226"/>
      <c r="L14" s="227"/>
      <c r="M14" s="227"/>
      <c r="N14" s="228"/>
    </row>
    <row r="15" spans="1:20" ht="26.1">
      <c r="A15" s="183"/>
      <c r="B15" s="116"/>
      <c r="C15" s="207"/>
      <c r="D15" s="116"/>
      <c r="E15" s="63"/>
      <c r="F15" s="63"/>
      <c r="G15" s="63"/>
      <c r="H15" s="64" t="str" cm="1">
        <f t="array" ref="H15">IFERROR(INDEX($G$7:$G$490, MATCH(0,COUNTIF($H$6:H14, $G$7:$G$490), 0)),"")</f>
        <v/>
      </c>
      <c r="J15" s="229">
        <v>5</v>
      </c>
      <c r="K15" s="223"/>
      <c r="L15" s="224"/>
      <c r="M15" s="224"/>
      <c r="N15" s="225"/>
    </row>
    <row r="16" spans="1:20" ht="26.1">
      <c r="A16" s="183"/>
      <c r="B16" s="116"/>
      <c r="C16" s="207"/>
      <c r="D16" s="116"/>
      <c r="E16" s="63"/>
      <c r="F16" s="63"/>
      <c r="G16" s="63"/>
      <c r="H16" s="64" t="str" cm="1">
        <f t="array" ref="H16">IFERROR(INDEX($G$7:$G$490, MATCH(0,COUNTIF($H$6:H15, $G$7:$G$490), 0)),"")</f>
        <v/>
      </c>
      <c r="J16" s="230"/>
      <c r="K16" s="226"/>
      <c r="L16" s="227"/>
      <c r="M16" s="227"/>
      <c r="N16" s="228"/>
    </row>
    <row r="17" spans="1:15" ht="26.1">
      <c r="A17" s="183"/>
      <c r="B17" s="116"/>
      <c r="C17" s="207"/>
      <c r="D17" s="116"/>
      <c r="E17" s="63"/>
      <c r="F17" s="63"/>
      <c r="G17" s="63"/>
      <c r="H17" s="64" t="str" cm="1">
        <f t="array" ref="H17">IFERROR(INDEX($G$7:$G$490, MATCH(0,COUNTIF($H$6:H16, $G$7:$G$490), 0)),"")</f>
        <v/>
      </c>
      <c r="J17" s="229">
        <v>6</v>
      </c>
      <c r="K17" s="223"/>
      <c r="L17" s="224"/>
      <c r="M17" s="224"/>
      <c r="N17" s="225"/>
      <c r="O17" s="118"/>
    </row>
    <row r="18" spans="1:15" ht="26.1">
      <c r="A18" s="183"/>
      <c r="B18" s="116"/>
      <c r="C18" s="207"/>
      <c r="D18" s="116"/>
      <c r="E18" s="63"/>
      <c r="F18" s="63"/>
      <c r="G18" s="63"/>
      <c r="H18" s="64" t="str" cm="1">
        <f t="array" ref="H18">IFERROR(INDEX($G$7:$G$490, MATCH(0,COUNTIF($H$6:H17, $G$7:$G$490), 0)),"")</f>
        <v/>
      </c>
      <c r="J18" s="230"/>
      <c r="K18" s="226"/>
      <c r="L18" s="227"/>
      <c r="M18" s="227"/>
      <c r="N18" s="228"/>
    </row>
    <row r="19" spans="1:15" ht="26.1">
      <c r="A19" s="183"/>
      <c r="B19" s="116"/>
      <c r="C19" s="207"/>
      <c r="D19" s="116"/>
      <c r="E19" s="63"/>
      <c r="F19" s="63"/>
      <c r="G19" s="63"/>
      <c r="H19" s="64" t="str" cm="1">
        <f t="array" ref="H19">IFERROR(INDEX($G$7:$G$490, MATCH(0,COUNTIF($H$6:H18, $G$7:$G$490), 0)),"")</f>
        <v/>
      </c>
      <c r="J19" s="229">
        <v>7</v>
      </c>
      <c r="K19" s="223"/>
      <c r="L19" s="224"/>
      <c r="M19" s="224"/>
      <c r="N19" s="225"/>
    </row>
    <row r="20" spans="1:15" ht="26.1">
      <c r="A20" s="183"/>
      <c r="B20" s="116"/>
      <c r="C20" s="207"/>
      <c r="D20" s="116"/>
      <c r="E20" s="63"/>
      <c r="F20" s="63"/>
      <c r="G20" s="63"/>
      <c r="H20" s="64" t="str" cm="1">
        <f t="array" ref="H20">IFERROR(INDEX($G$7:$G$490, MATCH(0,COUNTIF($H$6:H19, $G$7:$G$490), 0)),"")</f>
        <v/>
      </c>
      <c r="J20" s="230"/>
      <c r="K20" s="226"/>
      <c r="L20" s="227"/>
      <c r="M20" s="227"/>
      <c r="N20" s="228"/>
    </row>
    <row r="21" spans="1:15" ht="26.1">
      <c r="A21" s="183"/>
      <c r="B21" s="116"/>
      <c r="C21" s="207"/>
      <c r="D21" s="116"/>
      <c r="E21" s="63"/>
      <c r="F21" s="63"/>
      <c r="G21" s="63"/>
      <c r="H21" s="64" t="str" cm="1">
        <f t="array" ref="H21">IFERROR(INDEX($G$7:$G$490, MATCH(0,COUNTIF($H$6:H20, $G$7:$G$490), 0)),"")</f>
        <v/>
      </c>
      <c r="J21" s="229">
        <v>8</v>
      </c>
      <c r="K21" s="223"/>
      <c r="L21" s="224"/>
      <c r="M21" s="224"/>
      <c r="N21" s="225"/>
    </row>
    <row r="22" spans="1:15" ht="26.1">
      <c r="A22" s="183"/>
      <c r="B22" s="116"/>
      <c r="C22" s="207"/>
      <c r="D22" s="116"/>
      <c r="E22" s="63"/>
      <c r="F22" s="63"/>
      <c r="G22" s="63"/>
      <c r="H22" s="64" t="str" cm="1">
        <f t="array" ref="H22">IFERROR(INDEX($G$7:$G$490, MATCH(0,COUNTIF($H$6:H21, $G$7:$G$490), 0)),"")</f>
        <v/>
      </c>
      <c r="J22" s="230"/>
      <c r="K22" s="226"/>
      <c r="L22" s="227"/>
      <c r="M22" s="227"/>
      <c r="N22" s="228"/>
    </row>
    <row r="23" spans="1:15" ht="26.1">
      <c r="A23" s="183"/>
      <c r="B23" s="116"/>
      <c r="C23" s="207"/>
      <c r="D23" s="116"/>
      <c r="E23" s="63"/>
      <c r="F23" s="63"/>
      <c r="G23" s="63"/>
      <c r="H23" s="64" t="str" cm="1">
        <f t="array" ref="H23">IFERROR(INDEX($G$7:$G$490, MATCH(0,COUNTIF($H$6:H22, $G$7:$G$490), 0)),"")</f>
        <v/>
      </c>
    </row>
    <row r="24" spans="1:15" ht="26.1">
      <c r="A24" s="183"/>
      <c r="B24" s="116"/>
      <c r="C24" s="207"/>
      <c r="D24" s="116"/>
      <c r="E24" s="63"/>
      <c r="F24" s="63"/>
      <c r="G24" s="63"/>
      <c r="H24" s="64" t="str" cm="1">
        <f t="array" ref="H24">IFERROR(INDEX($G$7:$G$490, MATCH(0,COUNTIF($H$6:H23, $G$7:$G$490), 0)),"")</f>
        <v/>
      </c>
      <c r="K24" s="9" t="s">
        <v>68</v>
      </c>
      <c r="L24" s="208" t="s">
        <v>69</v>
      </c>
      <c r="M24" s="208"/>
      <c r="N24" s="209"/>
    </row>
    <row r="25" spans="1:15" ht="26.1">
      <c r="A25" s="183"/>
      <c r="B25" s="116"/>
      <c r="C25" s="207"/>
      <c r="D25" s="116"/>
      <c r="E25" s="63"/>
      <c r="F25" s="63"/>
      <c r="G25" s="63"/>
      <c r="H25" s="64" t="str" cm="1">
        <f t="array" ref="H25">IFERROR(INDEX($G$7:$G$490, MATCH(0,COUNTIF($H$6:H24, $G$7:$G$490), 0)),"")</f>
        <v/>
      </c>
    </row>
    <row r="26" spans="1:15" ht="24">
      <c r="A26" s="183"/>
      <c r="B26" s="116"/>
      <c r="D26" s="116"/>
      <c r="E26" s="120"/>
      <c r="F26" s="120"/>
      <c r="G26" s="120"/>
      <c r="H26" s="120"/>
      <c r="J26" s="121"/>
      <c r="K26" s="9" t="s">
        <v>10</v>
      </c>
      <c r="L26" s="65" t="s">
        <v>82</v>
      </c>
      <c r="M26" s="65"/>
      <c r="N26" s="66"/>
    </row>
    <row r="27" spans="1:15">
      <c r="A27" s="183"/>
      <c r="D27" s="116"/>
    </row>
    <row r="28" spans="1:15">
      <c r="A28" s="183"/>
      <c r="D28" s="116"/>
    </row>
    <row r="29" spans="1:15">
      <c r="A29" s="183"/>
      <c r="D29" s="116"/>
    </row>
    <row r="30" spans="1:15">
      <c r="A30" s="183"/>
      <c r="D30" s="116"/>
    </row>
    <row r="31" spans="1:15">
      <c r="A31" s="183"/>
      <c r="D31" s="116"/>
    </row>
    <row r="32" spans="1:15">
      <c r="A32" s="183"/>
      <c r="D32" s="116"/>
    </row>
    <row r="33" spans="1:4">
      <c r="A33" s="183"/>
      <c r="D33" s="116"/>
    </row>
    <row r="34" spans="1:4">
      <c r="A34" s="183"/>
      <c r="D34" s="116"/>
    </row>
    <row r="35" spans="1:4">
      <c r="A35" s="183"/>
      <c r="D35" s="116"/>
    </row>
    <row r="36" spans="1:4">
      <c r="A36" s="183"/>
      <c r="D36" s="116"/>
    </row>
    <row r="37" spans="1:4">
      <c r="A37" s="183"/>
      <c r="D37" s="116"/>
    </row>
    <row r="38" spans="1:4">
      <c r="A38" s="183"/>
      <c r="D38" s="116"/>
    </row>
    <row r="39" spans="1:4">
      <c r="A39" s="183"/>
      <c r="D39" s="116"/>
    </row>
    <row r="40" spans="1:4">
      <c r="A40" s="183"/>
      <c r="D40" s="116"/>
    </row>
  </sheetData>
  <mergeCells count="19">
    <mergeCell ref="J15:J16"/>
    <mergeCell ref="K15:N16"/>
    <mergeCell ref="J17:J18"/>
    <mergeCell ref="K17:N18"/>
    <mergeCell ref="J19:J20"/>
    <mergeCell ref="K19:N20"/>
    <mergeCell ref="K5:N5"/>
    <mergeCell ref="C7:C25"/>
    <mergeCell ref="J7:J8"/>
    <mergeCell ref="K7:N8"/>
    <mergeCell ref="J9:J10"/>
    <mergeCell ref="K9:N10"/>
    <mergeCell ref="J11:J12"/>
    <mergeCell ref="K11:N12"/>
    <mergeCell ref="J13:J14"/>
    <mergeCell ref="K13:N14"/>
    <mergeCell ref="J21:J22"/>
    <mergeCell ref="K21:N22"/>
    <mergeCell ref="L24:N24"/>
  </mergeCells>
  <hyperlinks>
    <hyperlink ref="L24:N24" location="'Driving Forces impact'!A1" display="Driving Forces Impact" xr:uid="{7588DC2D-538F-4A05-BDAA-9A7FE6E60A45}"/>
    <hyperlink ref="L26:N26" location="'Segment Quantification'!A1" display="Segment Quantification" xr:uid="{457A63E4-575D-4E2F-9B02-EC2400157DD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31F2-CA3A-4027-82B7-D3786556E3ED}">
  <sheetPr codeName="Sheet5"/>
  <dimension ref="A1:U40"/>
  <sheetViews>
    <sheetView showGridLines="0" zoomScale="115" zoomScaleNormal="100" workbookViewId="0">
      <selection activeCell="E9" sqref="E9"/>
    </sheetView>
  </sheetViews>
  <sheetFormatPr defaultColWidth="8.85546875" defaultRowHeight="15"/>
  <cols>
    <col min="2" max="2" width="4" customWidth="1"/>
    <col min="3" max="3" width="45.42578125" customWidth="1"/>
    <col min="4" max="4" width="2.42578125" customWidth="1"/>
    <col min="5" max="5" width="27.7109375" customWidth="1"/>
    <col min="6" max="6" width="11.85546875" customWidth="1"/>
    <col min="7" max="14" width="24.42578125" customWidth="1"/>
    <col min="15" max="15" width="9.42578125" style="1" customWidth="1"/>
    <col min="16" max="16" width="18.85546875" style="1" customWidth="1"/>
    <col min="17" max="20" width="22.42578125" style="1" customWidth="1"/>
    <col min="21" max="21" width="18.85546875" style="1" customWidth="1"/>
  </cols>
  <sheetData>
    <row r="1" spans="1:21" ht="44.1" customHeight="1">
      <c r="A1" s="183"/>
      <c r="B1" s="186"/>
      <c r="C1" s="185" t="s">
        <v>83</v>
      </c>
      <c r="D1" s="186"/>
      <c r="E1" s="186"/>
      <c r="F1" s="186"/>
      <c r="G1" s="186"/>
      <c r="H1" s="186"/>
      <c r="I1" s="186"/>
      <c r="J1" s="186"/>
      <c r="K1" s="186"/>
      <c r="L1" s="186"/>
      <c r="M1" s="186"/>
      <c r="N1" s="186"/>
      <c r="O1" s="187"/>
      <c r="P1" s="187"/>
      <c r="Q1" s="187"/>
      <c r="R1" s="187"/>
      <c r="S1" s="187"/>
      <c r="T1" s="187"/>
      <c r="U1" s="186"/>
    </row>
    <row r="2" spans="1:21">
      <c r="A2" s="183"/>
    </row>
    <row r="3" spans="1:21" ht="47.1" hidden="1">
      <c r="A3" s="183"/>
      <c r="C3" s="233" t="s">
        <v>82</v>
      </c>
      <c r="D3" s="233"/>
      <c r="E3" s="233"/>
      <c r="F3" s="233"/>
      <c r="G3" s="233"/>
      <c r="H3" s="233"/>
      <c r="I3" s="233"/>
      <c r="J3" s="233"/>
      <c r="K3" s="233"/>
      <c r="L3" s="233"/>
      <c r="M3" s="233"/>
      <c r="N3" s="67"/>
    </row>
    <row r="4" spans="1:21" s="1" customFormat="1" ht="8.25" customHeight="1">
      <c r="A4" s="184"/>
    </row>
    <row r="5" spans="1:21" s="1" customFormat="1" ht="26.1">
      <c r="A5" s="184"/>
      <c r="C5" s="202" t="s">
        <v>84</v>
      </c>
      <c r="E5" s="68" t="s">
        <v>85</v>
      </c>
      <c r="F5" s="69"/>
      <c r="G5" s="69"/>
      <c r="H5" s="69"/>
      <c r="I5" s="69"/>
      <c r="J5" s="69"/>
      <c r="K5" s="69"/>
      <c r="L5" s="69"/>
      <c r="M5" s="69"/>
      <c r="N5" s="69"/>
    </row>
    <row r="6" spans="1:21" s="1" customFormat="1" ht="8.25" customHeight="1">
      <c r="A6" s="184"/>
      <c r="C6" s="202"/>
    </row>
    <row r="7" spans="1:21" s="1" customFormat="1" ht="39.950000000000003">
      <c r="A7" s="184"/>
      <c r="C7" s="202"/>
      <c r="G7" s="70">
        <f>'Segment brainstorm'!K7</f>
        <v>0</v>
      </c>
      <c r="H7" s="70">
        <f>'Segment brainstorm'!K9</f>
        <v>0</v>
      </c>
      <c r="I7" s="70">
        <f>'Segment brainstorm'!K11</f>
        <v>0</v>
      </c>
      <c r="J7" s="70">
        <f>'Segment brainstorm'!K13</f>
        <v>0</v>
      </c>
      <c r="K7" s="70">
        <f>'Segment brainstorm'!K15</f>
        <v>0</v>
      </c>
      <c r="L7" s="70">
        <f>'Segment brainstorm'!K17</f>
        <v>0</v>
      </c>
      <c r="M7" s="70">
        <f>'Segment brainstorm'!K19</f>
        <v>0</v>
      </c>
      <c r="N7" s="70">
        <f>'Segment brainstorm'!K21</f>
        <v>0</v>
      </c>
      <c r="O7" s="71" t="s">
        <v>86</v>
      </c>
    </row>
    <row r="8" spans="1:21" s="1" customFormat="1" ht="26.1">
      <c r="A8" s="184"/>
      <c r="C8" s="202"/>
      <c r="E8" s="4" t="s">
        <v>87</v>
      </c>
      <c r="F8" s="4"/>
      <c r="G8" s="112"/>
      <c r="H8" s="31"/>
      <c r="I8" s="31"/>
      <c r="J8" s="31"/>
      <c r="K8" s="31"/>
      <c r="L8" s="31"/>
      <c r="M8" s="31"/>
      <c r="N8" s="31"/>
      <c r="O8" s="72">
        <f>SUM(G8:N8)</f>
        <v>0</v>
      </c>
    </row>
    <row r="9" spans="1:21" s="1" customFormat="1" ht="26.1">
      <c r="A9" s="183"/>
      <c r="C9" s="202"/>
      <c r="E9" s="4" t="s">
        <v>88</v>
      </c>
      <c r="F9" s="4"/>
      <c r="G9" s="31"/>
      <c r="H9" s="31"/>
      <c r="I9" s="31"/>
      <c r="J9" s="31"/>
      <c r="K9" s="31"/>
      <c r="L9" s="31"/>
      <c r="M9" s="31"/>
      <c r="N9" s="31"/>
      <c r="O9" s="72">
        <f>SUM(G9:N9)</f>
        <v>0</v>
      </c>
    </row>
    <row r="10" spans="1:21" s="1" customFormat="1" ht="26.1">
      <c r="A10" s="183"/>
      <c r="C10" s="202"/>
      <c r="E10" s="4" t="s">
        <v>89</v>
      </c>
      <c r="F10" s="4"/>
      <c r="G10" s="31"/>
      <c r="H10" s="31"/>
      <c r="I10" s="31"/>
      <c r="J10" s="31"/>
      <c r="K10" s="31"/>
      <c r="L10" s="31"/>
      <c r="M10" s="31"/>
      <c r="N10" s="31"/>
      <c r="O10" s="72">
        <f>SUM(G10:N10)</f>
        <v>0</v>
      </c>
    </row>
    <row r="11" spans="1:21" s="1" customFormat="1" ht="18.75" customHeight="1">
      <c r="A11" s="183"/>
      <c r="C11" s="202"/>
    </row>
    <row r="12" spans="1:21" s="1" customFormat="1" ht="26.1">
      <c r="A12" s="183"/>
      <c r="C12" s="202"/>
      <c r="E12" s="68" t="s">
        <v>90</v>
      </c>
      <c r="F12" s="69"/>
      <c r="G12" s="69"/>
      <c r="H12" s="69"/>
      <c r="I12" s="69"/>
      <c r="J12" s="69"/>
      <c r="K12" s="69"/>
      <c r="L12" s="69"/>
      <c r="M12" s="69"/>
      <c r="N12" s="69"/>
    </row>
    <row r="13" spans="1:21" s="1" customFormat="1" ht="8.25" customHeight="1">
      <c r="A13" s="183"/>
      <c r="C13" s="202"/>
    </row>
    <row r="14" spans="1:21" s="1" customFormat="1" ht="18.95">
      <c r="A14" s="183"/>
      <c r="C14" s="202"/>
      <c r="G14" s="70">
        <f t="shared" ref="G14:N14" si="0">G7</f>
        <v>0</v>
      </c>
      <c r="H14" s="70">
        <f t="shared" si="0"/>
        <v>0</v>
      </c>
      <c r="I14" s="70">
        <f t="shared" si="0"/>
        <v>0</v>
      </c>
      <c r="J14" s="70">
        <f t="shared" si="0"/>
        <v>0</v>
      </c>
      <c r="K14" s="70">
        <f t="shared" si="0"/>
        <v>0</v>
      </c>
      <c r="L14" s="70">
        <f t="shared" si="0"/>
        <v>0</v>
      </c>
      <c r="M14" s="70">
        <f t="shared" si="0"/>
        <v>0</v>
      </c>
      <c r="N14" s="70">
        <f t="shared" si="0"/>
        <v>0</v>
      </c>
      <c r="R14" s="1" t="s">
        <v>8</v>
      </c>
    </row>
    <row r="15" spans="1:21" s="1" customFormat="1" ht="26.1">
      <c r="A15" s="183"/>
      <c r="C15" s="202"/>
      <c r="E15" s="4" t="s">
        <v>91</v>
      </c>
      <c r="F15" s="4"/>
      <c r="G15" s="73">
        <f>G8*'Driving Forces impact'!$Q$6</f>
        <v>0</v>
      </c>
      <c r="H15" s="73">
        <f>H8*'Driving Forces impact'!$Q$6</f>
        <v>0</v>
      </c>
      <c r="I15" s="73">
        <f>I8*'Driving Forces impact'!$Q$6</f>
        <v>0</v>
      </c>
      <c r="J15" s="73">
        <f>J8*'Driving Forces impact'!$Q$6</f>
        <v>0</v>
      </c>
      <c r="K15" s="73">
        <f>K8*'Driving Forces impact'!$Q$6</f>
        <v>0</v>
      </c>
      <c r="L15" s="73">
        <f>L8*'Driving Forces impact'!$Q$6</f>
        <v>0</v>
      </c>
      <c r="M15" s="73">
        <f>M8*'Driving Forces impact'!$Q$6</f>
        <v>0</v>
      </c>
      <c r="N15" s="73">
        <f>N8*'Driving Forces impact'!$Q$6</f>
        <v>0</v>
      </c>
    </row>
    <row r="16" spans="1:21" s="1" customFormat="1" ht="26.1">
      <c r="A16" s="183"/>
      <c r="C16" s="202"/>
      <c r="E16" s="4" t="s">
        <v>92</v>
      </c>
      <c r="F16" s="4"/>
      <c r="G16" s="74">
        <f>G9*'Driving Forces impact'!$H$13</f>
        <v>0</v>
      </c>
      <c r="H16" s="74">
        <f>H9*'Driving Forces impact'!$H$13</f>
        <v>0</v>
      </c>
      <c r="I16" s="74">
        <f>I9*'Driving Forces impact'!$H$13</f>
        <v>0</v>
      </c>
      <c r="J16" s="74">
        <f>J9*'Driving Forces impact'!$H$13</f>
        <v>0</v>
      </c>
      <c r="K16" s="74">
        <f>K9*'Driving Forces impact'!$H$13</f>
        <v>0</v>
      </c>
      <c r="L16" s="74">
        <f>L9*'Driving Forces impact'!$H$13</f>
        <v>0</v>
      </c>
      <c r="M16" s="74">
        <f>M9*'Driving Forces impact'!$H$13</f>
        <v>0</v>
      </c>
      <c r="N16" s="74">
        <f>N9*'Driving Forces impact'!$H$13</f>
        <v>0</v>
      </c>
    </row>
    <row r="17" spans="1:16" s="1" customFormat="1" ht="26.1">
      <c r="A17" s="183"/>
      <c r="C17" s="202"/>
      <c r="E17" s="4" t="s">
        <v>93</v>
      </c>
      <c r="F17" s="4"/>
      <c r="G17" s="74">
        <f>G10*'Driving Forces impact'!$H$15</f>
        <v>0</v>
      </c>
      <c r="H17" s="74">
        <f>H10*'Driving Forces impact'!$H$15</f>
        <v>0</v>
      </c>
      <c r="I17" s="74">
        <f>I10*'Driving Forces impact'!$H$15</f>
        <v>0</v>
      </c>
      <c r="J17" s="74">
        <f>J10*'Driving Forces impact'!$H$15</f>
        <v>0</v>
      </c>
      <c r="K17" s="74">
        <f>K10*'Driving Forces impact'!$H$15</f>
        <v>0</v>
      </c>
      <c r="L17" s="74">
        <f>L10*'Driving Forces impact'!$H$15</f>
        <v>0</v>
      </c>
      <c r="M17" s="74">
        <f>M10*'Driving Forces impact'!$H$15</f>
        <v>0</v>
      </c>
      <c r="N17" s="74">
        <f>N10*'Driving Forces impact'!$H$15</f>
        <v>0</v>
      </c>
    </row>
    <row r="18" spans="1:16">
      <c r="A18" s="183"/>
      <c r="C18" s="202"/>
      <c r="O18"/>
      <c r="P18"/>
    </row>
    <row r="19" spans="1:16" ht="24">
      <c r="A19" s="183"/>
      <c r="C19" s="202"/>
      <c r="K19" s="9" t="s">
        <v>68</v>
      </c>
      <c r="L19" s="234" t="s">
        <v>74</v>
      </c>
      <c r="M19" s="234"/>
      <c r="N19" s="75"/>
    </row>
    <row r="20" spans="1:16">
      <c r="A20" s="183"/>
      <c r="C20" s="202"/>
    </row>
    <row r="21" spans="1:16" ht="24">
      <c r="A21" s="183"/>
      <c r="C21" s="202"/>
      <c r="K21" s="9" t="s">
        <v>10</v>
      </c>
      <c r="L21" s="235" t="s">
        <v>94</v>
      </c>
      <c r="M21" s="235"/>
      <c r="N21" s="76"/>
    </row>
    <row r="22" spans="1:16">
      <c r="A22" s="183"/>
    </row>
    <row r="23" spans="1:16">
      <c r="A23" s="183"/>
    </row>
    <row r="24" spans="1:16">
      <c r="A24" s="183"/>
      <c r="G24" s="77"/>
      <c r="H24" s="77"/>
      <c r="I24" s="77"/>
      <c r="J24" s="77"/>
      <c r="K24" s="77"/>
      <c r="L24" s="77"/>
      <c r="M24" s="77"/>
      <c r="N24" s="77"/>
    </row>
    <row r="25" spans="1:16">
      <c r="A25" s="183"/>
      <c r="G25" s="77"/>
    </row>
    <row r="26" spans="1:16">
      <c r="A26" s="183"/>
      <c r="G26" s="77"/>
    </row>
    <row r="27" spans="1:16">
      <c r="A27" s="183"/>
    </row>
    <row r="28" spans="1:16">
      <c r="A28" s="183"/>
    </row>
    <row r="29" spans="1:16">
      <c r="A29" s="183"/>
    </row>
    <row r="30" spans="1:16">
      <c r="A30" s="183"/>
    </row>
    <row r="31" spans="1:16">
      <c r="A31" s="183"/>
    </row>
    <row r="32" spans="1:16">
      <c r="A32" s="183"/>
    </row>
    <row r="33" spans="1:1">
      <c r="A33" s="183"/>
    </row>
    <row r="34" spans="1:1">
      <c r="A34" s="183"/>
    </row>
    <row r="35" spans="1:1">
      <c r="A35" s="183"/>
    </row>
    <row r="36" spans="1:1">
      <c r="A36" s="183"/>
    </row>
    <row r="37" spans="1:1">
      <c r="A37" s="183"/>
    </row>
    <row r="38" spans="1:1">
      <c r="A38" s="183"/>
    </row>
    <row r="39" spans="1:1">
      <c r="A39" s="183"/>
    </row>
    <row r="40" spans="1:1">
      <c r="A40" s="183"/>
    </row>
  </sheetData>
  <mergeCells count="4">
    <mergeCell ref="C3:M3"/>
    <mergeCell ref="C5:C21"/>
    <mergeCell ref="L19:M19"/>
    <mergeCell ref="L21:M21"/>
  </mergeCells>
  <conditionalFormatting sqref="O8:O10">
    <cfRule type="cellIs" dxfId="3" priority="1" operator="equal">
      <formula>1</formula>
    </cfRule>
    <cfRule type="cellIs" dxfId="2" priority="2" operator="notEqual">
      <formula>1</formula>
    </cfRule>
  </conditionalFormatting>
  <hyperlinks>
    <hyperlink ref="L19:M19" location="'Segment Brainstorm'!A1" display="Segment Brainstorm" xr:uid="{B1E51127-54DC-4B08-9F64-1541B8BA2FCE}"/>
    <hyperlink ref="L21:M21" location="'Segment Ranking'!A1" display="Segmentation Brainstorm" xr:uid="{C1D9C078-D478-4E16-BDEA-AC3C9478753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1AD0-A1ED-4EA0-A6BB-DFA494CD7859}">
  <sheetPr codeName="Sheet6"/>
  <dimension ref="A1:U48"/>
  <sheetViews>
    <sheetView topLeftCell="A6" zoomScale="125" zoomScaleNormal="70" workbookViewId="0">
      <selection activeCell="C5" sqref="C5"/>
    </sheetView>
  </sheetViews>
  <sheetFormatPr defaultColWidth="8.85546875" defaultRowHeight="15"/>
  <cols>
    <col min="1" max="1" width="8.85546875" style="183"/>
    <col min="2" max="2" width="4.85546875" style="118" customWidth="1"/>
    <col min="3" max="3" width="51.42578125" style="118" customWidth="1"/>
    <col min="4" max="4" width="2.42578125" style="118" customWidth="1"/>
    <col min="5" max="5" width="39.7109375" style="118" customWidth="1"/>
    <col min="6" max="7" width="6.140625" style="118" customWidth="1"/>
    <col min="8" max="14" width="18.140625" style="118" customWidth="1"/>
    <col min="15" max="15" width="18.85546875" style="117" customWidth="1"/>
    <col min="16" max="16" width="27" style="117" customWidth="1"/>
    <col min="17" max="19" width="22.42578125" style="117" customWidth="1"/>
    <col min="20" max="20" width="18.85546875" style="117" customWidth="1"/>
    <col min="21" max="16384" width="8.85546875" style="118"/>
  </cols>
  <sheetData>
    <row r="1" spans="1:21" ht="44.1" customHeight="1">
      <c r="B1" s="186"/>
      <c r="C1" s="185" t="s">
        <v>95</v>
      </c>
      <c r="D1" s="186"/>
      <c r="E1" s="186"/>
      <c r="F1" s="186"/>
      <c r="G1" s="186"/>
      <c r="H1" s="186"/>
      <c r="I1" s="186"/>
      <c r="J1" s="186"/>
      <c r="K1" s="186"/>
      <c r="L1" s="186"/>
      <c r="M1" s="186"/>
      <c r="N1" s="186"/>
      <c r="O1" s="187"/>
      <c r="P1" s="187"/>
      <c r="Q1" s="187"/>
      <c r="R1" s="187"/>
      <c r="S1" s="187"/>
      <c r="T1" s="187"/>
      <c r="U1" s="186"/>
    </row>
    <row r="3" spans="1:21" ht="47.1" hidden="1">
      <c r="C3" s="233" t="s">
        <v>94</v>
      </c>
      <c r="D3" s="233"/>
      <c r="E3" s="233"/>
      <c r="F3" s="233"/>
      <c r="G3" s="233"/>
      <c r="H3" s="233"/>
      <c r="I3" s="233"/>
      <c r="J3" s="233"/>
      <c r="K3" s="233"/>
      <c r="L3" s="233"/>
      <c r="M3" s="233"/>
      <c r="N3" s="233"/>
      <c r="O3" s="154"/>
    </row>
    <row r="4" spans="1:21" s="117" customFormat="1" ht="8.25" customHeight="1">
      <c r="A4" s="184"/>
    </row>
    <row r="5" spans="1:21" s="117" customFormat="1" ht="26.1">
      <c r="A5" s="184"/>
      <c r="C5" s="202" t="s">
        <v>96</v>
      </c>
      <c r="E5" s="68" t="s">
        <v>97</v>
      </c>
      <c r="F5" s="68"/>
      <c r="G5" s="68"/>
      <c r="H5" s="69"/>
      <c r="I5" s="118"/>
      <c r="J5" s="118"/>
      <c r="K5" s="118"/>
      <c r="L5" s="118"/>
      <c r="M5" s="118"/>
      <c r="N5" s="118"/>
    </row>
    <row r="6" spans="1:21" ht="29.1">
      <c r="A6" s="184"/>
      <c r="C6" s="202"/>
      <c r="E6" s="127" t="s">
        <v>7</v>
      </c>
      <c r="F6" s="127"/>
      <c r="G6" s="127"/>
      <c r="H6" s="79"/>
    </row>
    <row r="7" spans="1:21" ht="29.1">
      <c r="A7" s="184"/>
      <c r="C7" s="202"/>
      <c r="E7" s="127" t="s">
        <v>9</v>
      </c>
      <c r="F7" s="127"/>
      <c r="G7" s="127"/>
      <c r="H7" s="79"/>
    </row>
    <row r="8" spans="1:21" ht="29.1">
      <c r="A8" s="184"/>
      <c r="C8" s="202"/>
      <c r="E8" s="127" t="s">
        <v>98</v>
      </c>
      <c r="F8" s="127"/>
      <c r="G8" s="127"/>
      <c r="H8" s="79"/>
    </row>
    <row r="9" spans="1:21" ht="29.1">
      <c r="C9" s="202"/>
      <c r="E9" s="127" t="s">
        <v>99</v>
      </c>
      <c r="F9" s="127"/>
      <c r="G9" s="127"/>
      <c r="H9" s="79"/>
    </row>
    <row r="10" spans="1:21" ht="29.1">
      <c r="C10" s="202"/>
      <c r="E10" s="82"/>
      <c r="F10" s="128"/>
      <c r="G10" s="128"/>
      <c r="H10" s="79"/>
    </row>
    <row r="11" spans="1:21">
      <c r="C11" s="202"/>
    </row>
    <row r="12" spans="1:21" s="117" customFormat="1" ht="26.1">
      <c r="A12" s="183"/>
      <c r="C12" s="202"/>
      <c r="E12" s="68" t="s">
        <v>100</v>
      </c>
      <c r="F12" s="68"/>
      <c r="G12" s="68"/>
      <c r="H12" s="69"/>
      <c r="I12" s="69"/>
      <c r="J12" s="69"/>
      <c r="K12" s="69"/>
      <c r="L12" s="69"/>
      <c r="M12" s="69"/>
      <c r="N12" s="69"/>
      <c r="O12" s="69"/>
    </row>
    <row r="13" spans="1:21" s="117" customFormat="1" ht="8.25" customHeight="1">
      <c r="A13" s="183"/>
      <c r="C13" s="202"/>
    </row>
    <row r="14" spans="1:21" s="117" customFormat="1" ht="18.95">
      <c r="A14" s="183"/>
      <c r="C14" s="202"/>
      <c r="E14" s="126" t="s">
        <v>101</v>
      </c>
      <c r="F14" s="126"/>
      <c r="G14" s="126"/>
      <c r="H14" s="70">
        <f>'Segment quantification'!G7</f>
        <v>0</v>
      </c>
      <c r="I14" s="70">
        <f>'Segment quantification'!H7</f>
        <v>0</v>
      </c>
      <c r="J14" s="70">
        <f>'Segment quantification'!I7</f>
        <v>0</v>
      </c>
      <c r="K14" s="70">
        <f>'Segment quantification'!J7</f>
        <v>0</v>
      </c>
      <c r="L14" s="70">
        <f>'Segment quantification'!K7</f>
        <v>0</v>
      </c>
      <c r="M14" s="70">
        <f>'Segment quantification'!L7</f>
        <v>0</v>
      </c>
      <c r="N14" s="70">
        <f>'Segment quantification'!M7</f>
        <v>0</v>
      </c>
      <c r="O14" s="70">
        <f>'Segment quantification'!N7</f>
        <v>0</v>
      </c>
    </row>
    <row r="15" spans="1:21" s="117" customFormat="1" ht="29.1">
      <c r="A15" s="183"/>
      <c r="C15" s="202"/>
      <c r="E15" s="127" t="s">
        <v>7</v>
      </c>
      <c r="F15" s="127"/>
      <c r="G15" s="127"/>
      <c r="H15" s="79"/>
      <c r="I15" s="79"/>
      <c r="J15" s="79"/>
      <c r="K15" s="79"/>
      <c r="L15" s="79"/>
      <c r="M15" s="79"/>
      <c r="N15" s="79"/>
      <c r="O15" s="79"/>
    </row>
    <row r="16" spans="1:21" s="117" customFormat="1" ht="29.1">
      <c r="A16" s="183"/>
      <c r="C16" s="202"/>
      <c r="E16" s="127" t="s">
        <v>9</v>
      </c>
      <c r="F16" s="127"/>
      <c r="G16" s="127"/>
      <c r="H16" s="79"/>
      <c r="I16" s="79"/>
      <c r="J16" s="79"/>
      <c r="K16" s="79"/>
      <c r="L16" s="79"/>
      <c r="M16" s="79"/>
      <c r="N16" s="79"/>
      <c r="O16" s="79"/>
    </row>
    <row r="17" spans="1:15" s="117" customFormat="1" ht="29.1">
      <c r="A17" s="183"/>
      <c r="C17" s="202"/>
      <c r="E17" s="127" t="s">
        <v>98</v>
      </c>
      <c r="F17" s="127"/>
      <c r="G17" s="127"/>
      <c r="H17" s="79"/>
      <c r="I17" s="79"/>
      <c r="J17" s="79"/>
      <c r="K17" s="79"/>
      <c r="L17" s="79"/>
      <c r="M17" s="79"/>
      <c r="N17" s="79"/>
      <c r="O17" s="79"/>
    </row>
    <row r="18" spans="1:15" ht="29.1">
      <c r="C18" s="202"/>
      <c r="D18" s="117"/>
      <c r="E18" s="127" t="s">
        <v>99</v>
      </c>
      <c r="F18" s="127"/>
      <c r="G18" s="127"/>
      <c r="H18" s="79"/>
      <c r="I18" s="79"/>
      <c r="J18" s="79"/>
      <c r="K18" s="79"/>
      <c r="L18" s="79"/>
      <c r="M18" s="79"/>
      <c r="N18" s="79"/>
      <c r="O18" s="79"/>
    </row>
    <row r="19" spans="1:15" s="117" customFormat="1" ht="29.1">
      <c r="A19" s="183"/>
      <c r="C19" s="202"/>
      <c r="E19" s="83">
        <f>E10</f>
        <v>0</v>
      </c>
      <c r="F19" s="128"/>
      <c r="G19" s="128"/>
      <c r="H19" s="79"/>
      <c r="I19" s="79"/>
      <c r="J19" s="79"/>
      <c r="K19" s="79"/>
      <c r="L19" s="79"/>
      <c r="M19" s="79"/>
      <c r="N19" s="79"/>
      <c r="O19" s="79"/>
    </row>
    <row r="20" spans="1:15" ht="15" hidden="1" customHeight="1">
      <c r="C20" s="202"/>
      <c r="E20" s="1" t="s">
        <v>102</v>
      </c>
      <c r="F20" s="117"/>
      <c r="G20" s="117"/>
      <c r="H20">
        <f t="shared" ref="H20:O20" si="0">SUMPRODUCT($H$6:$H$10,H15:H19)</f>
        <v>0</v>
      </c>
      <c r="I20">
        <f t="shared" si="0"/>
        <v>0</v>
      </c>
      <c r="J20">
        <f t="shared" si="0"/>
        <v>0</v>
      </c>
      <c r="K20">
        <f t="shared" si="0"/>
        <v>0</v>
      </c>
      <c r="L20">
        <f t="shared" si="0"/>
        <v>0</v>
      </c>
      <c r="M20">
        <f t="shared" si="0"/>
        <v>0</v>
      </c>
      <c r="N20">
        <f t="shared" si="0"/>
        <v>0</v>
      </c>
      <c r="O20">
        <f t="shared" si="0"/>
        <v>0</v>
      </c>
    </row>
    <row r="21" spans="1:15" ht="15" hidden="1" customHeight="1">
      <c r="C21" s="202"/>
      <c r="E21" s="1" t="s">
        <v>103</v>
      </c>
      <c r="F21" s="117"/>
      <c r="G21" s="117"/>
      <c r="H21">
        <f>COUNTIF($H20:H$20,H20)</f>
        <v>1</v>
      </c>
      <c r="I21">
        <f>COUNTIF($H20:I$20,I20)</f>
        <v>2</v>
      </c>
      <c r="J21">
        <f>COUNTIF($H20:J$20,J20)</f>
        <v>3</v>
      </c>
      <c r="K21">
        <f>COUNTIF($H20:K$20,K20)</f>
        <v>4</v>
      </c>
      <c r="L21">
        <f>COUNTIF($H20:L$20,L20)</f>
        <v>5</v>
      </c>
      <c r="M21">
        <f>COUNTIF($H20:M$20,M20)</f>
        <v>6</v>
      </c>
      <c r="N21">
        <f>COUNTIF($H20:N$20,N20)</f>
        <v>7</v>
      </c>
      <c r="O21">
        <f>COUNTIF($H20:O$20,O20)</f>
        <v>8</v>
      </c>
    </row>
    <row r="22" spans="1:15" ht="15" hidden="1" customHeight="1">
      <c r="C22" s="202"/>
      <c r="E22" s="1" t="s">
        <v>104</v>
      </c>
      <c r="F22" s="117"/>
      <c r="G22" s="117"/>
      <c r="H22">
        <f>RANK(H20,$H$20:$O$20,0)</f>
        <v>1</v>
      </c>
      <c r="I22">
        <f t="shared" ref="I22:N22" si="1">RANK(I20,$H$20:$O$20,0)</f>
        <v>1</v>
      </c>
      <c r="J22">
        <f t="shared" si="1"/>
        <v>1</v>
      </c>
      <c r="K22">
        <f t="shared" si="1"/>
        <v>1</v>
      </c>
      <c r="L22">
        <f t="shared" si="1"/>
        <v>1</v>
      </c>
      <c r="M22">
        <f t="shared" si="1"/>
        <v>1</v>
      </c>
      <c r="N22">
        <f t="shared" si="1"/>
        <v>1</v>
      </c>
      <c r="O22">
        <f>RANK(O20,$H$20:$O$20,0)</f>
        <v>1</v>
      </c>
    </row>
    <row r="23" spans="1:15" ht="15" hidden="1" customHeight="1">
      <c r="C23" s="202"/>
      <c r="E23" s="80" t="s">
        <v>105</v>
      </c>
      <c r="F23" s="129"/>
      <c r="G23" s="129"/>
      <c r="H23" s="81">
        <f>H21+H22-1</f>
        <v>1</v>
      </c>
      <c r="I23" s="81">
        <f t="shared" ref="I23:N23" si="2">I21+I22-1</f>
        <v>2</v>
      </c>
      <c r="J23" s="81">
        <f t="shared" si="2"/>
        <v>3</v>
      </c>
      <c r="K23" s="81">
        <f t="shared" si="2"/>
        <v>4</v>
      </c>
      <c r="L23" s="81">
        <f t="shared" si="2"/>
        <v>5</v>
      </c>
      <c r="M23" s="81">
        <f t="shared" si="2"/>
        <v>6</v>
      </c>
      <c r="N23" s="81">
        <f t="shared" si="2"/>
        <v>7</v>
      </c>
      <c r="O23" s="81">
        <f>O21+O22-1</f>
        <v>8</v>
      </c>
    </row>
    <row r="24" spans="1:15" ht="15" hidden="1" customHeight="1">
      <c r="C24" s="202"/>
      <c r="E24"/>
      <c r="H24"/>
      <c r="I24"/>
      <c r="J24"/>
      <c r="K24"/>
      <c r="L24"/>
      <c r="M24"/>
      <c r="N24"/>
      <c r="O24" s="1"/>
    </row>
    <row r="25" spans="1:15">
      <c r="C25" s="202"/>
    </row>
    <row r="26" spans="1:15" ht="24">
      <c r="C26" s="202"/>
      <c r="L26" s="9" t="s">
        <v>68</v>
      </c>
      <c r="M26" s="234" t="s">
        <v>82</v>
      </c>
      <c r="N26" s="234"/>
      <c r="O26" s="1"/>
    </row>
    <row r="27" spans="1:15" ht="15" customHeight="1">
      <c r="C27" s="202"/>
    </row>
    <row r="28" spans="1:15" ht="24">
      <c r="C28" s="202"/>
      <c r="L28" s="9" t="s">
        <v>106</v>
      </c>
      <c r="M28" s="236" t="s">
        <v>107</v>
      </c>
      <c r="N28" s="236"/>
      <c r="O28" s="1"/>
    </row>
    <row r="41" spans="1:3" s="117" customFormat="1">
      <c r="A41" s="183"/>
      <c r="C41" s="118"/>
    </row>
    <row r="42" spans="1:3" s="117" customFormat="1">
      <c r="A42" s="183"/>
      <c r="C42" s="118"/>
    </row>
    <row r="43" spans="1:3" s="117" customFormat="1">
      <c r="A43" s="183"/>
      <c r="C43" s="118"/>
    </row>
    <row r="44" spans="1:3" s="117" customFormat="1">
      <c r="A44" s="183"/>
      <c r="C44" s="118"/>
    </row>
    <row r="45" spans="1:3" s="117" customFormat="1" ht="5.25" customHeight="1">
      <c r="A45" s="183"/>
      <c r="C45" s="118"/>
    </row>
    <row r="46" spans="1:3" s="117" customFormat="1">
      <c r="A46" s="183"/>
      <c r="C46" s="118"/>
    </row>
    <row r="47" spans="1:3" s="117" customFormat="1">
      <c r="A47" s="183"/>
      <c r="C47" s="118"/>
    </row>
    <row r="48" spans="1:3" s="117" customFormat="1">
      <c r="A48" s="183"/>
      <c r="C48" s="118"/>
    </row>
  </sheetData>
  <mergeCells count="4">
    <mergeCell ref="C3:N3"/>
    <mergeCell ref="C5:C28"/>
    <mergeCell ref="M26:N26"/>
    <mergeCell ref="M28:N28"/>
  </mergeCells>
  <hyperlinks>
    <hyperlink ref="M26:N26" location="'Segment Quantification'!A1" display="Segment Quantification" xr:uid="{4356728D-5F8F-408B-A85B-F4C271AE519A}"/>
    <hyperlink ref="M28:N28" location="'Segmentation Summary'!A1" display="Target Summary" xr:uid="{CA8C07F6-ED54-4201-BA47-9C20B6BEC6F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8429-C333-42C0-B220-6B5C1DB2461F}">
  <sheetPr codeName="Sheet7"/>
  <dimension ref="A1:U59"/>
  <sheetViews>
    <sheetView showGridLines="0" topLeftCell="A54" zoomScale="113" zoomScaleNormal="55" workbookViewId="0"/>
  </sheetViews>
  <sheetFormatPr defaultColWidth="8.85546875" defaultRowHeight="15"/>
  <cols>
    <col min="1" max="1" width="8.85546875" style="190"/>
    <col min="2" max="2" width="6.140625" customWidth="1"/>
    <col min="3" max="3" width="40" style="1" customWidth="1"/>
    <col min="4" max="4" width="13.85546875" style="1" customWidth="1"/>
    <col min="5" max="5" width="6.42578125" style="1" customWidth="1"/>
    <col min="6" max="7" width="21.42578125" style="1" customWidth="1"/>
    <col min="8" max="8" width="2.42578125" style="1" customWidth="1"/>
    <col min="9" max="9" width="20" customWidth="1"/>
    <col min="10" max="10" width="44.140625" customWidth="1"/>
    <col min="11" max="11" width="18.85546875" style="1" customWidth="1"/>
    <col min="12" max="15" width="22.42578125" style="1" customWidth="1"/>
    <col min="16" max="16" width="18.85546875" style="1" customWidth="1"/>
  </cols>
  <sheetData>
    <row r="1" spans="1:21" ht="41.1" customHeight="1">
      <c r="A1" s="188"/>
      <c r="B1" s="186"/>
      <c r="C1" s="185" t="s">
        <v>108</v>
      </c>
      <c r="D1" s="186"/>
      <c r="E1" s="186"/>
      <c r="F1" s="186"/>
      <c r="G1" s="186"/>
      <c r="H1" s="186"/>
      <c r="I1" s="186"/>
      <c r="J1" s="186"/>
      <c r="K1" s="186"/>
      <c r="L1" s="186"/>
      <c r="M1" s="186"/>
      <c r="N1" s="186"/>
      <c r="O1" s="187"/>
      <c r="P1" s="187"/>
      <c r="Q1" s="187"/>
      <c r="R1" s="187"/>
      <c r="S1" s="187"/>
      <c r="T1" s="187"/>
      <c r="U1" s="186"/>
    </row>
    <row r="2" spans="1:21">
      <c r="A2" s="188"/>
      <c r="C2"/>
      <c r="D2"/>
      <c r="E2"/>
      <c r="F2"/>
      <c r="G2"/>
      <c r="H2"/>
    </row>
    <row r="3" spans="1:21" ht="47.1">
      <c r="A3" s="188"/>
      <c r="C3" s="233" t="s">
        <v>109</v>
      </c>
      <c r="D3" s="233"/>
      <c r="E3" s="11"/>
      <c r="F3" s="11"/>
      <c r="G3" s="11"/>
      <c r="H3" s="11"/>
      <c r="I3" s="11"/>
      <c r="J3" s="11"/>
    </row>
    <row r="4" spans="1:21" s="1" customFormat="1" ht="8.25" customHeight="1">
      <c r="A4" s="189"/>
      <c r="C4" s="285"/>
      <c r="D4" s="285"/>
      <c r="J4"/>
    </row>
    <row r="5" spans="1:21" s="1" customFormat="1" ht="30.95">
      <c r="A5" s="189"/>
      <c r="C5" s="84" t="s">
        <v>110</v>
      </c>
      <c r="D5" s="84"/>
      <c r="E5" s="85"/>
      <c r="F5" s="237">
        <f ca="1">YEAR(TODAY())</f>
        <v>2025</v>
      </c>
      <c r="G5" s="237"/>
      <c r="H5" s="85"/>
      <c r="I5" s="85"/>
      <c r="J5" s="86" t="s">
        <v>111</v>
      </c>
    </row>
    <row r="6" spans="1:21" ht="6" customHeight="1">
      <c r="A6" s="189"/>
      <c r="C6" s="285"/>
      <c r="D6" s="285"/>
      <c r="J6" s="87"/>
    </row>
    <row r="7" spans="1:21" ht="29.1">
      <c r="A7" s="189"/>
      <c r="C7" s="238" t="s">
        <v>7</v>
      </c>
      <c r="D7" s="238"/>
      <c r="E7" s="88"/>
      <c r="F7" s="239">
        <f>'Market size'!I12</f>
        <v>20000000000</v>
      </c>
      <c r="G7" s="239"/>
      <c r="J7" s="89" t="s">
        <v>7</v>
      </c>
    </row>
    <row r="8" spans="1:21" ht="6" customHeight="1">
      <c r="A8" s="189"/>
      <c r="C8" s="286"/>
      <c r="D8" s="286"/>
      <c r="E8" s="88"/>
      <c r="F8" s="88"/>
      <c r="G8" s="88"/>
      <c r="J8" s="87"/>
    </row>
    <row r="9" spans="1:21" ht="29.1">
      <c r="A9" s="188"/>
      <c r="C9" s="238" t="s">
        <v>9</v>
      </c>
      <c r="D9" s="238"/>
      <c r="E9" s="88"/>
      <c r="F9" s="239">
        <f>'Market size'!I14</f>
        <v>2000000000</v>
      </c>
      <c r="G9" s="239"/>
      <c r="J9" s="89" t="s">
        <v>11</v>
      </c>
    </row>
    <row r="10" spans="1:21" ht="6" customHeight="1">
      <c r="A10" s="188"/>
      <c r="C10" s="286"/>
      <c r="D10" s="286"/>
      <c r="E10" s="88"/>
      <c r="F10" s="88"/>
      <c r="G10" s="88"/>
      <c r="J10" s="87"/>
    </row>
    <row r="11" spans="1:21" ht="29.1">
      <c r="A11" s="188"/>
      <c r="C11" s="238" t="s">
        <v>91</v>
      </c>
      <c r="D11" s="238"/>
      <c r="E11" s="88"/>
      <c r="F11" s="240">
        <f>'Market size'!K6</f>
        <v>2000000</v>
      </c>
      <c r="G11" s="240"/>
      <c r="J11" s="89" t="s">
        <v>69</v>
      </c>
    </row>
    <row r="12" spans="1:21" ht="14.25" customHeight="1">
      <c r="A12" s="188"/>
      <c r="C12" s="285"/>
      <c r="D12" s="285"/>
      <c r="J12" s="87"/>
    </row>
    <row r="13" spans="1:21" s="1" customFormat="1" ht="30.95">
      <c r="A13" s="188"/>
      <c r="C13" s="84" t="s">
        <v>110</v>
      </c>
      <c r="D13" s="84"/>
      <c r="E13" s="85"/>
      <c r="F13" s="237">
        <f ca="1">YEAR(TODAY())+3</f>
        <v>2028</v>
      </c>
      <c r="G13" s="237"/>
      <c r="J13" s="90"/>
      <c r="M13" s="1" t="s">
        <v>8</v>
      </c>
    </row>
    <row r="14" spans="1:21" ht="6" customHeight="1">
      <c r="A14" s="188"/>
      <c r="C14" s="285"/>
      <c r="D14" s="285"/>
      <c r="J14" s="87"/>
    </row>
    <row r="15" spans="1:21" ht="29.1">
      <c r="A15" s="188"/>
      <c r="C15" s="238" t="s">
        <v>7</v>
      </c>
      <c r="D15" s="238"/>
      <c r="E15" s="88"/>
      <c r="F15" s="239">
        <f>'Driving Forces impact'!H13</f>
        <v>20000000000</v>
      </c>
      <c r="G15" s="239"/>
      <c r="J15" s="87"/>
    </row>
    <row r="16" spans="1:21" ht="6" customHeight="1">
      <c r="A16" s="188"/>
      <c r="C16" s="286"/>
      <c r="D16" s="286"/>
      <c r="E16" s="88"/>
      <c r="F16" s="88"/>
      <c r="G16" s="88"/>
      <c r="J16" s="87"/>
    </row>
    <row r="17" spans="1:12" s="1" customFormat="1" ht="29.1">
      <c r="A17" s="188"/>
      <c r="C17" s="238" t="s">
        <v>9</v>
      </c>
      <c r="D17" s="238"/>
      <c r="E17" s="91"/>
      <c r="F17" s="239">
        <f>'Driving Forces impact'!H15</f>
        <v>2000000000</v>
      </c>
      <c r="G17" s="239"/>
      <c r="J17" s="92"/>
      <c r="K17"/>
    </row>
    <row r="18" spans="1:12" ht="6" customHeight="1">
      <c r="A18" s="188"/>
      <c r="C18" s="286"/>
      <c r="D18" s="286"/>
      <c r="E18" s="88"/>
      <c r="F18" s="88"/>
      <c r="G18" s="88"/>
      <c r="J18" s="87"/>
    </row>
    <row r="19" spans="1:12" s="1" customFormat="1" ht="29.1">
      <c r="A19" s="188"/>
      <c r="C19" s="238" t="s">
        <v>91</v>
      </c>
      <c r="D19" s="238"/>
      <c r="E19" s="91"/>
      <c r="F19" s="240">
        <f>'Driving Forces impact'!Q6</f>
        <v>2000000</v>
      </c>
      <c r="G19" s="240"/>
      <c r="J19" s="92"/>
    </row>
    <row r="20" spans="1:12" ht="9.75" customHeight="1">
      <c r="A20" s="188"/>
      <c r="C20" s="285"/>
      <c r="D20" s="285"/>
      <c r="J20" s="87"/>
    </row>
    <row r="21" spans="1:12" ht="47.1">
      <c r="A21" s="188"/>
      <c r="C21" s="233" t="s">
        <v>112</v>
      </c>
      <c r="D21" s="233"/>
      <c r="E21" s="233"/>
      <c r="F21" s="233"/>
      <c r="G21" s="233"/>
      <c r="H21" s="233"/>
      <c r="I21" s="233"/>
      <c r="J21" s="233"/>
    </row>
    <row r="22" spans="1:12" s="1" customFormat="1" ht="8.25" customHeight="1">
      <c r="A22" s="188"/>
      <c r="C22" s="285"/>
      <c r="D22" s="285"/>
      <c r="J22"/>
    </row>
    <row r="23" spans="1:12" s="1" customFormat="1" ht="30.95">
      <c r="A23" s="188"/>
      <c r="C23" s="84" t="s">
        <v>113</v>
      </c>
      <c r="D23" s="84"/>
      <c r="E23" s="85"/>
      <c r="F23" s="237">
        <f>INDEX('Segment ranking'!E12:O23, 3, MATCH(SMALL('Segment ranking'!H23:O23,1),'Segment ranking'!E23:O23,0))</f>
        <v>0</v>
      </c>
      <c r="G23" s="237"/>
      <c r="J23" s="86" t="s">
        <v>111</v>
      </c>
      <c r="L23" s="93"/>
    </row>
    <row r="24" spans="1:12" ht="6" customHeight="1">
      <c r="A24" s="188"/>
      <c r="C24" s="285"/>
      <c r="D24" s="285"/>
      <c r="J24" s="87"/>
    </row>
    <row r="25" spans="1:12" s="1" customFormat="1" ht="29.1">
      <c r="A25" s="188"/>
      <c r="C25" s="238" t="s">
        <v>7</v>
      </c>
      <c r="D25" s="238"/>
      <c r="E25" s="91"/>
      <c r="F25" s="239">
        <f>INDEX('Segment quantification'!$E$14:$N$17,3,MATCH('Segment summary'!F23,'Segment quantification'!$E$14:$N$14,0))</f>
        <v>0</v>
      </c>
      <c r="G25" s="239"/>
      <c r="J25" s="89" t="s">
        <v>74</v>
      </c>
    </row>
    <row r="26" spans="1:12" ht="6" customHeight="1">
      <c r="A26" s="188"/>
      <c r="C26" s="286"/>
      <c r="D26" s="286"/>
      <c r="E26" s="88"/>
      <c r="F26" s="88"/>
      <c r="G26" s="88"/>
      <c r="J26" s="87"/>
    </row>
    <row r="27" spans="1:12" ht="29.1">
      <c r="A27" s="188"/>
      <c r="C27" s="238" t="s">
        <v>9</v>
      </c>
      <c r="D27" s="238"/>
      <c r="E27" s="91"/>
      <c r="F27" s="239">
        <f>INDEX('Segment quantification'!$E$14:$N$17,4,MATCH('Segment summary'!F23,'Segment quantification'!$E$14:$N$14,0))</f>
        <v>0</v>
      </c>
      <c r="G27" s="239"/>
      <c r="J27" s="89" t="s">
        <v>82</v>
      </c>
    </row>
    <row r="28" spans="1:12" ht="6" customHeight="1">
      <c r="A28" s="188"/>
      <c r="C28" s="286"/>
      <c r="D28" s="286"/>
      <c r="E28" s="88"/>
      <c r="F28" s="88"/>
      <c r="G28" s="88"/>
      <c r="J28" s="87"/>
    </row>
    <row r="29" spans="1:12" ht="29.1">
      <c r="A29" s="188"/>
      <c r="C29" s="238" t="s">
        <v>91</v>
      </c>
      <c r="D29" s="238"/>
      <c r="E29" s="91"/>
      <c r="F29" s="240">
        <f>INDEX('Segment quantification'!$E$14:$N$17,2,MATCH('Segment summary'!F23,'Segment quantification'!$E$14:$N$14,0))</f>
        <v>0</v>
      </c>
      <c r="G29" s="240"/>
      <c r="J29" s="89" t="s">
        <v>94</v>
      </c>
    </row>
    <row r="30" spans="1:12" ht="13.5" customHeight="1">
      <c r="A30" s="188"/>
      <c r="C30" s="285"/>
      <c r="D30" s="285"/>
      <c r="J30" s="87"/>
    </row>
    <row r="31" spans="1:12" ht="30.95">
      <c r="A31" s="188"/>
      <c r="C31" s="84" t="s">
        <v>114</v>
      </c>
      <c r="D31" s="84"/>
      <c r="E31" s="85"/>
      <c r="F31" s="237">
        <f>INDEX('Segment ranking'!E12:O23, 3, MATCH(SMALL('Segment ranking'!H23:O23,2),'Segment ranking'!E23:O23,0))</f>
        <v>0</v>
      </c>
      <c r="G31" s="237"/>
    </row>
    <row r="32" spans="1:12" ht="6" customHeight="1">
      <c r="A32" s="188"/>
      <c r="C32" s="285"/>
      <c r="D32" s="285"/>
    </row>
    <row r="33" spans="1:10" ht="29.1">
      <c r="A33" s="188"/>
      <c r="C33" s="238" t="s">
        <v>7</v>
      </c>
      <c r="D33" s="238"/>
      <c r="E33" s="91"/>
      <c r="F33" s="239">
        <f>INDEX('Segment quantification'!$E$14:$N$17,3,MATCH('Segment summary'!F31,'Segment quantification'!$E$14:$M$14,0))</f>
        <v>0</v>
      </c>
      <c r="G33" s="239"/>
    </row>
    <row r="34" spans="1:10" ht="6" customHeight="1">
      <c r="A34" s="188"/>
      <c r="C34" s="286"/>
      <c r="D34" s="286"/>
      <c r="E34" s="88"/>
      <c r="F34" s="88"/>
      <c r="G34" s="88"/>
    </row>
    <row r="35" spans="1:10" ht="29.1">
      <c r="A35" s="188"/>
      <c r="C35" s="238" t="s">
        <v>9</v>
      </c>
      <c r="D35" s="238"/>
      <c r="E35" s="91"/>
      <c r="F35" s="239">
        <f>INDEX('Segment quantification'!$E$14:$N$17,4,MATCH('Segment summary'!F31,'Segment quantification'!$E$14:$M$14,0))</f>
        <v>0</v>
      </c>
      <c r="G35" s="239"/>
    </row>
    <row r="36" spans="1:10" ht="6" customHeight="1">
      <c r="A36" s="188"/>
      <c r="C36" s="286"/>
      <c r="D36" s="286"/>
      <c r="E36" s="88"/>
      <c r="F36" s="88"/>
      <c r="G36" s="88"/>
    </row>
    <row r="37" spans="1:10" ht="29.1">
      <c r="A37" s="188"/>
      <c r="C37" s="238" t="s">
        <v>91</v>
      </c>
      <c r="D37" s="238"/>
      <c r="E37" s="91"/>
      <c r="F37" s="240">
        <f>INDEX('Segment quantification'!$E$14:$N$17,2,MATCH('Segment summary'!F31,'Segment quantification'!$E$14:$M$14,0))</f>
        <v>0</v>
      </c>
      <c r="G37" s="240"/>
    </row>
    <row r="38" spans="1:10" ht="7.5" customHeight="1">
      <c r="A38" s="188"/>
    </row>
    <row r="39" spans="1:10" ht="47.1">
      <c r="A39" s="188"/>
      <c r="C39" s="233" t="s">
        <v>115</v>
      </c>
      <c r="D39" s="233"/>
      <c r="E39" s="233"/>
      <c r="F39" s="233"/>
      <c r="G39" s="233"/>
      <c r="H39" s="233"/>
      <c r="I39" s="233"/>
      <c r="J39" s="233"/>
    </row>
    <row r="40" spans="1:10" ht="6" customHeight="1">
      <c r="A40" s="188"/>
      <c r="C40" s="285"/>
      <c r="D40" s="285"/>
      <c r="J40" s="1"/>
    </row>
    <row r="41" spans="1:10" s="1" customFormat="1" ht="30.95">
      <c r="A41" s="190"/>
      <c r="C41" s="238" t="s">
        <v>7</v>
      </c>
      <c r="D41" s="238"/>
      <c r="E41" s="91"/>
      <c r="F41" s="239">
        <f>F33+F25</f>
        <v>0</v>
      </c>
      <c r="G41" s="239"/>
      <c r="J41" s="86" t="s">
        <v>111</v>
      </c>
    </row>
    <row r="42" spans="1:10" ht="6" customHeight="1">
      <c r="C42" s="286"/>
      <c r="D42" s="286"/>
      <c r="E42" s="88"/>
      <c r="F42" s="88"/>
      <c r="G42" s="88"/>
      <c r="J42" s="87"/>
    </row>
    <row r="43" spans="1:10" ht="28.5" customHeight="1">
      <c r="C43" s="238" t="s">
        <v>9</v>
      </c>
      <c r="D43" s="238"/>
      <c r="E43" s="91"/>
      <c r="F43" s="239">
        <f>F35+F27</f>
        <v>0</v>
      </c>
      <c r="G43" s="239"/>
      <c r="J43" s="89" t="s">
        <v>116</v>
      </c>
    </row>
    <row r="44" spans="1:10" ht="6" customHeight="1">
      <c r="C44" s="286"/>
      <c r="D44" s="286"/>
      <c r="E44" s="88"/>
      <c r="F44" s="88"/>
      <c r="G44" s="88"/>
      <c r="J44" s="87"/>
    </row>
    <row r="45" spans="1:10" ht="28.5" customHeight="1">
      <c r="C45" s="238" t="s">
        <v>91</v>
      </c>
      <c r="D45" s="238"/>
      <c r="E45" s="91"/>
      <c r="F45" s="240">
        <f>F37+F29</f>
        <v>0</v>
      </c>
      <c r="G45" s="240"/>
    </row>
    <row r="47" spans="1:10" ht="47.1">
      <c r="C47" s="233" t="s">
        <v>117</v>
      </c>
      <c r="D47" s="233"/>
      <c r="E47" s="233"/>
      <c r="F47" s="233"/>
      <c r="G47" s="233"/>
      <c r="H47" s="233"/>
      <c r="I47" s="233"/>
      <c r="J47" s="233"/>
    </row>
    <row r="48" spans="1:10" s="1" customFormat="1" ht="8.25" customHeight="1">
      <c r="A48" s="190"/>
      <c r="C48" s="285"/>
      <c r="D48" s="285"/>
      <c r="J48"/>
    </row>
    <row r="49" spans="1:21" s="1" customFormat="1" ht="30.95">
      <c r="A49" s="188"/>
      <c r="C49" s="84" t="s">
        <v>118</v>
      </c>
      <c r="D49" s="84"/>
      <c r="E49" s="85"/>
      <c r="F49" s="237"/>
      <c r="G49" s="237"/>
    </row>
    <row r="50" spans="1:21" ht="6" customHeight="1">
      <c r="A50" s="188"/>
      <c r="C50" s="285"/>
      <c r="D50" s="285"/>
    </row>
    <row r="51" spans="1:21" s="1" customFormat="1" ht="29.1">
      <c r="A51" s="188"/>
      <c r="C51" s="238" t="s">
        <v>119</v>
      </c>
      <c r="D51" s="238"/>
      <c r="E51" s="91"/>
      <c r="F51" s="239">
        <f>'Target setting'!L19</f>
        <v>0</v>
      </c>
      <c r="G51" s="239"/>
    </row>
    <row r="52" spans="1:21" ht="6" customHeight="1">
      <c r="C52" s="286"/>
      <c r="D52" s="286"/>
      <c r="E52" s="88"/>
      <c r="F52" s="88"/>
      <c r="G52" s="88"/>
      <c r="U52" s="1"/>
    </row>
    <row r="53" spans="1:21" ht="29.1">
      <c r="C53" s="238" t="s">
        <v>120</v>
      </c>
      <c r="D53" s="238"/>
      <c r="E53" s="91"/>
      <c r="F53" s="239">
        <f>'Target setting'!L21</f>
        <v>0</v>
      </c>
      <c r="G53" s="239"/>
    </row>
    <row r="54" spans="1:21" ht="13.5" customHeight="1">
      <c r="C54" s="285"/>
      <c r="D54" s="285"/>
      <c r="J54" s="87"/>
    </row>
    <row r="55" spans="1:21" ht="30.95">
      <c r="C55" s="84" t="s">
        <v>121</v>
      </c>
      <c r="D55" s="84"/>
      <c r="E55" s="85"/>
      <c r="F55" s="237"/>
      <c r="G55" s="237"/>
      <c r="J55" s="86" t="s">
        <v>122</v>
      </c>
    </row>
    <row r="56" spans="1:21" ht="6" customHeight="1">
      <c r="C56" s="285"/>
      <c r="D56" s="285"/>
      <c r="J56" s="1"/>
    </row>
    <row r="57" spans="1:21" ht="29.1">
      <c r="C57" s="238" t="s">
        <v>119</v>
      </c>
      <c r="D57" s="238"/>
      <c r="E57" s="91"/>
      <c r="F57" s="239">
        <f>'Target setting'!L25</f>
        <v>0</v>
      </c>
      <c r="G57" s="239"/>
      <c r="J57" s="241" t="s">
        <v>123</v>
      </c>
    </row>
    <row r="58" spans="1:21" ht="6" customHeight="1">
      <c r="C58" s="286"/>
      <c r="D58" s="286"/>
      <c r="E58" s="88"/>
      <c r="F58" s="88"/>
      <c r="G58" s="88"/>
      <c r="J58" s="242"/>
    </row>
    <row r="59" spans="1:21" ht="29.1">
      <c r="C59" s="238" t="s">
        <v>120</v>
      </c>
      <c r="D59" s="238"/>
      <c r="E59" s="91"/>
      <c r="F59" s="239">
        <f>'Target setting'!L27</f>
        <v>0</v>
      </c>
      <c r="G59" s="239"/>
      <c r="J59" s="243"/>
    </row>
  </sheetData>
  <mergeCells count="75">
    <mergeCell ref="J57:J59"/>
    <mergeCell ref="C58:D58"/>
    <mergeCell ref="C59:D59"/>
    <mergeCell ref="F59:G59"/>
    <mergeCell ref="C50:D50"/>
    <mergeCell ref="C51:D51"/>
    <mergeCell ref="F51:G51"/>
    <mergeCell ref="C52:D52"/>
    <mergeCell ref="C53:D53"/>
    <mergeCell ref="F53:G53"/>
    <mergeCell ref="C54:D54"/>
    <mergeCell ref="F55:G55"/>
    <mergeCell ref="C56:D56"/>
    <mergeCell ref="C57:D57"/>
    <mergeCell ref="F57:G57"/>
    <mergeCell ref="F49:G49"/>
    <mergeCell ref="C40:D40"/>
    <mergeCell ref="C41:D41"/>
    <mergeCell ref="F41:G41"/>
    <mergeCell ref="C42:D42"/>
    <mergeCell ref="C43:D43"/>
    <mergeCell ref="F43:G43"/>
    <mergeCell ref="C44:D44"/>
    <mergeCell ref="C45:D45"/>
    <mergeCell ref="F45:G45"/>
    <mergeCell ref="C47:J47"/>
    <mergeCell ref="C48:D48"/>
    <mergeCell ref="C39:J39"/>
    <mergeCell ref="C30:D30"/>
    <mergeCell ref="F31:G31"/>
    <mergeCell ref="C32:D32"/>
    <mergeCell ref="C33:D33"/>
    <mergeCell ref="F33:G33"/>
    <mergeCell ref="C34:D34"/>
    <mergeCell ref="C35:D35"/>
    <mergeCell ref="F35:G35"/>
    <mergeCell ref="C36:D36"/>
    <mergeCell ref="C37:D37"/>
    <mergeCell ref="F37:G37"/>
    <mergeCell ref="C26:D26"/>
    <mergeCell ref="C27:D27"/>
    <mergeCell ref="F27:G27"/>
    <mergeCell ref="C28:D28"/>
    <mergeCell ref="C29:D29"/>
    <mergeCell ref="F29:G29"/>
    <mergeCell ref="C21:J21"/>
    <mergeCell ref="C22:D22"/>
    <mergeCell ref="F23:G23"/>
    <mergeCell ref="C24:D24"/>
    <mergeCell ref="C25:D25"/>
    <mergeCell ref="F25:G25"/>
    <mergeCell ref="C20:D20"/>
    <mergeCell ref="C12:D12"/>
    <mergeCell ref="F13:G13"/>
    <mergeCell ref="C14:D14"/>
    <mergeCell ref="C15:D15"/>
    <mergeCell ref="F15:G15"/>
    <mergeCell ref="C16:D16"/>
    <mergeCell ref="C17:D17"/>
    <mergeCell ref="F17:G17"/>
    <mergeCell ref="C18:D18"/>
    <mergeCell ref="C19:D19"/>
    <mergeCell ref="F19:G19"/>
    <mergeCell ref="C8:D8"/>
    <mergeCell ref="C9:D9"/>
    <mergeCell ref="F9:G9"/>
    <mergeCell ref="C10:D10"/>
    <mergeCell ref="C11:D11"/>
    <mergeCell ref="F11:G11"/>
    <mergeCell ref="C3:D3"/>
    <mergeCell ref="C4:D4"/>
    <mergeCell ref="F5:G5"/>
    <mergeCell ref="C6:D6"/>
    <mergeCell ref="C7:D7"/>
    <mergeCell ref="F7:G7"/>
  </mergeCells>
  <hyperlinks>
    <hyperlink ref="J7:J8" location="'FULL MARKET SEGMENTATION'!A1" display="TOP DRIVING FORCES" xr:uid="{B75E8F11-410F-42D4-84F5-7EC6C93CAC56}"/>
    <hyperlink ref="J7" location="'Market Size'!A1" display="Market Size" xr:uid="{AA6CABCF-2B41-4699-BE8D-8ECCB2D7F315}"/>
    <hyperlink ref="J9" location="'Driving Forces Brainstorm'!A1" display="Driving Forces Brainstorm" xr:uid="{217E778A-EF05-40E8-A797-76557BEC4270}"/>
    <hyperlink ref="J25" location="'Segment Brainstorm'!A1" display="Segment Brainstorm" xr:uid="{234170E4-AC49-41DD-A6E5-639680A20550}"/>
    <hyperlink ref="J27" location="'Segment Quantification'!A1" display="Segmentation Quantification" xr:uid="{C7A52654-6972-4294-B794-7A2C61C64293}"/>
    <hyperlink ref="J11" location="'Driving Forces Impact'!A1" display="Driving Forces Impact" xr:uid="{1A03D1FC-E480-4AEB-9FAA-5EBDC137C9D6}"/>
    <hyperlink ref="J29" location="'Segment Ranking'!A1" display="Segmentation Quantification" xr:uid="{BFABDF1F-3B7E-4C58-8AA8-CCDD20357C68}"/>
    <hyperlink ref="J57" location="'Segment Ranking'!A1" display="Segmentation Quantification" xr:uid="{913D22C2-A051-4E64-A85E-CD24CD0EE647}"/>
    <hyperlink ref="J57:J59" location="'Core Segment Needs'!A1" display="Segment Needs" xr:uid="{0E298466-EA66-4D0C-AE95-9DACE6AD0096}"/>
    <hyperlink ref="J43" location="'Target Setting'!A1" display="Target Setting" xr:uid="{45DD57D0-4496-4C0C-B528-DBC70D84A14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7700-2881-49DA-9557-05AEFF4B79A4}">
  <sheetPr codeName="Sheet8"/>
  <dimension ref="A1:AF51"/>
  <sheetViews>
    <sheetView showGridLines="0" tabSelected="1" zoomScaleNormal="100" workbookViewId="0">
      <selection activeCell="G45" sqref="G45"/>
    </sheetView>
  </sheetViews>
  <sheetFormatPr defaultColWidth="9.140625" defaultRowHeight="15"/>
  <cols>
    <col min="1" max="1" width="8.42578125" style="190" customWidth="1"/>
    <col min="2" max="2" width="4" style="1" customWidth="1"/>
    <col min="3" max="3" width="56.28515625" style="1" customWidth="1"/>
    <col min="4" max="4" width="6.42578125" customWidth="1"/>
    <col min="5" max="5" width="2.42578125" customWidth="1"/>
    <col min="6" max="6" width="8.85546875" style="1" customWidth="1"/>
    <col min="7" max="7" width="37.42578125" style="1" customWidth="1"/>
    <col min="8" max="8" width="6" style="1" customWidth="1"/>
    <col min="9" max="9" width="9.42578125" style="1" customWidth="1"/>
    <col min="10" max="10" width="8.42578125" style="1" customWidth="1"/>
    <col min="11" max="11" width="3.140625" style="1" customWidth="1"/>
    <col min="12" max="12" width="9.42578125" style="1" customWidth="1"/>
    <col min="13" max="13" width="3" style="1" customWidth="1"/>
    <col min="14" max="14" width="9.42578125" style="1" customWidth="1"/>
    <col min="15" max="15" width="8.42578125" style="1" customWidth="1"/>
    <col min="16" max="16" width="3.140625" style="1" customWidth="1"/>
    <col min="17" max="17" width="9.42578125" style="1" customWidth="1"/>
    <col min="18" max="18" width="3.42578125" style="1" customWidth="1"/>
    <col min="19" max="20" width="18.85546875" style="1" customWidth="1"/>
    <col min="21" max="21" width="14.28515625" style="1" bestFit="1" customWidth="1"/>
    <col min="22" max="27" width="9.140625" style="1"/>
    <col min="28" max="28" width="3.42578125" style="1" customWidth="1"/>
    <col min="29" max="16384" width="9.140625" style="1"/>
  </cols>
  <sheetData>
    <row r="1" spans="1:32" customFormat="1" ht="41.1" customHeight="1">
      <c r="A1" s="188"/>
      <c r="B1" s="186"/>
      <c r="C1" s="185" t="s">
        <v>124</v>
      </c>
      <c r="D1" s="186"/>
      <c r="E1" s="186"/>
      <c r="F1" s="186"/>
      <c r="G1" s="186"/>
      <c r="H1" s="186"/>
      <c r="I1" s="186"/>
      <c r="J1" s="186"/>
      <c r="K1" s="186"/>
      <c r="L1" s="186"/>
      <c r="M1" s="186"/>
      <c r="N1" s="186"/>
      <c r="O1" s="187"/>
      <c r="P1" s="187"/>
      <c r="Q1" s="187"/>
      <c r="R1" s="187"/>
      <c r="S1" s="187"/>
      <c r="T1" s="187"/>
      <c r="U1" s="186"/>
    </row>
    <row r="2" spans="1:32">
      <c r="A2" s="188"/>
    </row>
    <row r="3" spans="1:32" s="118" customFormat="1" ht="35.1" customHeight="1">
      <c r="A3" s="183"/>
      <c r="C3" s="200" t="s">
        <v>125</v>
      </c>
      <c r="D3" s="200"/>
      <c r="E3" s="200"/>
      <c r="F3" s="200"/>
      <c r="G3" s="200"/>
      <c r="H3" s="200"/>
      <c r="I3" s="200"/>
      <c r="J3" s="200"/>
      <c r="K3" s="200"/>
      <c r="L3" s="200"/>
      <c r="M3" s="200"/>
      <c r="N3" s="200"/>
      <c r="O3" s="200"/>
      <c r="P3" s="200"/>
      <c r="Q3" s="11"/>
      <c r="S3" s="117"/>
      <c r="T3" s="117"/>
      <c r="U3" s="117"/>
      <c r="V3" s="117"/>
      <c r="W3" s="117"/>
      <c r="X3" s="117"/>
    </row>
    <row r="4" spans="1:32">
      <c r="A4" s="188"/>
    </row>
    <row r="5" spans="1:32">
      <c r="A5" s="189"/>
      <c r="I5" s="245" t="s">
        <v>113</v>
      </c>
      <c r="J5" s="245"/>
      <c r="K5" s="245"/>
      <c r="L5" s="245"/>
      <c r="N5" s="245" t="s">
        <v>114</v>
      </c>
      <c r="O5" s="245"/>
      <c r="P5" s="245"/>
      <c r="Q5" s="245"/>
    </row>
    <row r="6" spans="1:32" ht="26.25" customHeight="1">
      <c r="A6" s="189"/>
      <c r="C6" s="256" t="s">
        <v>126</v>
      </c>
      <c r="D6" s="1"/>
      <c r="E6" s="193"/>
      <c r="F6" s="94" t="s">
        <v>127</v>
      </c>
      <c r="G6" s="95"/>
      <c r="H6" s="95"/>
      <c r="I6" s="255">
        <f>'Segment summary'!F23</f>
        <v>0</v>
      </c>
      <c r="J6" s="255"/>
      <c r="K6" s="255"/>
      <c r="L6" s="255"/>
      <c r="N6" s="255">
        <f>'Segment summary'!F31</f>
        <v>0</v>
      </c>
      <c r="O6" s="255"/>
      <c r="P6" s="255"/>
      <c r="Q6" s="255"/>
    </row>
    <row r="7" spans="1:32" ht="9" customHeight="1">
      <c r="A7" s="189"/>
      <c r="C7" s="257"/>
      <c r="D7" s="1"/>
      <c r="E7" s="157"/>
    </row>
    <row r="8" spans="1:32" ht="26.1">
      <c r="A8" s="189"/>
      <c r="C8" s="257"/>
      <c r="E8" s="193"/>
      <c r="F8" s="94" t="s">
        <v>7</v>
      </c>
      <c r="G8" s="95"/>
      <c r="H8" s="95"/>
      <c r="I8" s="247">
        <f>'Segment summary'!F25</f>
        <v>0</v>
      </c>
      <c r="J8" s="247"/>
      <c r="K8" s="247"/>
      <c r="L8" s="247"/>
      <c r="M8" s="96"/>
      <c r="N8" s="247">
        <f>'Segment summary'!F33</f>
        <v>0</v>
      </c>
      <c r="O8" s="247"/>
      <c r="P8" s="247"/>
      <c r="Q8" s="247"/>
    </row>
    <row r="9" spans="1:32" ht="26.1">
      <c r="A9" s="188"/>
      <c r="C9" s="257"/>
      <c r="E9" s="194"/>
      <c r="F9" s="94" t="s">
        <v>9</v>
      </c>
      <c r="G9" s="95"/>
      <c r="H9" s="95"/>
      <c r="I9" s="247">
        <f>'Segment summary'!F27</f>
        <v>0</v>
      </c>
      <c r="J9" s="247"/>
      <c r="K9" s="247"/>
      <c r="L9" s="247"/>
      <c r="M9" s="96"/>
      <c r="N9" s="247">
        <f>'Segment summary'!F35</f>
        <v>0</v>
      </c>
      <c r="O9" s="247"/>
      <c r="P9" s="247"/>
      <c r="Q9" s="247"/>
    </row>
    <row r="10" spans="1:32" ht="26.1">
      <c r="A10" s="188"/>
      <c r="C10" s="257"/>
      <c r="E10" s="194"/>
      <c r="F10" s="94" t="s">
        <v>73</v>
      </c>
      <c r="G10" s="95"/>
      <c r="H10" s="95"/>
      <c r="I10" s="248">
        <f>'Segment summary'!F29</f>
        <v>0</v>
      </c>
      <c r="J10" s="248"/>
      <c r="K10" s="248"/>
      <c r="L10" s="248"/>
      <c r="M10" s="97"/>
      <c r="N10" s="248">
        <f>'Segment summary'!F37</f>
        <v>0</v>
      </c>
      <c r="O10" s="248"/>
      <c r="P10" s="248"/>
      <c r="Q10" s="248"/>
      <c r="AA10" s="78"/>
      <c r="AB10" s="78"/>
      <c r="AF10" s="78"/>
    </row>
    <row r="11" spans="1:32" ht="26.1">
      <c r="A11" s="188"/>
      <c r="C11" s="257"/>
      <c r="E11" s="193"/>
      <c r="F11" s="94" t="s">
        <v>128</v>
      </c>
      <c r="G11" s="93"/>
      <c r="H11" s="93"/>
      <c r="I11" s="249" t="str">
        <f>IFERROR(I8/I10,"")</f>
        <v/>
      </c>
      <c r="J11" s="249"/>
      <c r="K11" s="249"/>
      <c r="L11" s="249"/>
      <c r="M11" s="98"/>
      <c r="N11" s="249" t="str">
        <f>IFERROR(N8/N10,"")</f>
        <v/>
      </c>
      <c r="O11" s="249"/>
      <c r="P11" s="249"/>
      <c r="Q11" s="249"/>
    </row>
    <row r="12" spans="1:32" ht="18.75" customHeight="1">
      <c r="A12" s="188"/>
      <c r="C12" s="257"/>
      <c r="E12" s="195"/>
    </row>
    <row r="13" spans="1:32" ht="26.1">
      <c r="A13" s="188"/>
      <c r="C13" s="257"/>
      <c r="E13" s="196"/>
      <c r="T13" s="78"/>
    </row>
    <row r="14" spans="1:32" ht="30.95">
      <c r="A14" s="188"/>
      <c r="C14" s="257"/>
      <c r="E14" s="194"/>
      <c r="F14" s="191" t="s">
        <v>129</v>
      </c>
      <c r="G14" s="100"/>
      <c r="H14" s="4"/>
      <c r="I14" s="250"/>
      <c r="J14" s="251"/>
      <c r="K14" s="251"/>
      <c r="L14" s="251"/>
      <c r="M14" s="101"/>
      <c r="N14" s="250"/>
      <c r="O14" s="251"/>
      <c r="P14" s="251"/>
      <c r="Q14" s="251"/>
      <c r="T14" s="102"/>
      <c r="U14" s="102"/>
    </row>
    <row r="15" spans="1:32" ht="30.95" customHeight="1">
      <c r="A15" s="188"/>
      <c r="C15" s="257"/>
      <c r="E15" s="193"/>
      <c r="F15" s="192" t="s">
        <v>130</v>
      </c>
      <c r="G15" s="103"/>
      <c r="H15" s="2"/>
      <c r="I15" s="250"/>
      <c r="J15" s="251"/>
      <c r="K15" s="251"/>
      <c r="L15" s="251"/>
      <c r="M15" s="101"/>
      <c r="N15" s="250"/>
      <c r="O15" s="251"/>
      <c r="P15" s="251"/>
      <c r="Q15" s="251"/>
      <c r="T15" s="104"/>
    </row>
    <row r="16" spans="1:32" ht="30.95" customHeight="1">
      <c r="A16" s="188"/>
      <c r="C16"/>
      <c r="E16" s="193"/>
      <c r="F16" s="114"/>
      <c r="G16" s="88"/>
      <c r="H16" s="78"/>
      <c r="I16" s="115"/>
      <c r="J16" s="115"/>
      <c r="K16" s="115"/>
      <c r="L16" s="115"/>
      <c r="M16" s="101"/>
      <c r="N16" s="115"/>
      <c r="O16" s="115"/>
      <c r="P16" s="115"/>
      <c r="Q16" s="115"/>
      <c r="T16" s="104"/>
    </row>
    <row r="17" spans="1:17">
      <c r="A17" s="188"/>
      <c r="E17" s="157"/>
    </row>
    <row r="18" spans="1:17" ht="26.25" customHeight="1">
      <c r="A18" s="188"/>
      <c r="C18" s="244" t="s">
        <v>131</v>
      </c>
      <c r="E18" s="197" t="s">
        <v>132</v>
      </c>
      <c r="J18" s="105"/>
      <c r="Q18" s="105"/>
    </row>
    <row r="19" spans="1:17" ht="33.950000000000003">
      <c r="A19" s="188"/>
      <c r="C19" s="244"/>
      <c r="E19" s="195"/>
      <c r="F19" s="99" t="s">
        <v>133</v>
      </c>
      <c r="G19" s="4"/>
      <c r="H19" s="4"/>
      <c r="I19" s="252" t="str">
        <f>IFERROR(L19/'Segment summary'!F41,"")</f>
        <v/>
      </c>
      <c r="J19" s="253"/>
      <c r="L19" s="254">
        <f>'Target setting'!I8*'Target setting'!I14+'Target setting'!N8*'Target setting'!N14</f>
        <v>0</v>
      </c>
      <c r="M19" s="254"/>
      <c r="N19" s="254"/>
      <c r="O19" s="254"/>
      <c r="P19" s="254"/>
      <c r="Q19" s="254"/>
    </row>
    <row r="20" spans="1:17" ht="33.950000000000003">
      <c r="A20" s="188"/>
      <c r="C20" s="244"/>
      <c r="E20" s="198"/>
      <c r="F20" s="111"/>
      <c r="I20" s="106"/>
      <c r="J20" s="106"/>
      <c r="L20" s="258"/>
      <c r="M20" s="258"/>
      <c r="N20" s="258"/>
      <c r="O20" s="258"/>
      <c r="P20" s="258"/>
      <c r="Q20" s="258"/>
    </row>
    <row r="21" spans="1:17" ht="33.950000000000003">
      <c r="A21" s="188"/>
      <c r="C21" s="244"/>
      <c r="E21" s="195"/>
      <c r="F21" s="99" t="s">
        <v>134</v>
      </c>
      <c r="G21" s="4"/>
      <c r="H21" s="4"/>
      <c r="I21" s="252" t="str">
        <f>IFERROR(L21/'Segment summary'!F43,"")</f>
        <v/>
      </c>
      <c r="J21" s="253"/>
      <c r="L21" s="259">
        <f>'Target setting'!I9*'Target setting'!I15+'Target setting'!N9*'Target setting'!N15</f>
        <v>0</v>
      </c>
      <c r="M21" s="259"/>
      <c r="N21" s="259"/>
      <c r="O21" s="259"/>
      <c r="P21" s="259"/>
      <c r="Q21" s="259"/>
    </row>
    <row r="22" spans="1:17" ht="24">
      <c r="A22" s="188"/>
      <c r="C22" s="244"/>
      <c r="E22" s="197" t="s">
        <v>135</v>
      </c>
    </row>
    <row r="23" spans="1:17" ht="29.1">
      <c r="A23" s="188"/>
      <c r="C23" s="244"/>
      <c r="E23" s="193"/>
      <c r="I23" s="107"/>
      <c r="J23" s="105" t="s">
        <v>136</v>
      </c>
      <c r="Q23" s="105" t="s">
        <v>137</v>
      </c>
    </row>
    <row r="24" spans="1:17">
      <c r="A24" s="188"/>
      <c r="C24" s="244"/>
      <c r="E24" s="196"/>
      <c r="L24" s="285"/>
      <c r="M24" s="285"/>
      <c r="N24" s="285"/>
      <c r="O24" s="285"/>
      <c r="P24" s="285"/>
      <c r="Q24" s="285"/>
    </row>
    <row r="25" spans="1:17" ht="29.1">
      <c r="A25" s="188"/>
      <c r="C25" s="244"/>
      <c r="E25" s="193"/>
      <c r="F25" s="287" t="s">
        <v>138</v>
      </c>
      <c r="G25" s="287"/>
      <c r="H25" s="4"/>
      <c r="I25" s="260"/>
      <c r="J25" s="261"/>
      <c r="K25" s="108"/>
      <c r="L25" s="262">
        <f>I25*(I8+N8)</f>
        <v>0</v>
      </c>
      <c r="M25" s="262"/>
      <c r="N25" s="262"/>
      <c r="O25" s="262"/>
      <c r="P25" s="262"/>
      <c r="Q25" s="262"/>
    </row>
    <row r="26" spans="1:17">
      <c r="A26" s="188"/>
      <c r="C26" s="244"/>
      <c r="E26" s="199"/>
      <c r="L26" s="288"/>
      <c r="M26" s="288"/>
      <c r="N26" s="288"/>
      <c r="O26" s="288"/>
      <c r="P26" s="288"/>
      <c r="Q26" s="288"/>
    </row>
    <row r="27" spans="1:17" ht="29.1">
      <c r="A27" s="188"/>
      <c r="C27" s="244"/>
      <c r="E27" s="193"/>
      <c r="F27" s="289" t="s">
        <v>139</v>
      </c>
      <c r="G27" s="289"/>
      <c r="H27" s="94"/>
      <c r="I27" s="263"/>
      <c r="J27" s="263"/>
      <c r="K27" s="108"/>
      <c r="L27" s="262">
        <f>I27*(I9+N9)</f>
        <v>0</v>
      </c>
      <c r="M27" s="262"/>
      <c r="N27" s="262"/>
      <c r="O27" s="262"/>
      <c r="P27" s="262"/>
      <c r="Q27" s="262"/>
    </row>
    <row r="28" spans="1:17">
      <c r="A28" s="188"/>
      <c r="C28" s="244"/>
      <c r="E28" s="199"/>
      <c r="L28" s="288"/>
      <c r="M28" s="288"/>
      <c r="N28" s="288"/>
      <c r="O28" s="288"/>
      <c r="P28" s="288"/>
      <c r="Q28" s="288"/>
    </row>
    <row r="29" spans="1:17" ht="28.5" customHeight="1">
      <c r="A29" s="188"/>
      <c r="C29" s="244"/>
      <c r="E29" s="193"/>
      <c r="F29" s="290" t="s">
        <v>140</v>
      </c>
      <c r="G29" s="290"/>
      <c r="H29" s="94"/>
      <c r="I29" s="246" t="s">
        <v>141</v>
      </c>
      <c r="J29" s="246"/>
      <c r="K29" s="246"/>
      <c r="L29" s="246"/>
      <c r="M29" s="246"/>
      <c r="N29" s="246"/>
      <c r="O29" s="246"/>
      <c r="P29" s="246"/>
      <c r="Q29" s="246"/>
    </row>
    <row r="30" spans="1:17">
      <c r="A30" s="188"/>
      <c r="C30" s="244"/>
      <c r="E30" s="199"/>
      <c r="I30" s="113"/>
      <c r="J30" s="101"/>
      <c r="K30" s="101"/>
      <c r="L30" s="264"/>
      <c r="M30" s="264"/>
      <c r="N30" s="264"/>
      <c r="O30" s="264"/>
      <c r="P30" s="264"/>
      <c r="Q30" s="264"/>
    </row>
    <row r="31" spans="1:17" ht="26.1">
      <c r="A31" s="188"/>
      <c r="C31" s="244"/>
      <c r="E31" s="193"/>
      <c r="F31" s="290" t="s">
        <v>140</v>
      </c>
      <c r="G31" s="290"/>
      <c r="H31" s="94"/>
      <c r="I31" s="246" t="s">
        <v>141</v>
      </c>
      <c r="J31" s="246"/>
      <c r="K31" s="246"/>
      <c r="L31" s="246"/>
      <c r="M31" s="246"/>
      <c r="N31" s="246"/>
      <c r="O31" s="246"/>
      <c r="P31" s="246"/>
      <c r="Q31" s="246"/>
    </row>
    <row r="32" spans="1:17">
      <c r="A32" s="188"/>
      <c r="C32" s="244"/>
      <c r="E32" s="199"/>
      <c r="I32" s="113"/>
      <c r="J32" s="101"/>
      <c r="K32" s="101"/>
      <c r="L32" s="264"/>
      <c r="M32" s="264"/>
      <c r="N32" s="264"/>
      <c r="O32" s="264"/>
      <c r="P32" s="264"/>
      <c r="Q32" s="264"/>
    </row>
    <row r="33" spans="1:17" ht="26.1">
      <c r="A33" s="188"/>
      <c r="C33" s="244"/>
      <c r="E33" s="193"/>
      <c r="F33" s="290" t="s">
        <v>140</v>
      </c>
      <c r="G33" s="290"/>
      <c r="H33" s="94"/>
      <c r="I33" s="246" t="s">
        <v>141</v>
      </c>
      <c r="J33" s="246"/>
      <c r="K33" s="246"/>
      <c r="L33" s="246"/>
      <c r="M33" s="246"/>
      <c r="N33" s="246"/>
      <c r="O33" s="246"/>
      <c r="P33" s="246"/>
      <c r="Q33" s="246"/>
    </row>
    <row r="34" spans="1:17">
      <c r="A34" s="188"/>
      <c r="C34" s="244"/>
      <c r="E34" s="199"/>
      <c r="I34" s="113"/>
      <c r="J34" s="101"/>
      <c r="K34" s="101"/>
      <c r="L34" s="264"/>
      <c r="M34" s="264"/>
      <c r="N34" s="264"/>
      <c r="O34" s="264"/>
      <c r="P34" s="264"/>
      <c r="Q34" s="264"/>
    </row>
    <row r="35" spans="1:17" ht="26.1">
      <c r="A35" s="188"/>
      <c r="C35" s="244"/>
      <c r="E35" s="193"/>
      <c r="F35" s="290" t="s">
        <v>140</v>
      </c>
      <c r="G35" s="290"/>
      <c r="H35" s="94"/>
      <c r="I35" s="246" t="s">
        <v>141</v>
      </c>
      <c r="J35" s="246"/>
      <c r="K35" s="246"/>
      <c r="L35" s="246"/>
      <c r="M35" s="246"/>
      <c r="N35" s="246"/>
      <c r="O35" s="246"/>
      <c r="P35" s="246"/>
      <c r="Q35" s="246"/>
    </row>
    <row r="36" spans="1:17">
      <c r="A36" s="188"/>
      <c r="C36" s="244"/>
      <c r="E36" s="199"/>
      <c r="I36" s="113"/>
      <c r="J36" s="101"/>
      <c r="K36" s="101"/>
      <c r="L36" s="264"/>
      <c r="M36" s="264"/>
      <c r="N36" s="264"/>
      <c r="O36" s="264"/>
      <c r="P36" s="264"/>
      <c r="Q36" s="264"/>
    </row>
    <row r="37" spans="1:17" ht="26.1">
      <c r="A37" s="188"/>
      <c r="C37" s="244"/>
      <c r="E37" s="193"/>
      <c r="F37" s="290" t="s">
        <v>140</v>
      </c>
      <c r="G37" s="290"/>
      <c r="H37" s="94"/>
      <c r="I37" s="246" t="s">
        <v>141</v>
      </c>
      <c r="J37" s="246"/>
      <c r="K37" s="246"/>
      <c r="L37" s="246"/>
      <c r="M37" s="246"/>
      <c r="N37" s="246"/>
      <c r="O37" s="246"/>
      <c r="P37" s="246"/>
      <c r="Q37" s="246"/>
    </row>
    <row r="38" spans="1:17" ht="26.1" customHeight="1">
      <c r="A38" s="188"/>
      <c r="E38" s="193"/>
    </row>
    <row r="39" spans="1:17" ht="24">
      <c r="A39" s="188"/>
      <c r="E39" s="193"/>
      <c r="L39" s="9" t="s">
        <v>68</v>
      </c>
      <c r="M39" s="265" t="s">
        <v>94</v>
      </c>
      <c r="N39" s="265"/>
      <c r="O39" s="265"/>
      <c r="P39" s="265"/>
      <c r="Q39" s="265"/>
    </row>
    <row r="40" spans="1:17" ht="26.1" customHeight="1">
      <c r="A40" s="188"/>
      <c r="L40"/>
      <c r="M40" s="266"/>
      <c r="N40" s="266"/>
      <c r="O40" s="266"/>
      <c r="P40" s="266"/>
      <c r="Q40" s="266"/>
    </row>
    <row r="41" spans="1:17" ht="24">
      <c r="L41" s="9" t="s">
        <v>10</v>
      </c>
      <c r="M41" s="267" t="s">
        <v>142</v>
      </c>
      <c r="N41" s="267"/>
      <c r="O41" s="267"/>
      <c r="P41" s="267"/>
      <c r="Q41" s="267"/>
    </row>
    <row r="49" spans="1:1">
      <c r="A49" s="188"/>
    </row>
    <row r="50" spans="1:1">
      <c r="A50" s="188"/>
    </row>
    <row r="51" spans="1:1">
      <c r="A51" s="188"/>
    </row>
  </sheetData>
  <mergeCells count="51">
    <mergeCell ref="M39:Q39"/>
    <mergeCell ref="M40:Q40"/>
    <mergeCell ref="M41:Q41"/>
    <mergeCell ref="L34:Q34"/>
    <mergeCell ref="F35:G35"/>
    <mergeCell ref="L36:Q36"/>
    <mergeCell ref="F37:G37"/>
    <mergeCell ref="I37:Q37"/>
    <mergeCell ref="F33:G33"/>
    <mergeCell ref="L26:Q26"/>
    <mergeCell ref="F27:G27"/>
    <mergeCell ref="I27:J27"/>
    <mergeCell ref="L27:Q27"/>
    <mergeCell ref="L28:Q28"/>
    <mergeCell ref="F29:G29"/>
    <mergeCell ref="L30:Q30"/>
    <mergeCell ref="F31:G31"/>
    <mergeCell ref="L32:Q32"/>
    <mergeCell ref="L20:Q20"/>
    <mergeCell ref="I21:J21"/>
    <mergeCell ref="L21:Q21"/>
    <mergeCell ref="L24:Q24"/>
    <mergeCell ref="F25:G25"/>
    <mergeCell ref="I25:J25"/>
    <mergeCell ref="L25:Q25"/>
    <mergeCell ref="I5:L5"/>
    <mergeCell ref="I15:L15"/>
    <mergeCell ref="N15:Q15"/>
    <mergeCell ref="C3:K3"/>
    <mergeCell ref="L3:P3"/>
    <mergeCell ref="I6:L6"/>
    <mergeCell ref="N6:Q6"/>
    <mergeCell ref="I8:L8"/>
    <mergeCell ref="N8:Q8"/>
    <mergeCell ref="C6:C15"/>
    <mergeCell ref="C18:C37"/>
    <mergeCell ref="N5:Q5"/>
    <mergeCell ref="I29:Q29"/>
    <mergeCell ref="I31:Q31"/>
    <mergeCell ref="I33:Q33"/>
    <mergeCell ref="I35:Q35"/>
    <mergeCell ref="I9:L9"/>
    <mergeCell ref="N9:Q9"/>
    <mergeCell ref="I10:L10"/>
    <mergeCell ref="N10:Q10"/>
    <mergeCell ref="I11:L11"/>
    <mergeCell ref="N11:Q11"/>
    <mergeCell ref="I14:L14"/>
    <mergeCell ref="N14:Q14"/>
    <mergeCell ref="I19:J19"/>
    <mergeCell ref="L19:Q19"/>
  </mergeCells>
  <conditionalFormatting sqref="L25">
    <cfRule type="expression" dxfId="1" priority="1">
      <formula>L25&gt;#REF!</formula>
    </cfRule>
  </conditionalFormatting>
  <conditionalFormatting sqref="L27">
    <cfRule type="expression" dxfId="0" priority="2">
      <formula>L27&gt;#REF!</formula>
    </cfRule>
  </conditionalFormatting>
  <hyperlinks>
    <hyperlink ref="M39:O39" location="'Market Size'!A1" display="Market Size" xr:uid="{A8FDFAF9-4B64-4A25-9293-98ABBE767AEC}"/>
    <hyperlink ref="M41:O41" location="'Driving Forces Impact'!A1" display="Driving Forces Impact" xr:uid="{7E2E9CCF-FB3F-46C3-9AC6-9EB289824726}"/>
    <hyperlink ref="M39:Q39" location="'Segment Ranking'!A1" display="Segment Ranking" xr:uid="{80FD69B1-6161-42D7-838A-6D451140996B}"/>
    <hyperlink ref="M41:Q41" location="'Segmentation Summary'!A1" display="Core Segment Needs" xr:uid="{1A5975AB-054C-4360-8B19-429B70D669AD}"/>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60DB-ACD3-42EB-915B-E9513377D0A9}">
  <sheetPr codeName="Sheet9"/>
  <dimension ref="A2:W28"/>
  <sheetViews>
    <sheetView showGridLines="0" topLeftCell="D1" zoomScale="70" zoomScaleNormal="70"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143</v>
      </c>
      <c r="F2" s="11"/>
      <c r="G2" s="11"/>
      <c r="H2" s="11"/>
      <c r="I2" s="11"/>
      <c r="J2" s="11"/>
      <c r="K2" s="11"/>
      <c r="L2" s="11"/>
      <c r="M2" s="11"/>
      <c r="N2" s="11"/>
      <c r="O2" s="11"/>
      <c r="P2" s="11"/>
    </row>
    <row r="3" spans="1:20" s="1" customFormat="1" ht="7.5" customHeight="1"/>
    <row r="4" spans="1:20" s="1" customFormat="1" ht="26.1">
      <c r="E4" s="271" t="s">
        <v>144</v>
      </c>
      <c r="G4" s="272" t="s">
        <v>145</v>
      </c>
      <c r="H4" s="273"/>
      <c r="I4" s="273"/>
      <c r="J4" s="273"/>
      <c r="K4" s="273"/>
      <c r="L4" s="273"/>
      <c r="M4" s="273"/>
      <c r="N4" s="273"/>
      <c r="O4" s="273"/>
      <c r="P4" s="273"/>
    </row>
    <row r="5" spans="1:20" s="1" customFormat="1" ht="39.950000000000003" customHeight="1">
      <c r="E5" s="271"/>
      <c r="G5" s="274"/>
      <c r="H5" s="275"/>
      <c r="I5" s="275"/>
      <c r="J5" s="275"/>
      <c r="K5" s="275"/>
      <c r="L5" s="275"/>
      <c r="M5" s="275"/>
      <c r="N5" s="275"/>
      <c r="O5" s="275"/>
      <c r="P5" s="275"/>
    </row>
    <row r="6" spans="1:20" s="1" customFormat="1" ht="15.95" thickBot="1"/>
    <row r="7" spans="1:20" s="1" customFormat="1" ht="47.1">
      <c r="A7" s="12"/>
      <c r="B7" s="13"/>
      <c r="C7" s="14" t="s">
        <v>61</v>
      </c>
      <c r="D7" s="10"/>
      <c r="E7" s="207" t="s">
        <v>146</v>
      </c>
      <c r="F7" s="10"/>
      <c r="G7" s="155" t="s">
        <v>147</v>
      </c>
      <c r="H7" s="156" t="s">
        <v>148</v>
      </c>
      <c r="I7" s="17" t="s">
        <v>149</v>
      </c>
      <c r="J7" s="18" t="s">
        <v>66</v>
      </c>
      <c r="K7"/>
      <c r="L7"/>
      <c r="M7" s="276" t="s">
        <v>150</v>
      </c>
      <c r="N7" s="276"/>
      <c r="O7" s="276"/>
      <c r="P7" s="276"/>
      <c r="Q7"/>
    </row>
    <row r="8" spans="1:20" s="1" customFormat="1" ht="15.95" thickBot="1">
      <c r="A8"/>
      <c r="B8"/>
      <c r="C8"/>
      <c r="D8"/>
      <c r="E8" s="20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7"/>
      <c r="F9" s="10"/>
      <c r="G9" s="21"/>
      <c r="H9" s="21"/>
      <c r="I9" s="21"/>
      <c r="J9" t="str">
        <f t="shared" ref="J9:J27" si="2">IF(G9&lt;&gt;"",(2*H9+I9),"")</f>
        <v/>
      </c>
      <c r="K9"/>
      <c r="L9" s="23">
        <v>1</v>
      </c>
      <c r="M9" s="219" t="str">
        <f>IFERROR(INDEX($A$7:$I$1048576,MATCH($L9,$C$7:$C$27,0),MATCH($G$7,$7:$7,0)),"")</f>
        <v/>
      </c>
      <c r="N9" s="219"/>
      <c r="O9" s="219"/>
      <c r="P9" s="219"/>
      <c r="Q9"/>
    </row>
    <row r="10" spans="1:20" s="1" customFormat="1" ht="26.1">
      <c r="A10" s="19" t="str">
        <f>IF(G10&lt;&gt;"",COUNTIF($J$9:J10,J10),"")</f>
        <v/>
      </c>
      <c r="B10" s="10" t="str">
        <f t="shared" si="0"/>
        <v/>
      </c>
      <c r="C10" s="22" t="str">
        <f t="shared" si="1"/>
        <v/>
      </c>
      <c r="D10" s="10"/>
      <c r="E10" s="207"/>
      <c r="F10" s="10"/>
      <c r="G10" s="21"/>
      <c r="H10" s="21"/>
      <c r="I10" s="21"/>
      <c r="J10" t="str">
        <f t="shared" si="2"/>
        <v/>
      </c>
      <c r="K10"/>
      <c r="L10" s="23">
        <v>2</v>
      </c>
      <c r="M10" s="219" t="str">
        <f>IFERROR(INDEX($A$7:$I$1048576,MATCH($L10,$C$7:$C$27,0),MATCH($G$7,$7:$7,0)),"")</f>
        <v/>
      </c>
      <c r="N10" s="219"/>
      <c r="O10" s="219"/>
      <c r="P10" s="219"/>
      <c r="Q10"/>
    </row>
    <row r="11" spans="1:20" s="1" customFormat="1" ht="26.1">
      <c r="A11" s="19" t="str">
        <f>IF(G11&lt;&gt;"",COUNTIF($J$9:J11,J11),"")</f>
        <v/>
      </c>
      <c r="B11" s="10" t="str">
        <f t="shared" si="0"/>
        <v/>
      </c>
      <c r="C11" s="22" t="str">
        <f>IF(ISNUMBER(B11),B11+A11-1,"")</f>
        <v/>
      </c>
      <c r="D11" s="10"/>
      <c r="E11" s="207"/>
      <c r="F11" s="10"/>
      <c r="G11" s="21"/>
      <c r="H11" s="21"/>
      <c r="I11" s="21"/>
      <c r="J11" t="str">
        <f t="shared" si="2"/>
        <v/>
      </c>
      <c r="K11"/>
      <c r="L11" s="23">
        <v>3</v>
      </c>
      <c r="M11" s="219" t="str">
        <f>IFERROR(INDEX($A$7:$I$1048576,MATCH($L11,$C$7:$C$27,0),MATCH($G$7,$7:$7,0)),"")</f>
        <v/>
      </c>
      <c r="N11" s="219"/>
      <c r="O11" s="219"/>
      <c r="P11" s="219"/>
      <c r="Q11"/>
    </row>
    <row r="12" spans="1:20" s="1" customFormat="1" ht="26.1">
      <c r="A12" s="19" t="str">
        <f>IF(G12&lt;&gt;"",COUNTIF($J$9:J12,J12),"")</f>
        <v/>
      </c>
      <c r="B12" s="10" t="str">
        <f t="shared" si="0"/>
        <v/>
      </c>
      <c r="C12" s="22" t="str">
        <f t="shared" si="1"/>
        <v/>
      </c>
      <c r="D12" s="10"/>
      <c r="E12" s="207"/>
      <c r="F12" s="10"/>
      <c r="G12" s="21"/>
      <c r="H12" s="21"/>
      <c r="I12" s="21"/>
      <c r="J12" t="str">
        <f t="shared" si="2"/>
        <v/>
      </c>
      <c r="K12"/>
      <c r="Q12"/>
    </row>
    <row r="13" spans="1:20" s="1" customFormat="1" ht="26.1">
      <c r="A13" s="19" t="str">
        <f>IF(G13&lt;&gt;"",COUNTIF($J$9:J13,J13),"")</f>
        <v/>
      </c>
      <c r="B13" s="10" t="str">
        <f t="shared" si="0"/>
        <v/>
      </c>
      <c r="C13" s="22" t="str">
        <f t="shared" si="1"/>
        <v/>
      </c>
      <c r="D13" s="10"/>
      <c r="E13" s="207"/>
      <c r="F13" s="10"/>
      <c r="G13" s="21"/>
      <c r="H13" s="21"/>
      <c r="I13" s="21"/>
      <c r="J13" t="str">
        <f t="shared" si="2"/>
        <v/>
      </c>
      <c r="K13"/>
      <c r="L13" s="109">
        <v>4</v>
      </c>
      <c r="M13" s="268" t="str">
        <f t="shared" ref="M13:M19" si="3">IFERROR(INDEX($A$7:$I$1048576,MATCH($L13,$C$7:$C$27,0),MATCH($G$7,$7:$7,0)),"")</f>
        <v/>
      </c>
      <c r="N13" s="268"/>
      <c r="O13" s="268"/>
      <c r="P13" s="268"/>
      <c r="Q13"/>
    </row>
    <row r="14" spans="1:20" s="1" customFormat="1" ht="26.1">
      <c r="A14" s="19" t="str">
        <f>IF(G14&lt;&gt;"",COUNTIF($J$9:J14,J14),"")</f>
        <v/>
      </c>
      <c r="B14" s="10" t="str">
        <f t="shared" si="0"/>
        <v/>
      </c>
      <c r="C14" s="22" t="str">
        <f t="shared" si="1"/>
        <v/>
      </c>
      <c r="D14" s="10"/>
      <c r="E14" s="207"/>
      <c r="F14" s="10"/>
      <c r="G14" s="21"/>
      <c r="H14" s="21"/>
      <c r="I14" s="21"/>
      <c r="J14" t="str">
        <f t="shared" si="2"/>
        <v/>
      </c>
      <c r="K14"/>
      <c r="L14" s="109">
        <v>5</v>
      </c>
      <c r="M14" s="268" t="str">
        <f t="shared" si="3"/>
        <v/>
      </c>
      <c r="N14" s="268"/>
      <c r="O14" s="268"/>
      <c r="P14" s="268"/>
      <c r="Q14"/>
    </row>
    <row r="15" spans="1:20" s="1" customFormat="1" ht="26.1">
      <c r="A15" s="19" t="str">
        <f>IF(G15&lt;&gt;"",COUNTIF($J$9:J15,J15),"")</f>
        <v/>
      </c>
      <c r="B15" s="10" t="str">
        <f t="shared" si="0"/>
        <v/>
      </c>
      <c r="C15" s="22" t="str">
        <f t="shared" si="1"/>
        <v/>
      </c>
      <c r="D15" s="10"/>
      <c r="E15" s="207"/>
      <c r="F15" s="10"/>
      <c r="G15" s="21"/>
      <c r="H15" s="21"/>
      <c r="I15" s="21"/>
      <c r="J15" t="str">
        <f t="shared" si="2"/>
        <v/>
      </c>
      <c r="K15"/>
      <c r="L15" s="109">
        <v>6</v>
      </c>
      <c r="M15" s="268" t="str">
        <f t="shared" si="3"/>
        <v/>
      </c>
      <c r="N15" s="268"/>
      <c r="O15" s="268"/>
      <c r="P15" s="268"/>
      <c r="Q15"/>
      <c r="T15" s="1" t="s">
        <v>8</v>
      </c>
    </row>
    <row r="16" spans="1:20" s="1" customFormat="1" ht="26.1">
      <c r="A16" s="19" t="str">
        <f>IF(G16&lt;&gt;"",COUNTIF($J$9:J16,J16),"")</f>
        <v/>
      </c>
      <c r="B16" s="10" t="str">
        <f t="shared" si="0"/>
        <v/>
      </c>
      <c r="C16" s="22" t="str">
        <f t="shared" si="1"/>
        <v/>
      </c>
      <c r="D16" s="10"/>
      <c r="E16" s="207"/>
      <c r="F16" s="10"/>
      <c r="G16" s="21"/>
      <c r="H16" s="21"/>
      <c r="I16" s="21"/>
      <c r="J16" t="str">
        <f t="shared" si="2"/>
        <v/>
      </c>
      <c r="K16"/>
      <c r="L16" s="109">
        <v>7</v>
      </c>
      <c r="M16" s="268" t="str">
        <f t="shared" si="3"/>
        <v/>
      </c>
      <c r="N16" s="268"/>
      <c r="O16" s="268"/>
      <c r="P16" s="268"/>
      <c r="Q16"/>
    </row>
    <row r="17" spans="1:17" s="1" customFormat="1" ht="26.1">
      <c r="A17" s="19" t="str">
        <f>IF(G17&lt;&gt;"",COUNTIF($J$9:J17,J17),"")</f>
        <v/>
      </c>
      <c r="B17" s="10" t="str">
        <f t="shared" si="0"/>
        <v/>
      </c>
      <c r="C17" s="22" t="str">
        <f>IF(ISNUMBER(B17),B17+A17-1,"")</f>
        <v/>
      </c>
      <c r="D17" s="10"/>
      <c r="E17" s="207"/>
      <c r="F17" s="10"/>
      <c r="G17" s="21"/>
      <c r="H17" s="21"/>
      <c r="I17" s="21"/>
      <c r="J17" t="str">
        <f t="shared" si="2"/>
        <v/>
      </c>
      <c r="K17"/>
      <c r="L17" s="109">
        <v>8</v>
      </c>
      <c r="M17" s="268" t="str">
        <f t="shared" si="3"/>
        <v/>
      </c>
      <c r="N17" s="268"/>
      <c r="O17" s="268"/>
      <c r="P17" s="268"/>
      <c r="Q17"/>
    </row>
    <row r="18" spans="1:17" s="1" customFormat="1" ht="26.1">
      <c r="A18" s="19" t="str">
        <f>IF(G18&lt;&gt;"",COUNTIF($J$9:J18,J18),"")</f>
        <v/>
      </c>
      <c r="B18" s="10" t="str">
        <f t="shared" si="0"/>
        <v/>
      </c>
      <c r="C18" s="22" t="str">
        <f t="shared" si="1"/>
        <v/>
      </c>
      <c r="D18" s="10"/>
      <c r="E18" s="207"/>
      <c r="F18" s="10"/>
      <c r="G18" s="21"/>
      <c r="H18" s="21"/>
      <c r="I18" s="21"/>
      <c r="J18" t="str">
        <f t="shared" si="2"/>
        <v/>
      </c>
      <c r="K18"/>
      <c r="L18" s="109">
        <v>9</v>
      </c>
      <c r="M18" s="268" t="str">
        <f t="shared" si="3"/>
        <v/>
      </c>
      <c r="N18" s="268"/>
      <c r="O18" s="268"/>
      <c r="P18" s="268"/>
      <c r="Q18"/>
    </row>
    <row r="19" spans="1:17" s="1" customFormat="1" ht="26.1">
      <c r="A19" s="19" t="str">
        <f>IF(G19&lt;&gt;"",COUNTIF($J$9:J19,J19),"")</f>
        <v/>
      </c>
      <c r="B19" s="10" t="str">
        <f t="shared" si="0"/>
        <v/>
      </c>
      <c r="C19" s="22" t="str">
        <f t="shared" si="1"/>
        <v/>
      </c>
      <c r="D19" s="10"/>
      <c r="E19" s="207"/>
      <c r="F19" s="10"/>
      <c r="G19" s="21"/>
      <c r="H19" s="21"/>
      <c r="I19" s="21"/>
      <c r="J19" t="str">
        <f t="shared" si="2"/>
        <v/>
      </c>
      <c r="K19"/>
      <c r="L19" s="109">
        <v>10</v>
      </c>
      <c r="M19" s="268" t="str">
        <f t="shared" si="3"/>
        <v/>
      </c>
      <c r="N19" s="268"/>
      <c r="O19" s="268"/>
      <c r="P19" s="268"/>
      <c r="Q19"/>
    </row>
    <row r="20" spans="1:17" ht="26.1">
      <c r="A20" s="19" t="str">
        <f>IF(G20&lt;&gt;"",COUNTIF($J$9:J20,J20),"")</f>
        <v/>
      </c>
      <c r="B20" s="10" t="str">
        <f t="shared" si="0"/>
        <v/>
      </c>
      <c r="C20" s="22" t="str">
        <f t="shared" si="1"/>
        <v/>
      </c>
      <c r="D20" s="10"/>
      <c r="E20" s="207"/>
      <c r="F20" s="10"/>
      <c r="G20" s="21"/>
      <c r="H20" s="21"/>
      <c r="I20" s="21"/>
      <c r="J20" t="str">
        <f t="shared" si="2"/>
        <v/>
      </c>
    </row>
    <row r="21" spans="1:17" ht="26.1">
      <c r="A21" s="19" t="str">
        <f>IF(G21&lt;&gt;"",COUNTIF($J$9:J21,J21),"")</f>
        <v/>
      </c>
      <c r="B21" s="10" t="str">
        <f t="shared" si="0"/>
        <v/>
      </c>
      <c r="C21" s="22" t="str">
        <f t="shared" si="1"/>
        <v/>
      </c>
      <c r="D21" s="10"/>
      <c r="E21" s="207"/>
      <c r="F21" s="10"/>
      <c r="G21" s="21"/>
      <c r="H21" s="21"/>
      <c r="I21" s="21"/>
      <c r="J21" t="str">
        <f t="shared" si="2"/>
        <v/>
      </c>
    </row>
    <row r="22" spans="1:17" ht="26.1">
      <c r="A22" s="19" t="str">
        <f>IF(G22&lt;&gt;"",COUNTIF($J$9:J22,J22),"")</f>
        <v/>
      </c>
      <c r="B22" s="10" t="str">
        <f t="shared" si="0"/>
        <v/>
      </c>
      <c r="C22" s="22" t="str">
        <f t="shared" si="1"/>
        <v/>
      </c>
      <c r="D22" s="10"/>
      <c r="E22" s="207"/>
      <c r="F22" s="10"/>
      <c r="G22" s="21"/>
      <c r="H22" s="21"/>
      <c r="I22" s="21"/>
      <c r="J22" t="str">
        <f t="shared" si="2"/>
        <v/>
      </c>
    </row>
    <row r="23" spans="1:17" ht="26.1">
      <c r="A23" s="19" t="str">
        <f>IF(G23&lt;&gt;"",COUNTIF($J$9:J23,J23),"")</f>
        <v/>
      </c>
      <c r="B23" s="10" t="str">
        <f t="shared" si="0"/>
        <v/>
      </c>
      <c r="C23" s="22" t="str">
        <f t="shared" si="1"/>
        <v/>
      </c>
      <c r="D23" s="10"/>
      <c r="E23" s="207"/>
      <c r="F23" s="10"/>
      <c r="G23" s="21"/>
      <c r="H23" s="21"/>
      <c r="I23" s="21"/>
      <c r="J23" t="str">
        <f t="shared" si="2"/>
        <v/>
      </c>
    </row>
    <row r="24" spans="1:17" ht="26.1">
      <c r="A24" s="19" t="str">
        <f>IF(G24&lt;&gt;"",COUNTIF($J$9:J24,J24),"")</f>
        <v/>
      </c>
      <c r="B24" s="10" t="str">
        <f t="shared" si="0"/>
        <v/>
      </c>
      <c r="C24" s="22" t="str">
        <f t="shared" si="1"/>
        <v/>
      </c>
      <c r="D24" s="10"/>
      <c r="E24" s="207"/>
      <c r="F24" s="10"/>
      <c r="G24" s="21"/>
      <c r="H24" s="21"/>
      <c r="I24" s="21"/>
      <c r="J24" t="str">
        <f t="shared" si="2"/>
        <v/>
      </c>
    </row>
    <row r="25" spans="1:17" ht="26.1">
      <c r="A25" s="19" t="str">
        <f>IF(G25&lt;&gt;"",COUNTIF($J$9:J25,J25),"")</f>
        <v/>
      </c>
      <c r="B25" s="10" t="str">
        <f t="shared" si="0"/>
        <v/>
      </c>
      <c r="C25" s="22" t="str">
        <f t="shared" si="1"/>
        <v/>
      </c>
      <c r="D25" s="10"/>
      <c r="E25" s="207"/>
      <c r="F25" s="10"/>
      <c r="G25" s="21"/>
      <c r="H25" s="21"/>
      <c r="I25" s="21"/>
      <c r="J25" t="str">
        <f t="shared" si="2"/>
        <v/>
      </c>
      <c r="M25" s="9" t="s">
        <v>68</v>
      </c>
      <c r="N25" s="269" t="s">
        <v>107</v>
      </c>
      <c r="O25" s="269"/>
      <c r="P25" s="270"/>
    </row>
    <row r="26" spans="1:17" ht="26.1">
      <c r="A26" s="19" t="str">
        <f>IF(G26&lt;&gt;"",COUNTIF($J$9:J26,J26),"")</f>
        <v/>
      </c>
      <c r="B26" s="10" t="str">
        <f t="shared" si="0"/>
        <v/>
      </c>
      <c r="C26" s="22" t="str">
        <f t="shared" si="1"/>
        <v/>
      </c>
      <c r="D26" s="10"/>
      <c r="E26" s="207"/>
      <c r="F26" s="10"/>
      <c r="G26" s="21"/>
      <c r="H26" s="21"/>
      <c r="I26" s="21"/>
      <c r="J26" t="str">
        <f t="shared" si="2"/>
        <v/>
      </c>
    </row>
    <row r="27" spans="1:17" ht="26.1">
      <c r="A27" s="19" t="str">
        <f>IF(G27&lt;&gt;"",COUNTIF($J$9:J27,J27),"")</f>
        <v/>
      </c>
      <c r="B27" s="10" t="str">
        <f t="shared" si="0"/>
        <v/>
      </c>
      <c r="C27" s="22" t="str">
        <f t="shared" si="1"/>
        <v/>
      </c>
      <c r="D27" s="10"/>
      <c r="E27" s="207"/>
      <c r="F27" s="10"/>
      <c r="G27" s="21"/>
      <c r="H27" s="21"/>
      <c r="I27" s="21"/>
      <c r="J27" t="str">
        <f t="shared" si="2"/>
        <v/>
      </c>
      <c r="M27" s="9" t="s">
        <v>10</v>
      </c>
      <c r="N27" s="277" t="s">
        <v>151</v>
      </c>
      <c r="O27" s="277"/>
      <c r="P27" s="278"/>
    </row>
    <row r="28" spans="1:17" ht="26.1">
      <c r="A28" s="19"/>
      <c r="B28" s="10"/>
      <c r="C28" s="24"/>
      <c r="D28" s="1"/>
      <c r="E28" s="1"/>
      <c r="G28" s="25"/>
      <c r="H28" s="25"/>
      <c r="I28" s="25"/>
      <c r="L28" s="26"/>
      <c r="M28" s="27"/>
      <c r="N28" s="27"/>
      <c r="O28" s="27"/>
      <c r="P28" s="27"/>
    </row>
  </sheetData>
  <mergeCells count="17">
    <mergeCell ref="M16:P16"/>
    <mergeCell ref="M17:P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s>
  <hyperlinks>
    <hyperlink ref="M21:M22" location="'FULL MARKET SEGMENTATION'!A1" display="TOP DRIVING FORCES" xr:uid="{06C29C74-4D3A-482A-B846-21147619AE57}"/>
    <hyperlink ref="N25:P25" location="'Segmentation Summary'!A1" display="Segmentation Summary" xr:uid="{ED760BE5-83F3-42C4-B729-4D05417FF1AE}"/>
    <hyperlink ref="N27:P27" location="'Secondary Segment Needs'!A1" display="Secondary Segment Needs" xr:uid="{212E2016-E132-4A9E-8590-569DEDA344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943B-8FBE-4356-852E-DCA946BD7B6A}">
  <dimension ref="A2:W28"/>
  <sheetViews>
    <sheetView showGridLines="0" topLeftCell="D1" zoomScale="85" zoomScaleNormal="85" workbookViewId="0"/>
  </sheetViews>
  <sheetFormatPr defaultColWidth="8.85546875" defaultRowHeight="15"/>
  <cols>
    <col min="1" max="1" width="65.42578125" hidden="1" customWidth="1"/>
    <col min="2" max="3" width="9.140625" hidden="1" customWidth="1"/>
    <col min="4" max="4" width="9.140625" customWidth="1"/>
    <col min="5" max="5" width="65.42578125" customWidth="1"/>
    <col min="6" max="6" width="2.85546875" customWidth="1"/>
    <col min="7" max="7" width="50.85546875" customWidth="1"/>
    <col min="8" max="8" width="20.85546875" customWidth="1"/>
    <col min="9" max="9" width="19.42578125" hidden="1" customWidth="1"/>
    <col min="10" max="10" width="4.42578125" hidden="1" customWidth="1"/>
    <col min="11" max="11" width="1.42578125" customWidth="1"/>
    <col min="12" max="12" width="7" customWidth="1"/>
    <col min="13" max="13" width="7.42578125" bestFit="1" customWidth="1"/>
    <col min="14" max="14" width="20.42578125" customWidth="1"/>
    <col min="15" max="15" width="2.42578125" customWidth="1"/>
    <col min="16" max="16" width="20.42578125" customWidth="1"/>
    <col min="17" max="17" width="2.42578125" customWidth="1"/>
    <col min="18" max="18" width="18.85546875" style="1" customWidth="1"/>
    <col min="19" max="22" width="22.42578125" style="1" customWidth="1"/>
    <col min="23" max="23" width="18.85546875" style="1" customWidth="1"/>
  </cols>
  <sheetData>
    <row r="2" spans="1:20" ht="47.1">
      <c r="A2" s="10"/>
      <c r="B2" s="10"/>
      <c r="C2" s="10"/>
      <c r="D2" s="10"/>
      <c r="E2" s="11" t="s">
        <v>152</v>
      </c>
      <c r="F2" s="11"/>
      <c r="G2" s="11"/>
      <c r="H2" s="11"/>
      <c r="I2" s="11"/>
      <c r="J2" s="11"/>
      <c r="K2" s="11"/>
      <c r="L2" s="11"/>
      <c r="M2" s="11"/>
      <c r="N2" s="11"/>
      <c r="O2" s="11"/>
      <c r="P2" s="11"/>
    </row>
    <row r="3" spans="1:20" s="1" customFormat="1" ht="7.5" customHeight="1"/>
    <row r="4" spans="1:20" s="1" customFormat="1" ht="26.1" customHeight="1">
      <c r="E4" s="271" t="s">
        <v>153</v>
      </c>
      <c r="G4" s="272" t="s">
        <v>145</v>
      </c>
      <c r="H4" s="273"/>
      <c r="I4" s="273"/>
      <c r="J4" s="273"/>
      <c r="K4" s="273"/>
      <c r="L4" s="273"/>
      <c r="M4" s="273"/>
      <c r="N4" s="273"/>
      <c r="O4" s="273"/>
      <c r="P4" s="273"/>
    </row>
    <row r="5" spans="1:20" s="1" customFormat="1" ht="39.950000000000003" customHeight="1">
      <c r="E5" s="271"/>
      <c r="G5" s="274"/>
      <c r="H5" s="275"/>
      <c r="I5" s="275"/>
      <c r="J5" s="275"/>
      <c r="K5" s="275"/>
      <c r="L5" s="275"/>
      <c r="M5" s="275"/>
      <c r="N5" s="275"/>
      <c r="O5" s="275"/>
      <c r="P5" s="275"/>
    </row>
    <row r="6" spans="1:20" s="1" customFormat="1" ht="15.95" thickBot="1"/>
    <row r="7" spans="1:20" s="1" customFormat="1" ht="47.1">
      <c r="A7" s="12"/>
      <c r="B7" s="13"/>
      <c r="C7" s="14" t="s">
        <v>61</v>
      </c>
      <c r="D7" s="10"/>
      <c r="E7" s="207" t="s">
        <v>154</v>
      </c>
      <c r="F7" s="10"/>
      <c r="G7" s="155" t="s">
        <v>147</v>
      </c>
      <c r="H7" s="156" t="s">
        <v>148</v>
      </c>
      <c r="I7" s="17" t="s">
        <v>149</v>
      </c>
      <c r="J7" s="18" t="s">
        <v>66</v>
      </c>
      <c r="K7"/>
      <c r="L7"/>
      <c r="M7" s="276" t="s">
        <v>150</v>
      </c>
      <c r="N7" s="276"/>
      <c r="O7" s="276"/>
      <c r="P7" s="276"/>
      <c r="Q7"/>
    </row>
    <row r="8" spans="1:20" s="1" customFormat="1" ht="15.95" thickBot="1">
      <c r="A8"/>
      <c r="B8"/>
      <c r="C8"/>
      <c r="D8"/>
      <c r="E8" s="207"/>
      <c r="F8" s="10"/>
      <c r="G8"/>
      <c r="H8"/>
      <c r="I8"/>
      <c r="J8"/>
      <c r="K8"/>
      <c r="L8"/>
      <c r="M8"/>
      <c r="N8"/>
      <c r="O8"/>
      <c r="P8"/>
      <c r="Q8"/>
    </row>
    <row r="9" spans="1:20" s="1" customFormat="1" ht="26.1">
      <c r="A9" s="19" t="str">
        <f>IF(G9&lt;&gt;"",COUNTIF($J9:J$9,J9),"")</f>
        <v/>
      </c>
      <c r="B9" s="10" t="str">
        <f t="shared" ref="B9:B27" si="0">IF(G9&lt;&gt;"",IFERROR(RANK(J9,$J$9:$J$27,0),1),"")</f>
        <v/>
      </c>
      <c r="C9" s="20" t="str">
        <f t="shared" ref="C9:C27" si="1">IF(ISNUMBER(B9),B9+A9-1,"")</f>
        <v/>
      </c>
      <c r="D9" s="10"/>
      <c r="E9" s="207"/>
      <c r="F9" s="10"/>
      <c r="G9" s="21"/>
      <c r="H9" s="21"/>
      <c r="I9" s="21"/>
      <c r="J9" t="str">
        <f t="shared" ref="J9:J27" si="2">IF(G9&lt;&gt;"",(2*H9+I9),"")</f>
        <v/>
      </c>
      <c r="K9"/>
      <c r="L9" s="23">
        <v>1</v>
      </c>
      <c r="M9" s="219" t="str">
        <f>IFERROR(INDEX($A$7:$I$1048576,MATCH($L9,$C$7:$C$27,0),MATCH($G$7,$7:$7,0)),"")</f>
        <v/>
      </c>
      <c r="N9" s="219"/>
      <c r="O9" s="219"/>
      <c r="P9" s="219"/>
      <c r="Q9"/>
    </row>
    <row r="10" spans="1:20" s="1" customFormat="1" ht="26.1">
      <c r="A10" s="19" t="str">
        <f>IF(G10&lt;&gt;"",COUNTIF($J$9:J10,J10),"")</f>
        <v/>
      </c>
      <c r="B10" s="10" t="str">
        <f t="shared" si="0"/>
        <v/>
      </c>
      <c r="C10" s="22" t="str">
        <f t="shared" si="1"/>
        <v/>
      </c>
      <c r="D10" s="10"/>
      <c r="E10" s="207"/>
      <c r="F10" s="10"/>
      <c r="G10" s="21"/>
      <c r="H10" s="21"/>
      <c r="I10" s="21"/>
      <c r="J10" t="str">
        <f t="shared" si="2"/>
        <v/>
      </c>
      <c r="K10"/>
      <c r="L10" s="23">
        <v>2</v>
      </c>
      <c r="M10" s="219" t="str">
        <f>IFERROR(INDEX($A$7:$I$1048576,MATCH($L10,$C$7:$C$27,0),MATCH($G$7,$7:$7,0)),"")</f>
        <v/>
      </c>
      <c r="N10" s="219"/>
      <c r="O10" s="219"/>
      <c r="P10" s="219"/>
      <c r="Q10"/>
    </row>
    <row r="11" spans="1:20" s="1" customFormat="1" ht="26.1">
      <c r="A11" s="19" t="str">
        <f>IF(G11&lt;&gt;"",COUNTIF($J$9:J11,J11),"")</f>
        <v/>
      </c>
      <c r="B11" s="10" t="str">
        <f t="shared" si="0"/>
        <v/>
      </c>
      <c r="C11" s="22" t="str">
        <f>IF(ISNUMBER(B11),B11+A11-1,"")</f>
        <v/>
      </c>
      <c r="D11" s="10"/>
      <c r="E11" s="207"/>
      <c r="F11" s="10"/>
      <c r="G11" s="21"/>
      <c r="H11" s="21"/>
      <c r="I11" s="21"/>
      <c r="J11" t="str">
        <f t="shared" si="2"/>
        <v/>
      </c>
      <c r="K11"/>
      <c r="L11" s="23">
        <v>3</v>
      </c>
      <c r="M11" s="219" t="str">
        <f>IFERROR(INDEX($A$7:$I$1048576,MATCH($L11,$C$7:$C$27,0),MATCH($G$7,$7:$7,0)),"")</f>
        <v/>
      </c>
      <c r="N11" s="219"/>
      <c r="O11" s="219"/>
      <c r="P11" s="219"/>
      <c r="Q11"/>
    </row>
    <row r="12" spans="1:20" s="1" customFormat="1" ht="26.1">
      <c r="A12" s="19" t="str">
        <f>IF(G12&lt;&gt;"",COUNTIF($J$9:J12,J12),"")</f>
        <v/>
      </c>
      <c r="B12" s="10" t="str">
        <f t="shared" si="0"/>
        <v/>
      </c>
      <c r="C12" s="22" t="str">
        <f t="shared" si="1"/>
        <v/>
      </c>
      <c r="D12" s="10"/>
      <c r="E12" s="207"/>
      <c r="F12" s="10"/>
      <c r="G12" s="21"/>
      <c r="H12" s="21"/>
      <c r="I12" s="21"/>
      <c r="J12" t="str">
        <f t="shared" si="2"/>
        <v/>
      </c>
      <c r="K12"/>
      <c r="Q12"/>
    </row>
    <row r="13" spans="1:20" s="1" customFormat="1" ht="26.1">
      <c r="A13" s="19" t="str">
        <f>IF(G13&lt;&gt;"",COUNTIF($J$9:J13,J13),"")</f>
        <v/>
      </c>
      <c r="B13" s="10" t="str">
        <f t="shared" si="0"/>
        <v/>
      </c>
      <c r="C13" s="22" t="str">
        <f t="shared" si="1"/>
        <v/>
      </c>
      <c r="D13" s="10"/>
      <c r="E13" s="207"/>
      <c r="F13" s="10"/>
      <c r="G13" s="21"/>
      <c r="H13" s="21"/>
      <c r="I13" s="21"/>
      <c r="J13" t="str">
        <f t="shared" si="2"/>
        <v/>
      </c>
      <c r="K13"/>
      <c r="L13" s="109">
        <v>4</v>
      </c>
      <c r="M13" s="268" t="str">
        <f t="shared" ref="M13:M19" si="3">IFERROR(INDEX($A$7:$I$1048576,MATCH($L13,$C$7:$C$27,0),MATCH($G$7,$7:$7,0)),"")</f>
        <v/>
      </c>
      <c r="N13" s="268"/>
      <c r="O13" s="268"/>
      <c r="P13" s="268"/>
      <c r="Q13"/>
    </row>
    <row r="14" spans="1:20" s="1" customFormat="1" ht="26.1">
      <c r="A14" s="19" t="str">
        <f>IF(G14&lt;&gt;"",COUNTIF($J$9:J14,J14),"")</f>
        <v/>
      </c>
      <c r="B14" s="10" t="str">
        <f t="shared" si="0"/>
        <v/>
      </c>
      <c r="C14" s="22" t="str">
        <f t="shared" si="1"/>
        <v/>
      </c>
      <c r="D14" s="10"/>
      <c r="E14" s="207"/>
      <c r="F14" s="10"/>
      <c r="G14" s="21"/>
      <c r="H14" s="21"/>
      <c r="I14" s="21"/>
      <c r="J14" t="str">
        <f t="shared" si="2"/>
        <v/>
      </c>
      <c r="K14"/>
      <c r="L14" s="109">
        <v>5</v>
      </c>
      <c r="M14" s="268" t="str">
        <f t="shared" si="3"/>
        <v/>
      </c>
      <c r="N14" s="268"/>
      <c r="O14" s="268"/>
      <c r="P14" s="268"/>
      <c r="Q14"/>
    </row>
    <row r="15" spans="1:20" s="1" customFormat="1" ht="26.1">
      <c r="A15" s="19" t="str">
        <f>IF(G15&lt;&gt;"",COUNTIF($J$9:J15,J15),"")</f>
        <v/>
      </c>
      <c r="B15" s="10" t="str">
        <f t="shared" si="0"/>
        <v/>
      </c>
      <c r="C15" s="22" t="str">
        <f t="shared" si="1"/>
        <v/>
      </c>
      <c r="D15" s="10"/>
      <c r="E15" s="207"/>
      <c r="F15" s="10"/>
      <c r="G15" s="21"/>
      <c r="H15" s="21"/>
      <c r="I15" s="21"/>
      <c r="J15" t="str">
        <f t="shared" si="2"/>
        <v/>
      </c>
      <c r="K15"/>
      <c r="L15" s="109">
        <v>6</v>
      </c>
      <c r="M15" s="268" t="str">
        <f t="shared" si="3"/>
        <v/>
      </c>
      <c r="N15" s="268"/>
      <c r="O15" s="268"/>
      <c r="P15" s="268"/>
      <c r="Q15"/>
      <c r="T15" s="1" t="s">
        <v>8</v>
      </c>
    </row>
    <row r="16" spans="1:20" s="1" customFormat="1" ht="26.1">
      <c r="A16" s="19" t="str">
        <f>IF(G16&lt;&gt;"",COUNTIF($J$9:J16,J16),"")</f>
        <v/>
      </c>
      <c r="B16" s="10" t="str">
        <f t="shared" si="0"/>
        <v/>
      </c>
      <c r="C16" s="22" t="str">
        <f t="shared" si="1"/>
        <v/>
      </c>
      <c r="D16" s="10"/>
      <c r="E16" s="207"/>
      <c r="F16" s="10"/>
      <c r="G16" s="21"/>
      <c r="H16" s="21"/>
      <c r="I16" s="21"/>
      <c r="J16" t="str">
        <f t="shared" si="2"/>
        <v/>
      </c>
      <c r="K16"/>
      <c r="L16" s="109">
        <v>7</v>
      </c>
      <c r="M16" s="268" t="str">
        <f t="shared" si="3"/>
        <v/>
      </c>
      <c r="N16" s="268"/>
      <c r="O16" s="268"/>
      <c r="P16" s="268"/>
      <c r="Q16"/>
    </row>
    <row r="17" spans="1:17" s="1" customFormat="1" ht="26.1">
      <c r="A17" s="19" t="str">
        <f>IF(G17&lt;&gt;"",COUNTIF($J$9:J17,J17),"")</f>
        <v/>
      </c>
      <c r="B17" s="10" t="str">
        <f t="shared" si="0"/>
        <v/>
      </c>
      <c r="C17" s="22" t="str">
        <f>IF(ISNUMBER(B17),B17+A17-1,"")</f>
        <v/>
      </c>
      <c r="D17" s="10"/>
      <c r="E17" s="207"/>
      <c r="F17" s="10"/>
      <c r="G17" s="21"/>
      <c r="H17" s="21"/>
      <c r="I17" s="21"/>
      <c r="J17" t="str">
        <f t="shared" si="2"/>
        <v/>
      </c>
      <c r="K17"/>
      <c r="L17" s="109">
        <v>8</v>
      </c>
      <c r="M17" s="268" t="str">
        <f t="shared" si="3"/>
        <v/>
      </c>
      <c r="N17" s="268"/>
      <c r="O17" s="268"/>
      <c r="P17" s="268"/>
      <c r="Q17"/>
    </row>
    <row r="18" spans="1:17" s="1" customFormat="1" ht="26.1">
      <c r="A18" s="19" t="str">
        <f>IF(G18&lt;&gt;"",COUNTIF($J$9:J18,J18),"")</f>
        <v/>
      </c>
      <c r="B18" s="10" t="str">
        <f t="shared" si="0"/>
        <v/>
      </c>
      <c r="C18" s="22" t="str">
        <f t="shared" si="1"/>
        <v/>
      </c>
      <c r="D18" s="10"/>
      <c r="E18" s="207"/>
      <c r="F18" s="10"/>
      <c r="G18" s="21"/>
      <c r="H18" s="21"/>
      <c r="I18" s="21"/>
      <c r="J18" t="str">
        <f t="shared" si="2"/>
        <v/>
      </c>
      <c r="K18"/>
      <c r="L18" s="109">
        <v>9</v>
      </c>
      <c r="M18" s="268" t="str">
        <f t="shared" si="3"/>
        <v/>
      </c>
      <c r="N18" s="268"/>
      <c r="O18" s="268"/>
      <c r="P18" s="268"/>
      <c r="Q18"/>
    </row>
    <row r="19" spans="1:17" s="1" customFormat="1" ht="26.1">
      <c r="A19" s="19" t="str">
        <f>IF(G19&lt;&gt;"",COUNTIF($J$9:J19,J19),"")</f>
        <v/>
      </c>
      <c r="B19" s="10" t="str">
        <f t="shared" si="0"/>
        <v/>
      </c>
      <c r="C19" s="22" t="str">
        <f t="shared" si="1"/>
        <v/>
      </c>
      <c r="D19" s="10"/>
      <c r="E19" s="207"/>
      <c r="F19" s="10"/>
      <c r="G19" s="21"/>
      <c r="H19" s="21"/>
      <c r="I19" s="21"/>
      <c r="J19" t="str">
        <f t="shared" si="2"/>
        <v/>
      </c>
      <c r="K19"/>
      <c r="L19" s="109">
        <v>10</v>
      </c>
      <c r="M19" s="268" t="str">
        <f t="shared" si="3"/>
        <v/>
      </c>
      <c r="N19" s="268"/>
      <c r="O19" s="268"/>
      <c r="P19" s="268"/>
      <c r="Q19"/>
    </row>
    <row r="20" spans="1:17" ht="26.1">
      <c r="A20" s="19" t="str">
        <f>IF(G20&lt;&gt;"",COUNTIF($J$9:J20,J20),"")</f>
        <v/>
      </c>
      <c r="B20" s="10" t="str">
        <f t="shared" si="0"/>
        <v/>
      </c>
      <c r="C20" s="22" t="str">
        <f t="shared" si="1"/>
        <v/>
      </c>
      <c r="D20" s="10"/>
      <c r="E20" s="207"/>
      <c r="F20" s="10"/>
      <c r="G20" s="21"/>
      <c r="H20" s="21"/>
      <c r="I20" s="21"/>
      <c r="J20" t="str">
        <f t="shared" si="2"/>
        <v/>
      </c>
    </row>
    <row r="21" spans="1:17" ht="26.1">
      <c r="A21" s="19" t="str">
        <f>IF(G21&lt;&gt;"",COUNTIF($J$9:J21,J21),"")</f>
        <v/>
      </c>
      <c r="B21" s="10" t="str">
        <f t="shared" si="0"/>
        <v/>
      </c>
      <c r="C21" s="22" t="str">
        <f t="shared" si="1"/>
        <v/>
      </c>
      <c r="D21" s="10"/>
      <c r="E21" s="207"/>
      <c r="F21" s="10"/>
      <c r="G21" s="21"/>
      <c r="H21" s="21"/>
      <c r="I21" s="21"/>
      <c r="J21" t="str">
        <f t="shared" si="2"/>
        <v/>
      </c>
    </row>
    <row r="22" spans="1:17" ht="26.1">
      <c r="A22" s="19" t="str">
        <f>IF(G22&lt;&gt;"",COUNTIF($J$9:J22,J22),"")</f>
        <v/>
      </c>
      <c r="B22" s="10" t="str">
        <f t="shared" si="0"/>
        <v/>
      </c>
      <c r="C22" s="22" t="str">
        <f t="shared" si="1"/>
        <v/>
      </c>
      <c r="D22" s="10"/>
      <c r="E22" s="207"/>
      <c r="F22" s="10"/>
      <c r="G22" s="21"/>
      <c r="H22" s="21"/>
      <c r="I22" s="21"/>
      <c r="J22" t="str">
        <f t="shared" si="2"/>
        <v/>
      </c>
    </row>
    <row r="23" spans="1:17" ht="26.1">
      <c r="A23" s="19" t="str">
        <f>IF(G23&lt;&gt;"",COUNTIF($J$9:J23,J23),"")</f>
        <v/>
      </c>
      <c r="B23" s="10" t="str">
        <f t="shared" si="0"/>
        <v/>
      </c>
      <c r="C23" s="22" t="str">
        <f t="shared" si="1"/>
        <v/>
      </c>
      <c r="D23" s="10"/>
      <c r="E23" s="207"/>
      <c r="F23" s="10"/>
      <c r="G23" s="21"/>
      <c r="H23" s="21"/>
      <c r="I23" s="21"/>
      <c r="J23" t="str">
        <f t="shared" si="2"/>
        <v/>
      </c>
    </row>
    <row r="24" spans="1:17" ht="26.1">
      <c r="A24" s="19" t="str">
        <f>IF(G24&lt;&gt;"",COUNTIF($J$9:J24,J24),"")</f>
        <v/>
      </c>
      <c r="B24" s="10" t="str">
        <f t="shared" si="0"/>
        <v/>
      </c>
      <c r="C24" s="22" t="str">
        <f t="shared" si="1"/>
        <v/>
      </c>
      <c r="D24" s="10"/>
      <c r="E24" s="207"/>
      <c r="F24" s="10"/>
      <c r="G24" s="21"/>
      <c r="H24" s="21"/>
      <c r="I24" s="21"/>
      <c r="J24" t="str">
        <f t="shared" si="2"/>
        <v/>
      </c>
    </row>
    <row r="25" spans="1:17" ht="26.1">
      <c r="A25" s="19" t="str">
        <f>IF(G25&lt;&gt;"",COUNTIF($J$9:J25,J25),"")</f>
        <v/>
      </c>
      <c r="B25" s="10" t="str">
        <f t="shared" si="0"/>
        <v/>
      </c>
      <c r="C25" s="22" t="str">
        <f t="shared" si="1"/>
        <v/>
      </c>
      <c r="D25" s="10"/>
      <c r="E25" s="207"/>
      <c r="F25" s="10"/>
      <c r="G25" s="21"/>
      <c r="H25" s="21"/>
      <c r="I25" s="21"/>
      <c r="J25" t="str">
        <f t="shared" si="2"/>
        <v/>
      </c>
      <c r="M25" s="9" t="s">
        <v>68</v>
      </c>
      <c r="N25" s="269" t="s">
        <v>142</v>
      </c>
      <c r="O25" s="269"/>
      <c r="P25" s="270"/>
    </row>
    <row r="26" spans="1:17" ht="26.1">
      <c r="A26" s="19" t="str">
        <f>IF(G26&lt;&gt;"",COUNTIF($J$9:J26,J26),"")</f>
        <v/>
      </c>
      <c r="B26" s="10" t="str">
        <f t="shared" si="0"/>
        <v/>
      </c>
      <c r="C26" s="22" t="str">
        <f t="shared" si="1"/>
        <v/>
      </c>
      <c r="D26" s="10"/>
      <c r="E26" s="207"/>
      <c r="F26" s="10"/>
      <c r="G26" s="21"/>
      <c r="H26" s="21"/>
      <c r="I26" s="21"/>
      <c r="J26" t="str">
        <f t="shared" si="2"/>
        <v/>
      </c>
    </row>
    <row r="27" spans="1:17" ht="26.1">
      <c r="A27" s="19" t="str">
        <f>IF(G27&lt;&gt;"",COUNTIF($J$9:J27,J27),"")</f>
        <v/>
      </c>
      <c r="B27" s="10" t="str">
        <f t="shared" si="0"/>
        <v/>
      </c>
      <c r="C27" s="22" t="str">
        <f t="shared" si="1"/>
        <v/>
      </c>
      <c r="D27" s="10"/>
      <c r="E27" s="207"/>
      <c r="F27" s="10"/>
      <c r="G27" s="21"/>
      <c r="H27" s="21"/>
      <c r="I27" s="21"/>
      <c r="J27" t="str">
        <f t="shared" si="2"/>
        <v/>
      </c>
      <c r="M27" s="9" t="s">
        <v>10</v>
      </c>
      <c r="N27" s="235" t="s">
        <v>155</v>
      </c>
      <c r="O27" s="235"/>
      <c r="P27" s="279"/>
    </row>
    <row r="28" spans="1:17" ht="26.1">
      <c r="A28" s="19"/>
      <c r="B28" s="10"/>
      <c r="C28" s="24"/>
      <c r="D28" s="1"/>
      <c r="E28" s="1"/>
      <c r="G28" s="25"/>
      <c r="H28" s="25"/>
      <c r="I28" s="25"/>
      <c r="L28" s="26"/>
      <c r="M28" s="27"/>
      <c r="N28" s="27"/>
      <c r="O28" s="27"/>
      <c r="P28" s="27"/>
    </row>
  </sheetData>
  <mergeCells count="17">
    <mergeCell ref="M16:P16"/>
    <mergeCell ref="M17:P17"/>
    <mergeCell ref="M18:P18"/>
    <mergeCell ref="M19:P19"/>
    <mergeCell ref="N25:P25"/>
    <mergeCell ref="E4:E5"/>
    <mergeCell ref="G4:P4"/>
    <mergeCell ref="G5:P5"/>
    <mergeCell ref="E7:E27"/>
    <mergeCell ref="M7:P7"/>
    <mergeCell ref="M9:P9"/>
    <mergeCell ref="M10:P10"/>
    <mergeCell ref="M11:P11"/>
    <mergeCell ref="M13:P13"/>
    <mergeCell ref="M14:P14"/>
    <mergeCell ref="N27:P27"/>
    <mergeCell ref="M15:P15"/>
  </mergeCells>
  <hyperlinks>
    <hyperlink ref="M21:M22" location="'FULL MARKET SEGMENTATION'!A1" display="TOP DRIVING FORCES" xr:uid="{A63B2F4C-56C0-46CC-A1F3-E647AD9C442C}"/>
    <hyperlink ref="N25:P25" location="'Core Segment Needs'!A1" display="Core Segment Needs" xr:uid="{8E3318F5-3EFE-4EF5-9955-1B8DB5F3E43A}"/>
    <hyperlink ref="N27:P27" location="'Driving Forces Impact'!A1" display="Driving Forces Impact" xr:uid="{B06E88CE-5AC9-4322-8D4C-81FD92E3CC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6652-D1A6-4134-9A38-29AFBF0AF708}">
  <dimension ref="A1:N31"/>
  <sheetViews>
    <sheetView showGridLines="0" zoomScale="70" zoomScaleNormal="70" workbookViewId="0"/>
  </sheetViews>
  <sheetFormatPr defaultColWidth="8.85546875" defaultRowHeight="15"/>
  <cols>
    <col min="1" max="1" width="5.85546875" customWidth="1"/>
    <col min="2" max="2" width="29.42578125" style="1" customWidth="1"/>
    <col min="3" max="3" width="24.140625" style="1" customWidth="1"/>
    <col min="4" max="4" width="6" style="29" customWidth="1"/>
    <col min="5" max="5" width="21.42578125" style="1" customWidth="1"/>
    <col min="6" max="6" width="46.42578125" style="1" customWidth="1"/>
    <col min="7" max="7" width="10.140625" style="1" customWidth="1"/>
    <col min="8" max="8" width="44.140625" customWidth="1"/>
    <col min="9" max="9" width="18.85546875" style="1" customWidth="1"/>
    <col min="10" max="13" width="22.42578125" style="1" customWidth="1"/>
    <col min="14" max="14" width="18.85546875" style="1" customWidth="1"/>
  </cols>
  <sheetData>
    <row r="1" spans="1:8">
      <c r="B1"/>
      <c r="C1"/>
      <c r="D1" s="28"/>
      <c r="E1"/>
      <c r="F1"/>
      <c r="G1"/>
    </row>
    <row r="2" spans="1:8" ht="47.1">
      <c r="B2" s="233" t="s">
        <v>156</v>
      </c>
      <c r="C2" s="233"/>
      <c r="D2" s="233"/>
      <c r="E2" s="233"/>
      <c r="F2" s="233"/>
      <c r="G2" s="233"/>
      <c r="H2" s="233"/>
    </row>
    <row r="3" spans="1:8" s="1" customFormat="1" ht="8.25" customHeight="1">
      <c r="B3" s="285"/>
      <c r="C3" s="285"/>
      <c r="D3" s="29"/>
      <c r="H3"/>
    </row>
    <row r="4" spans="1:8" s="1" customFormat="1" ht="30.95">
      <c r="B4" s="84" t="s">
        <v>142</v>
      </c>
      <c r="C4" s="84"/>
      <c r="D4" s="110"/>
      <c r="E4" s="237" t="s">
        <v>157</v>
      </c>
      <c r="F4" s="237"/>
      <c r="G4" s="85"/>
      <c r="H4" s="86" t="s">
        <v>111</v>
      </c>
    </row>
    <row r="5" spans="1:8" s="1" customFormat="1" ht="6" customHeight="1">
      <c r="A5"/>
      <c r="B5" s="285"/>
      <c r="C5" s="285"/>
      <c r="D5" s="29"/>
      <c r="H5" s="87"/>
    </row>
    <row r="6" spans="1:8" s="1" customFormat="1" ht="29.1">
      <c r="A6"/>
      <c r="B6" s="280"/>
      <c r="C6" s="280"/>
      <c r="D6" s="23">
        <v>1</v>
      </c>
      <c r="E6" s="281" t="s">
        <v>157</v>
      </c>
      <c r="F6" s="281"/>
      <c r="H6" s="89" t="s">
        <v>142</v>
      </c>
    </row>
    <row r="7" spans="1:8" s="1" customFormat="1" ht="30.95">
      <c r="A7"/>
      <c r="B7" s="286"/>
      <c r="C7" s="286"/>
      <c r="D7" s="111"/>
      <c r="E7" s="111"/>
      <c r="F7" s="111"/>
      <c r="H7" s="90"/>
    </row>
    <row r="8" spans="1:8" s="1" customFormat="1" ht="30.95">
      <c r="A8"/>
      <c r="B8" s="280"/>
      <c r="C8" s="280"/>
      <c r="D8" s="23">
        <v>2</v>
      </c>
      <c r="E8" s="281" t="s">
        <v>157</v>
      </c>
      <c r="F8" s="281"/>
      <c r="H8" s="90"/>
    </row>
    <row r="9" spans="1:8" s="1" customFormat="1" ht="30.95">
      <c r="A9"/>
      <c r="B9" s="286"/>
      <c r="C9" s="286"/>
      <c r="D9" s="111"/>
      <c r="E9" s="111"/>
      <c r="F9" s="111"/>
      <c r="H9" s="90"/>
    </row>
    <row r="10" spans="1:8" s="1" customFormat="1" ht="30.95">
      <c r="A10"/>
      <c r="B10" s="280"/>
      <c r="C10" s="280"/>
      <c r="D10" s="23">
        <v>3</v>
      </c>
      <c r="E10" s="282" t="s">
        <v>157</v>
      </c>
      <c r="F10" s="282"/>
      <c r="H10" s="90"/>
    </row>
    <row r="11" spans="1:8" s="1" customFormat="1" ht="30.95">
      <c r="A11"/>
      <c r="B11" s="285"/>
      <c r="C11" s="285"/>
      <c r="D11" s="29"/>
      <c r="E11" s="29"/>
      <c r="F11" s="29"/>
      <c r="H11" s="90"/>
    </row>
    <row r="12" spans="1:8" s="1" customFormat="1" ht="30.95">
      <c r="A12"/>
      <c r="B12" s="280"/>
      <c r="C12" s="280"/>
      <c r="D12" s="23">
        <v>4</v>
      </c>
      <c r="E12" s="283" t="s">
        <v>157</v>
      </c>
      <c r="F12" s="283"/>
      <c r="H12" s="90"/>
    </row>
    <row r="13" spans="1:8" s="1" customFormat="1" ht="30.95">
      <c r="A13"/>
      <c r="B13" s="286"/>
      <c r="C13" s="286"/>
      <c r="D13" s="111"/>
      <c r="E13" s="111"/>
      <c r="F13" s="111"/>
      <c r="H13" s="90"/>
    </row>
    <row r="14" spans="1:8" s="1" customFormat="1" ht="30.95">
      <c r="A14"/>
      <c r="B14" s="280"/>
      <c r="C14" s="280"/>
      <c r="D14" s="23">
        <v>5</v>
      </c>
      <c r="E14" s="283" t="s">
        <v>157</v>
      </c>
      <c r="F14" s="283"/>
      <c r="H14" s="90"/>
    </row>
    <row r="15" spans="1:8" s="1" customFormat="1" ht="30.95">
      <c r="A15"/>
      <c r="B15" s="286"/>
      <c r="C15" s="286"/>
      <c r="D15" s="111"/>
      <c r="E15" s="111"/>
      <c r="F15" s="111"/>
      <c r="H15" s="90"/>
    </row>
    <row r="16" spans="1:8" s="1" customFormat="1" ht="30.95">
      <c r="A16"/>
      <c r="B16" s="280"/>
      <c r="C16" s="280"/>
      <c r="D16" s="23">
        <v>6</v>
      </c>
      <c r="E16" s="284" t="s">
        <v>157</v>
      </c>
      <c r="F16" s="284"/>
      <c r="H16" s="90"/>
    </row>
    <row r="17" spans="1:11" s="1" customFormat="1" ht="30.95">
      <c r="A17"/>
      <c r="B17" s="285"/>
      <c r="C17" s="285"/>
      <c r="D17" s="29"/>
      <c r="E17" s="29"/>
      <c r="F17" s="29"/>
      <c r="H17" s="90"/>
    </row>
    <row r="18" spans="1:11" s="1" customFormat="1" ht="30.95">
      <c r="B18" s="84" t="s">
        <v>151</v>
      </c>
      <c r="C18" s="84"/>
      <c r="D18" s="110"/>
      <c r="E18" s="237" t="s">
        <v>157</v>
      </c>
      <c r="F18" s="237"/>
      <c r="H18" s="86" t="s">
        <v>111</v>
      </c>
      <c r="K18" s="1" t="s">
        <v>8</v>
      </c>
    </row>
    <row r="19" spans="1:11" s="1" customFormat="1" ht="6" customHeight="1">
      <c r="A19"/>
      <c r="B19" s="285"/>
      <c r="C19" s="285"/>
      <c r="D19" s="29"/>
      <c r="E19" s="29"/>
      <c r="F19" s="29"/>
      <c r="H19" s="87"/>
    </row>
    <row r="20" spans="1:11" s="1" customFormat="1" ht="29.1">
      <c r="A20"/>
      <c r="B20" s="280"/>
      <c r="C20" s="280"/>
      <c r="D20" s="23">
        <v>1</v>
      </c>
      <c r="E20" s="281" t="s">
        <v>157</v>
      </c>
      <c r="F20" s="281"/>
      <c r="H20" s="89" t="s">
        <v>151</v>
      </c>
    </row>
    <row r="21" spans="1:11" s="1" customFormat="1" ht="30.95">
      <c r="A21"/>
      <c r="B21" s="286"/>
      <c r="C21" s="286"/>
      <c r="D21" s="111"/>
      <c r="E21" s="111"/>
      <c r="F21" s="111"/>
      <c r="H21" s="90"/>
    </row>
    <row r="22" spans="1:11" s="1" customFormat="1" ht="30.95">
      <c r="B22" s="280"/>
      <c r="C22" s="280"/>
      <c r="D22" s="23">
        <v>2</v>
      </c>
      <c r="E22" s="281" t="s">
        <v>157</v>
      </c>
      <c r="F22" s="281"/>
      <c r="H22" s="90"/>
      <c r="I22"/>
    </row>
    <row r="23" spans="1:11" s="1" customFormat="1" ht="30.95">
      <c r="A23"/>
      <c r="B23" s="286"/>
      <c r="C23" s="286"/>
      <c r="D23" s="111"/>
      <c r="E23" s="111"/>
      <c r="F23" s="111"/>
      <c r="H23" s="90"/>
    </row>
    <row r="24" spans="1:11" s="1" customFormat="1" ht="30.95">
      <c r="B24" s="280"/>
      <c r="C24" s="280"/>
      <c r="D24" s="23">
        <v>3</v>
      </c>
      <c r="E24" s="282" t="s">
        <v>157</v>
      </c>
      <c r="F24" s="282"/>
      <c r="H24" s="90"/>
    </row>
    <row r="25" spans="1:11" s="1" customFormat="1" ht="30.95">
      <c r="A25"/>
      <c r="B25" s="285"/>
      <c r="C25" s="285"/>
      <c r="D25" s="29"/>
      <c r="E25" s="29"/>
      <c r="F25" s="29"/>
      <c r="H25" s="90"/>
    </row>
    <row r="26" spans="1:11" ht="30.95">
      <c r="D26" s="23">
        <v>4</v>
      </c>
      <c r="E26" s="283" t="s">
        <v>157</v>
      </c>
      <c r="F26" s="283"/>
      <c r="H26" s="90"/>
    </row>
    <row r="27" spans="1:11" s="1" customFormat="1" ht="30.95">
      <c r="A27"/>
      <c r="B27" s="286"/>
      <c r="C27" s="286"/>
      <c r="D27" s="111"/>
      <c r="E27" s="111"/>
      <c r="F27" s="111"/>
      <c r="H27" s="90"/>
    </row>
    <row r="28" spans="1:11" ht="30.95">
      <c r="D28" s="23">
        <v>5</v>
      </c>
      <c r="E28" s="283" t="s">
        <v>157</v>
      </c>
      <c r="F28" s="283"/>
      <c r="H28" s="90"/>
    </row>
    <row r="29" spans="1:11" s="1" customFormat="1" ht="30.95">
      <c r="A29"/>
      <c r="B29" s="286"/>
      <c r="C29" s="286"/>
      <c r="D29" s="111"/>
      <c r="E29" s="111"/>
      <c r="F29" s="111"/>
      <c r="H29" s="90"/>
    </row>
    <row r="30" spans="1:11" ht="30.95">
      <c r="D30" s="23">
        <v>6</v>
      </c>
      <c r="E30" s="284" t="s">
        <v>157</v>
      </c>
      <c r="F30" s="284"/>
      <c r="H30" s="90"/>
    </row>
    <row r="31" spans="1:11">
      <c r="E31" s="29"/>
      <c r="F31" s="29"/>
    </row>
  </sheetData>
  <mergeCells count="38">
    <mergeCell ref="B29:C29"/>
    <mergeCell ref="E30:F30"/>
    <mergeCell ref="B24:C24"/>
    <mergeCell ref="E24:F24"/>
    <mergeCell ref="B25:C25"/>
    <mergeCell ref="E26:F26"/>
    <mergeCell ref="B27:C27"/>
    <mergeCell ref="E28:F28"/>
    <mergeCell ref="B23:C23"/>
    <mergeCell ref="B15:C15"/>
    <mergeCell ref="B16:C16"/>
    <mergeCell ref="E16:F16"/>
    <mergeCell ref="B17:C17"/>
    <mergeCell ref="E18:F18"/>
    <mergeCell ref="B19:C19"/>
    <mergeCell ref="B20:C20"/>
    <mergeCell ref="E20:F20"/>
    <mergeCell ref="B21:C21"/>
    <mergeCell ref="B22:C22"/>
    <mergeCell ref="E22:F22"/>
    <mergeCell ref="B11:C11"/>
    <mergeCell ref="B12:C12"/>
    <mergeCell ref="E12:F12"/>
    <mergeCell ref="B13:C13"/>
    <mergeCell ref="B14:C14"/>
    <mergeCell ref="E14:F14"/>
    <mergeCell ref="B7:C7"/>
    <mergeCell ref="B8:C8"/>
    <mergeCell ref="E8:F8"/>
    <mergeCell ref="B9:C9"/>
    <mergeCell ref="B10:C10"/>
    <mergeCell ref="E10:F10"/>
    <mergeCell ref="B2:H2"/>
    <mergeCell ref="B3:C3"/>
    <mergeCell ref="E4:F4"/>
    <mergeCell ref="B5:C5"/>
    <mergeCell ref="B6:C6"/>
    <mergeCell ref="E6:F6"/>
  </mergeCells>
  <hyperlinks>
    <hyperlink ref="H6:H7" location="'FULL MARKET SEGMENTATION'!A1" display="TOP DRIVING FORCES" xr:uid="{70768184-F6E6-4BFA-8A46-C8748C9D5849}"/>
    <hyperlink ref="H6" location="'Core Segment Needs'!A1" display="Core Segment Needs" xr:uid="{DBEC87AC-D91D-4FFB-A0D6-4FA19F167BD3}"/>
    <hyperlink ref="H20:H21" location="'FULL MARKET SEGMENTATION'!A1" display="TOP DRIVING FORCES" xr:uid="{511092B0-8E23-4108-A9C9-658CC94B46D1}"/>
    <hyperlink ref="H20" location="'Secondary Segment Needs'!A1" display="Market Size" xr:uid="{9FFEEA8F-7DBE-45CD-BD4D-BD36C53ED1FF}"/>
    <hyperlink ref="H27" location="'FULL MARKET SEGMENTATION'!A1" display="TOP DRIVING FORCES" xr:uid="{05383A5F-9370-41F9-9BFB-533B490015DE}"/>
    <hyperlink ref="H29" location="'FULL MARKET SEGMENTATION'!A1" display="TOP DRIVING FORCES" xr:uid="{B8F3D741-5C75-40C7-9A22-8A61BF0B58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Afrodita</dc:creator>
  <cp:keywords/>
  <dc:description/>
  <cp:lastModifiedBy>Vasil Karasanov</cp:lastModifiedBy>
  <cp:revision/>
  <dcterms:created xsi:type="dcterms:W3CDTF">2022-06-23T14:07:23Z</dcterms:created>
  <dcterms:modified xsi:type="dcterms:W3CDTF">2025-08-29T14:05:32Z</dcterms:modified>
  <cp:category/>
  <cp:contentStatus/>
</cp:coreProperties>
</file>