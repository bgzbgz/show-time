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codeName="ThisWorkbook" defaultThemeVersion="166925"/>
  <mc:AlternateContent xmlns:mc="http://schemas.openxmlformats.org/markup-compatibility/2006">
    <mc:Choice Requires="x15">
      <x15ac:absPath xmlns:x15ac="http://schemas.microsoft.com/office/spreadsheetml/2010/11/ac" url="/Users/nikol/Downloads/"/>
    </mc:Choice>
  </mc:AlternateContent>
  <xr:revisionPtr revIDLastSave="200" documentId="13_ncr:1_{B04579FD-6144-544F-8E06-9C8BBDDC4D6B}" xr6:coauthVersionLast="47" xr6:coauthVersionMax="47" xr10:uidLastSave="{902B0035-D907-43D2-9B43-FD8D7D14AD01}"/>
  <bookViews>
    <workbookView xWindow="8760" yWindow="1960" windowWidth="38860" windowHeight="24720" tabRatio="916" firstSheet="8" activeTab="4" xr2:uid="{89A8F9B4-2672-4D07-A6C2-4BC2621DAAF9}"/>
  </bookViews>
  <sheets>
    <sheet name="Market size" sheetId="1" r:id="rId1"/>
    <sheet name="Market Attractiveness" sheetId="4" state="hidden" r:id="rId2"/>
    <sheet name="Driving Forces brainstorm" sheetId="2" r:id="rId3"/>
    <sheet name="Driving Forces impact" sheetId="3" r:id="rId4"/>
    <sheet name="Segment brainstorm" sheetId="5" r:id="rId5"/>
    <sheet name="Segment quantification" sheetId="6" r:id="rId6"/>
    <sheet name="Segment ranking" sheetId="7" r:id="rId7"/>
    <sheet name="Segment summary" sheetId="8" r:id="rId8"/>
    <sheet name="Target setting" sheetId="9" r:id="rId9"/>
    <sheet name="Core segment needs" sheetId="10" state="hidden" r:id="rId10"/>
    <sheet name="Secondary segment needs" sheetId="11" state="hidden" r:id="rId11"/>
    <sheet name="Needs summary" sheetId="12"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 l="1"/>
  <c r="I14" i="1"/>
  <c r="O8" i="6"/>
  <c r="J27" i="11"/>
  <c r="B27" i="11"/>
  <c r="C27" i="11" s="1"/>
  <c r="A27" i="11"/>
  <c r="J26" i="11"/>
  <c r="B26" i="11"/>
  <c r="C26" i="11" s="1"/>
  <c r="A26" i="11"/>
  <c r="J25" i="11"/>
  <c r="B25" i="11"/>
  <c r="C25" i="11" s="1"/>
  <c r="A25" i="11"/>
  <c r="J24" i="11"/>
  <c r="B24" i="11"/>
  <c r="C24" i="11" s="1"/>
  <c r="A24" i="11"/>
  <c r="J23" i="11"/>
  <c r="B23" i="11"/>
  <c r="C23" i="11" s="1"/>
  <c r="A23" i="11"/>
  <c r="J22" i="11"/>
  <c r="B22" i="11"/>
  <c r="C22" i="11" s="1"/>
  <c r="A22" i="11"/>
  <c r="J21" i="11"/>
  <c r="B21" i="11"/>
  <c r="C21" i="11" s="1"/>
  <c r="A21" i="11"/>
  <c r="J20" i="11"/>
  <c r="B20" i="11"/>
  <c r="C20" i="11" s="1"/>
  <c r="A20" i="11"/>
  <c r="J19" i="11"/>
  <c r="B19" i="11"/>
  <c r="C19" i="11" s="1"/>
  <c r="A19" i="11"/>
  <c r="J18" i="11"/>
  <c r="C18" i="11"/>
  <c r="B18" i="11"/>
  <c r="A18" i="11"/>
  <c r="J17" i="11"/>
  <c r="B17" i="11"/>
  <c r="C17" i="11" s="1"/>
  <c r="A17" i="11"/>
  <c r="J16" i="11"/>
  <c r="B16" i="11"/>
  <c r="C16" i="11" s="1"/>
  <c r="A16" i="11"/>
  <c r="J15" i="11"/>
  <c r="B15" i="11"/>
  <c r="C15" i="11" s="1"/>
  <c r="A15" i="11"/>
  <c r="J14" i="11"/>
  <c r="B14" i="11"/>
  <c r="C14" i="11" s="1"/>
  <c r="A14" i="11"/>
  <c r="J13" i="11"/>
  <c r="C13" i="11"/>
  <c r="B13" i="11"/>
  <c r="A13" i="11"/>
  <c r="J12" i="11"/>
  <c r="B12" i="11"/>
  <c r="C12" i="11" s="1"/>
  <c r="A12" i="11"/>
  <c r="J11" i="11"/>
  <c r="B11" i="11"/>
  <c r="C11" i="11" s="1"/>
  <c r="A11" i="11"/>
  <c r="J10" i="11"/>
  <c r="B10" i="11"/>
  <c r="C10" i="11" s="1"/>
  <c r="A10" i="11"/>
  <c r="J9" i="11"/>
  <c r="B9" i="11"/>
  <c r="C9" i="11" s="1"/>
  <c r="A9" i="11"/>
  <c r="M19" i="11" l="1"/>
  <c r="M14" i="11"/>
  <c r="M9" i="11"/>
  <c r="M11" i="11"/>
  <c r="M17" i="11"/>
  <c r="M15" i="11"/>
  <c r="M10" i="11"/>
  <c r="M18" i="11"/>
  <c r="M13" i="11"/>
  <c r="M16" i="11"/>
  <c r="J27" i="10"/>
  <c r="B27" i="10"/>
  <c r="C27" i="10" s="1"/>
  <c r="A27" i="10"/>
  <c r="J26" i="10"/>
  <c r="B26" i="10"/>
  <c r="C26" i="10" s="1"/>
  <c r="A26" i="10"/>
  <c r="J25" i="10"/>
  <c r="B25" i="10"/>
  <c r="C25" i="10" s="1"/>
  <c r="A25" i="10"/>
  <c r="J24" i="10"/>
  <c r="B24" i="10"/>
  <c r="C24" i="10" s="1"/>
  <c r="A24" i="10"/>
  <c r="J23" i="10"/>
  <c r="B23" i="10"/>
  <c r="C23" i="10" s="1"/>
  <c r="A23" i="10"/>
  <c r="J22" i="10"/>
  <c r="B22" i="10"/>
  <c r="C22" i="10" s="1"/>
  <c r="A22" i="10"/>
  <c r="J21" i="10"/>
  <c r="C21" i="10"/>
  <c r="B21" i="10"/>
  <c r="A21" i="10"/>
  <c r="J20" i="10"/>
  <c r="B20" i="10"/>
  <c r="C20" i="10" s="1"/>
  <c r="A20" i="10"/>
  <c r="J19" i="10"/>
  <c r="B19" i="10"/>
  <c r="C19" i="10" s="1"/>
  <c r="A19" i="10"/>
  <c r="J18" i="10"/>
  <c r="B18" i="10"/>
  <c r="C18" i="10" s="1"/>
  <c r="A18" i="10"/>
  <c r="J17" i="10"/>
  <c r="B17" i="10"/>
  <c r="C17" i="10" s="1"/>
  <c r="A17" i="10"/>
  <c r="J16" i="10"/>
  <c r="B16" i="10"/>
  <c r="C16" i="10" s="1"/>
  <c r="A16" i="10"/>
  <c r="J15" i="10"/>
  <c r="B15" i="10"/>
  <c r="C15" i="10" s="1"/>
  <c r="A15" i="10"/>
  <c r="J14" i="10"/>
  <c r="B14" i="10"/>
  <c r="C14" i="10" s="1"/>
  <c r="A14" i="10"/>
  <c r="J13" i="10"/>
  <c r="B13" i="10"/>
  <c r="C13" i="10" s="1"/>
  <c r="A13" i="10"/>
  <c r="J12" i="10"/>
  <c r="B12" i="10"/>
  <c r="C12" i="10" s="1"/>
  <c r="A12" i="10"/>
  <c r="J11" i="10"/>
  <c r="C11" i="10"/>
  <c r="B11" i="10"/>
  <c r="A11" i="10"/>
  <c r="J10" i="10"/>
  <c r="B10" i="10"/>
  <c r="C10" i="10" s="1"/>
  <c r="A10" i="10"/>
  <c r="J9" i="10"/>
  <c r="B9" i="10"/>
  <c r="C9" i="10" s="1"/>
  <c r="A9" i="10"/>
  <c r="F11" i="8"/>
  <c r="F7" i="8"/>
  <c r="F13" i="8"/>
  <c r="F5" i="8"/>
  <c r="O20" i="7"/>
  <c r="N20" i="7"/>
  <c r="M20" i="7"/>
  <c r="L20" i="7"/>
  <c r="K20" i="7"/>
  <c r="J20" i="7"/>
  <c r="I20" i="7"/>
  <c r="H20" i="7"/>
  <c r="N7" i="6"/>
  <c r="M7" i="6"/>
  <c r="N14" i="7" s="1"/>
  <c r="L7" i="6"/>
  <c r="L14" i="6" s="1"/>
  <c r="K7" i="6"/>
  <c r="K14" i="6" s="1"/>
  <c r="J7" i="6"/>
  <c r="J14" i="6" s="1"/>
  <c r="I7" i="6"/>
  <c r="J14" i="7" s="1"/>
  <c r="H7" i="6"/>
  <c r="H14" i="6" s="1"/>
  <c r="G7" i="6"/>
  <c r="O10" i="6"/>
  <c r="O9" i="6"/>
  <c r="M14" i="6"/>
  <c r="H7" i="5" a="1"/>
  <c r="H7" i="5" s="1"/>
  <c r="O9" i="4"/>
  <c r="H13" i="3"/>
  <c r="H15" i="3" s="1"/>
  <c r="Q9" i="3"/>
  <c r="Q8" i="3"/>
  <c r="Q7" i="3"/>
  <c r="Q6" i="3"/>
  <c r="G14" i="6" l="1"/>
  <c r="H14" i="7"/>
  <c r="N14" i="6"/>
  <c r="O14" i="7"/>
  <c r="M14" i="7"/>
  <c r="I14" i="6"/>
  <c r="L14" i="7"/>
  <c r="K14" i="7"/>
  <c r="I14" i="7"/>
  <c r="F19" i="8"/>
  <c r="N15" i="6"/>
  <c r="M15" i="6"/>
  <c r="L15" i="6"/>
  <c r="K15" i="6"/>
  <c r="J15" i="6"/>
  <c r="I15" i="6"/>
  <c r="H15" i="6"/>
  <c r="G15" i="6"/>
  <c r="F15" i="8"/>
  <c r="H16" i="6"/>
  <c r="I16" i="6"/>
  <c r="J16" i="6"/>
  <c r="K16" i="6"/>
  <c r="L16" i="6"/>
  <c r="M16" i="6"/>
  <c r="N16" i="6"/>
  <c r="G16" i="6"/>
  <c r="M19" i="10"/>
  <c r="M14" i="10"/>
  <c r="M9" i="10"/>
  <c r="M17" i="10"/>
  <c r="M15" i="10"/>
  <c r="M10" i="10"/>
  <c r="M18" i="10"/>
  <c r="M13" i="10"/>
  <c r="M16" i="10"/>
  <c r="M11" i="10"/>
  <c r="H22" i="7"/>
  <c r="O22" i="7"/>
  <c r="I22" i="7"/>
  <c r="J22" i="7"/>
  <c r="K22" i="7"/>
  <c r="L22" i="7"/>
  <c r="M22" i="7"/>
  <c r="N22" i="7"/>
  <c r="J21" i="7"/>
  <c r="H21" i="7"/>
  <c r="H23" i="7" s="1"/>
  <c r="I21" i="7"/>
  <c r="K21" i="7"/>
  <c r="L21" i="7"/>
  <c r="M21" i="7"/>
  <c r="N21" i="7"/>
  <c r="O21" i="7"/>
  <c r="H11" i="3"/>
  <c r="H8" i="5" a="1"/>
  <c r="H8" i="5" s="1"/>
  <c r="P9" i="4"/>
  <c r="I9" i="4"/>
  <c r="J9" i="4"/>
  <c r="K9" i="4"/>
  <c r="Q9" i="4"/>
  <c r="L9" i="4"/>
  <c r="H9" i="4"/>
  <c r="M9" i="4"/>
  <c r="N9" i="4"/>
  <c r="M23" i="7" l="1"/>
  <c r="K23" i="7"/>
  <c r="I23" i="7"/>
  <c r="J23" i="7"/>
  <c r="F17" i="8"/>
  <c r="H17" i="6"/>
  <c r="I17" i="6"/>
  <c r="J17" i="6"/>
  <c r="K17" i="6"/>
  <c r="L17" i="6"/>
  <c r="M17" i="6"/>
  <c r="N17" i="6"/>
  <c r="G17" i="6"/>
  <c r="O23" i="7"/>
  <c r="L23" i="7"/>
  <c r="N23" i="7"/>
  <c r="H9" i="5" a="1"/>
  <c r="H9" i="5" s="1"/>
  <c r="R9" i="4"/>
  <c r="O10" i="4" s="1"/>
  <c r="O11" i="4" s="1"/>
  <c r="P14" i="4"/>
  <c r="H14" i="4"/>
  <c r="O14" i="4"/>
  <c r="N14" i="4"/>
  <c r="K14" i="4"/>
  <c r="M14" i="4"/>
  <c r="J14" i="4"/>
  <c r="L14" i="4"/>
  <c r="Q14" i="4"/>
  <c r="I14" i="4"/>
  <c r="F31" i="8" l="1"/>
  <c r="N6" i="9"/>
  <c r="F37" i="8"/>
  <c r="N10" i="9" s="1"/>
  <c r="F33" i="8"/>
  <c r="F23" i="8"/>
  <c r="F35" i="8"/>
  <c r="H10" i="5" a="1"/>
  <c r="H10" i="5" s="1"/>
  <c r="H11" i="5" s="1" a="1"/>
  <c r="H11" i="5" s="1"/>
  <c r="K10" i="4"/>
  <c r="K11" i="4" s="1"/>
  <c r="P10" i="4"/>
  <c r="P11" i="4" s="1"/>
  <c r="N10" i="4"/>
  <c r="N11" i="4" s="1"/>
  <c r="M10" i="4"/>
  <c r="M11" i="4" s="1"/>
  <c r="Q10" i="4"/>
  <c r="Q11" i="4" s="1"/>
  <c r="L10" i="4"/>
  <c r="L11" i="4" s="1"/>
  <c r="R14" i="4"/>
  <c r="M15" i="4" s="1"/>
  <c r="M16" i="4" s="1"/>
  <c r="M20" i="4" s="1"/>
  <c r="J10" i="4"/>
  <c r="J11" i="4" s="1"/>
  <c r="I10" i="4"/>
  <c r="I11" i="4" s="1"/>
  <c r="H10" i="4"/>
  <c r="H11" i="4" s="1"/>
  <c r="N8" i="9" l="1"/>
  <c r="N11" i="9" s="1"/>
  <c r="I6" i="9"/>
  <c r="F25" i="8"/>
  <c r="I8" i="9" s="1"/>
  <c r="F29" i="8"/>
  <c r="F27" i="8"/>
  <c r="I9" i="9" s="1"/>
  <c r="N9" i="9"/>
  <c r="H12" i="5" a="1"/>
  <c r="H12" i="5" s="1"/>
  <c r="H15" i="4"/>
  <c r="H16" i="4" s="1"/>
  <c r="H20" i="4" s="1"/>
  <c r="Q15" i="4"/>
  <c r="Q16" i="4" s="1"/>
  <c r="Q20" i="4" s="1"/>
  <c r="I15" i="4"/>
  <c r="I16" i="4" s="1"/>
  <c r="I20" i="4" s="1"/>
  <c r="O15" i="4"/>
  <c r="O16" i="4" s="1"/>
  <c r="O20" i="4" s="1"/>
  <c r="L15" i="4"/>
  <c r="L16" i="4" s="1"/>
  <c r="L20" i="4" s="1"/>
  <c r="N15" i="4"/>
  <c r="N16" i="4" s="1"/>
  <c r="N20" i="4" s="1"/>
  <c r="J15" i="4"/>
  <c r="J16" i="4" s="1"/>
  <c r="J20" i="4" s="1"/>
  <c r="P15" i="4"/>
  <c r="P16" i="4" s="1"/>
  <c r="P20" i="4" s="1"/>
  <c r="K15" i="4"/>
  <c r="K16" i="4" s="1"/>
  <c r="K20" i="4" s="1"/>
  <c r="L27" i="9" l="1"/>
  <c r="L21" i="9"/>
  <c r="L19" i="9"/>
  <c r="L25" i="9"/>
  <c r="I10" i="9"/>
  <c r="F45" i="8"/>
  <c r="F43" i="8"/>
  <c r="F57" i="8"/>
  <c r="I11" i="9"/>
  <c r="F51" i="8"/>
  <c r="F41" i="8"/>
  <c r="F59" i="8"/>
  <c r="H13" i="5" a="1"/>
  <c r="H13" i="5" s="1"/>
  <c r="I19" i="9" l="1"/>
  <c r="I21" i="9"/>
  <c r="F53" i="8"/>
  <c r="H14" i="5" a="1"/>
  <c r="H14" i="5" s="1"/>
  <c r="H15" i="5" l="1" a="1"/>
  <c r="H15" i="5" s="1"/>
  <c r="H16" i="5" s="1" a="1"/>
  <c r="H16" i="5" s="1"/>
  <c r="H17" i="5" s="1" a="1"/>
  <c r="H17" i="5" s="1"/>
  <c r="H18" i="5" s="1" a="1"/>
  <c r="H18" i="5" s="1"/>
  <c r="H19" i="5" s="1" a="1"/>
  <c r="H19" i="5" s="1"/>
  <c r="H20" i="5" s="1" a="1"/>
  <c r="H20" i="5" s="1"/>
  <c r="H21" i="5" s="1" a="1"/>
  <c r="H21" i="5" s="1"/>
  <c r="H22" i="5" s="1" a="1"/>
  <c r="H22" i="5" s="1"/>
  <c r="H23" i="5" s="1" a="1"/>
  <c r="H23" i="5" s="1"/>
  <c r="H24" i="5" s="1" a="1"/>
  <c r="H24" i="5" s="1"/>
  <c r="H25" i="5" s="1" a="1"/>
  <c r="H25" i="5" s="1"/>
  <c r="F15" i="3" l="1"/>
  <c r="F13" i="3"/>
  <c r="F11" i="3"/>
  <c r="Q13" i="3"/>
  <c r="K25" i="2"/>
  <c r="B25" i="2"/>
  <c r="C25" i="2" s="1"/>
  <c r="A25" i="2"/>
  <c r="K24" i="2"/>
  <c r="B24" i="2"/>
  <c r="C24" i="2" s="1"/>
  <c r="A24" i="2"/>
  <c r="K23" i="2"/>
  <c r="B23" i="2"/>
  <c r="C23" i="2" s="1"/>
  <c r="A23" i="2"/>
  <c r="K22" i="2"/>
  <c r="K21" i="2"/>
  <c r="K20" i="2"/>
  <c r="K19" i="2"/>
  <c r="K18" i="2"/>
  <c r="K17" i="2"/>
  <c r="K16" i="2"/>
  <c r="K15" i="2"/>
  <c r="K14" i="2"/>
  <c r="K13" i="2"/>
  <c r="K12" i="2"/>
  <c r="K11" i="2"/>
  <c r="K10" i="2"/>
  <c r="K9" i="2"/>
  <c r="K8" i="2"/>
  <c r="K7" i="2"/>
  <c r="G14" i="1"/>
  <c r="F9" i="8"/>
  <c r="G12" i="1"/>
  <c r="A19" i="2" l="1"/>
  <c r="A12" i="2"/>
  <c r="A11" i="2"/>
  <c r="Q15" i="3"/>
  <c r="B8" i="2"/>
  <c r="B10" i="2"/>
  <c r="A15" i="2"/>
  <c r="A17" i="2"/>
  <c r="A9" i="2"/>
  <c r="B12" i="2"/>
  <c r="C12" i="2" s="1"/>
  <c r="B18" i="2"/>
  <c r="B13" i="2"/>
  <c r="A14" i="2"/>
  <c r="B20" i="2"/>
  <c r="B19" i="2"/>
  <c r="C19" i="2" s="1"/>
  <c r="B21" i="2"/>
  <c r="B16" i="2"/>
  <c r="B22" i="2"/>
  <c r="A10" i="2"/>
  <c r="A8" i="2"/>
  <c r="B15" i="2"/>
  <c r="C15" i="2" s="1"/>
  <c r="B7" i="2"/>
  <c r="B9" i="2"/>
  <c r="B14" i="2"/>
  <c r="B11" i="2"/>
  <c r="A16" i="2"/>
  <c r="A18" i="2"/>
  <c r="A20" i="2"/>
  <c r="A22" i="2"/>
  <c r="A13" i="2"/>
  <c r="A21" i="2"/>
  <c r="A7" i="2"/>
  <c r="B17" i="2"/>
  <c r="C17" i="2" s="1"/>
  <c r="C18" i="2" l="1"/>
  <c r="C11" i="2"/>
  <c r="C10" i="2"/>
  <c r="C20" i="2"/>
  <c r="C16" i="2"/>
  <c r="C21" i="2"/>
  <c r="C22" i="2"/>
  <c r="C8" i="2"/>
  <c r="C9" i="2"/>
  <c r="C13" i="2"/>
  <c r="C7" i="2"/>
  <c r="C14" i="2"/>
  <c r="N10" i="2" l="1"/>
  <c r="K5" i="3" s="1"/>
  <c r="N14" i="2"/>
  <c r="O5" i="3" s="1"/>
  <c r="N11" i="2"/>
  <c r="L5" i="3" s="1"/>
  <c r="N15" i="2"/>
  <c r="P5" i="3" s="1"/>
  <c r="N12" i="2"/>
  <c r="M5" i="3" s="1"/>
  <c r="N13" i="2"/>
  <c r="N5" i="3" s="1"/>
  <c r="N7" i="2"/>
  <c r="J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<sst xmlns="http://schemas.openxmlformats.org/spreadsheetml/2006/main" count="324" uniqueCount="202">
  <si>
    <t>MARKET SIZE AND PROFIT POOL ANALYSIS</t>
  </si>
  <si>
    <t>MARKET SIZE AVAILABLE</t>
  </si>
  <si>
    <r>
      <rPr>
        <b/>
        <sz val="16"/>
        <color rgb="FF000000"/>
        <rFont val="Calibri"/>
        <family val="2"/>
      </rPr>
      <t xml:space="preserve">WHY
</t>
    </r>
    <r>
      <rPr>
        <sz val="10"/>
        <color rgb="FF000000"/>
        <rFont val="Calibri"/>
        <family val="2"/>
      </rPr>
      <t xml:space="preserve">Setting targets precedes strategy formulation. Market size and profitability are the only viable context within which the business can set targets and develop strategies.
</t>
    </r>
    <r>
      <rPr>
        <b/>
        <sz val="16"/>
        <color rgb="FF000000"/>
        <rFont val="Calibri"/>
        <family val="2"/>
      </rPr>
      <t xml:space="preserve">WHAT
</t>
    </r>
    <r>
      <rPr>
        <sz val="10"/>
        <color rgb="FF000000"/>
        <rFont val="Calibri"/>
        <family val="2"/>
      </rPr>
      <t xml:space="preserve">Determine the size of the market in terms of total size and total profit pool.
</t>
    </r>
    <r>
      <rPr>
        <b/>
        <sz val="16"/>
        <color rgb="FF000000"/>
        <rFont val="Calibri"/>
        <family val="2"/>
      </rPr>
      <t xml:space="preserve">HOW
</t>
    </r>
    <r>
      <rPr>
        <sz val="10"/>
        <color rgb="FF000000"/>
        <rFont val="Calibri"/>
        <family val="2"/>
      </rPr>
      <t>1. Define the number of customers who are potential buyers for your product and service.
2. Determine how many products or services they buy per year.
3. Determine the average price they pay per product/ service.
4. The multiplication of the above 3 variables will give you the size of the market.
5. Multiply by your average gross margin %.
6. This will provide you with the overall profit pool in the market.</t>
    </r>
  </si>
  <si>
    <t>Total Number of Customers</t>
  </si>
  <si>
    <t>Average Spending per Customer</t>
  </si>
  <si>
    <t>Average Number of Purchases per Year</t>
  </si>
  <si>
    <t>Gross Profit Margin (%)</t>
  </si>
  <si>
    <t>Market Size</t>
  </si>
  <si>
    <t xml:space="preserve"> </t>
  </si>
  <si>
    <t>Profit Pool</t>
  </si>
  <si>
    <t>Next</t>
  </si>
  <si>
    <t>Driving Forces Brainstorm</t>
  </si>
  <si>
    <t>Optional tool in case you seek geographical expansion</t>
  </si>
  <si>
    <t>MARKET ATTRACTIVENESS INDEX</t>
  </si>
  <si>
    <t>Averaged numbers from base country</t>
  </si>
  <si>
    <t>Country 1</t>
  </si>
  <si>
    <t>Country 2</t>
  </si>
  <si>
    <t>Country 3</t>
  </si>
  <si>
    <t>Country 4</t>
  </si>
  <si>
    <t>Country 5</t>
  </si>
  <si>
    <t>Country 6</t>
  </si>
  <si>
    <t>Country 7</t>
  </si>
  <si>
    <t>Country 8</t>
  </si>
  <si>
    <t>Country 9</t>
  </si>
  <si>
    <t>Country 10</t>
  </si>
  <si>
    <t>The model provides a combination of the market reality and your own assessment of the strategic relevance of the country. It is a good starting point to evaluate alternative directions for expansion</t>
  </si>
  <si>
    <t>Sales per person - USD</t>
  </si>
  <si>
    <t>population "000</t>
  </si>
  <si>
    <t xml:space="preserve">profit per person USD </t>
  </si>
  <si>
    <t>market size adjustment</t>
  </si>
  <si>
    <t>Do calculations for one BASE country - sales per person and profit per person - E6 and E7</t>
  </si>
  <si>
    <t>Size and profitability adjustment</t>
  </si>
  <si>
    <t>Market size '000</t>
  </si>
  <si>
    <t>Choose the counties for which you want to perform the analyses and input population in row 6</t>
  </si>
  <si>
    <t>average adjustment</t>
  </si>
  <si>
    <t>Much better compared to base</t>
  </si>
  <si>
    <t>market size index (-3 to +3)</t>
  </si>
  <si>
    <t>Adjust the market size per country in row 8 in accordance with the scoring mechanism</t>
  </si>
  <si>
    <t>better than base</t>
  </si>
  <si>
    <t>Adjust the profit pool per country  in row 13  per country according to the scoring adjustment</t>
  </si>
  <si>
    <t>same</t>
  </si>
  <si>
    <t>Profit pool adjustment</t>
  </si>
  <si>
    <t>Determine the country attractiveness index (-3 - +3) in row 18</t>
  </si>
  <si>
    <t>worse than base</t>
  </si>
  <si>
    <t>Profit pool '000</t>
  </si>
  <si>
    <t>row 19 automatically calculates the country attractiveness index</t>
  </si>
  <si>
    <t>much worse than base</t>
  </si>
  <si>
    <t>profit  size index (-3 to +3)</t>
  </si>
  <si>
    <t>Final score is automatically calculated in row 20</t>
  </si>
  <si>
    <t>Country attractiveness adjustment</t>
  </si>
  <si>
    <t>country attractiveness</t>
  </si>
  <si>
    <t>Please only work on the BLUE cells</t>
  </si>
  <si>
    <t>very attractive</t>
  </si>
  <si>
    <t>attractive</t>
  </si>
  <si>
    <t>Overall attractiveness index</t>
  </si>
  <si>
    <t>neutral</t>
  </si>
  <si>
    <t>not attractive</t>
  </si>
  <si>
    <t>very unattractive</t>
  </si>
  <si>
    <t>DRIVING FORCES ANALYSIS</t>
  </si>
  <si>
    <t>DRIVING FORCES BRAINSTORM</t>
  </si>
  <si>
    <t>TOP DIRIVING FORCES</t>
  </si>
  <si>
    <t>Rank</t>
  </si>
  <si>
    <r>
      <rPr>
        <b/>
        <sz val="16"/>
        <color theme="1"/>
        <rFont val="Calibri"/>
        <family val="2"/>
        <scheme val="minor"/>
      </rPr>
      <t>WHY</t>
    </r>
    <r>
      <rPr>
        <sz val="10"/>
        <color theme="1"/>
        <rFont val="Calibri"/>
        <family val="2"/>
        <scheme val="minor"/>
      </rPr>
      <t xml:space="preserve">
So the ability to predict the future is the ability to understand the driving forces. This tool will help you determine what are the forces in the environment that are going to have an impact on these numbers over the next three, four years.
</t>
    </r>
    <r>
      <rPr>
        <b/>
        <sz val="16"/>
        <color theme="1"/>
        <rFont val="Calibri"/>
        <family val="2"/>
        <scheme val="minor"/>
      </rPr>
      <t>WHAT</t>
    </r>
    <r>
      <rPr>
        <sz val="10"/>
        <color theme="1"/>
        <rFont val="Calibri"/>
        <family val="2"/>
        <scheme val="minor"/>
      </rPr>
      <t xml:space="preserve">
Identify and describe the main driving forces today that will determine the changes in your industry in the next 3 years.
</t>
    </r>
    <r>
      <rPr>
        <b/>
        <sz val="16"/>
        <color theme="1"/>
        <rFont val="Calibri"/>
        <family val="2"/>
        <scheme val="minor"/>
      </rPr>
      <t>HOW</t>
    </r>
    <r>
      <rPr>
        <sz val="10"/>
        <color theme="1"/>
        <rFont val="Calibri"/>
        <family val="2"/>
        <scheme val="minor"/>
      </rPr>
      <t xml:space="preserve">
1. Create a list of the driving forces that are visible today.
2. Evaluate their potential impact on the industry
    • 1 - very low impact
    • 5 - very high impact
3. Evaluate the probability of occurence
    • 1 - very low probability
    • 5 - very high probability
</t>
    </r>
    <r>
      <rPr>
        <b/>
        <sz val="16"/>
        <color theme="1"/>
        <rFont val="Calibri"/>
        <family val="2"/>
        <scheme val="minor"/>
      </rPr>
      <t>MISTAKES TO AVOID</t>
    </r>
    <r>
      <rPr>
        <sz val="10"/>
        <color theme="1"/>
        <rFont val="Calibri"/>
        <family val="2"/>
        <scheme val="minor"/>
      </rPr>
      <t xml:space="preserve">
1. Not having the top 3-5 driving forces with biggest impact.
2. Not understanding their impact on the industry.
3. Not eliminating the blind spots that hide some driving forces.
4. Not underestimate the speed and impact of technology.
5. Not interpret correctly the impact on consumer’s behaviour.</t>
    </r>
  </si>
  <si>
    <t>List Driving Forces</t>
  </si>
  <si>
    <r>
      <t xml:space="preserve">Impact
</t>
    </r>
    <r>
      <rPr>
        <b/>
        <sz val="14"/>
        <color rgb="FF000000"/>
        <rFont val="Calibri"/>
        <family val="2"/>
        <scheme val="minor"/>
      </rPr>
      <t>(1-5)</t>
    </r>
  </si>
  <si>
    <r>
      <t xml:space="preserve">Probability
</t>
    </r>
    <r>
      <rPr>
        <b/>
        <sz val="14"/>
        <color rgb="FF000000"/>
        <rFont val="Calibri"/>
        <family val="2"/>
        <scheme val="minor"/>
      </rPr>
      <t>(1-5)</t>
    </r>
  </si>
  <si>
    <t>Score</t>
  </si>
  <si>
    <t>Top 10 Driving Forces</t>
  </si>
  <si>
    <t>Energy price increase</t>
  </si>
  <si>
    <t>Increase in the price of components</t>
  </si>
  <si>
    <t>Launching subsidies and grants</t>
  </si>
  <si>
    <t>Implement ESG in the commercial sector</t>
  </si>
  <si>
    <t>Development of new products</t>
  </si>
  <si>
    <t>Positive changes in legislation</t>
  </si>
  <si>
    <t xml:space="preserve">Customer awareness </t>
  </si>
  <si>
    <t>Power grid conditions</t>
  </si>
  <si>
    <t>Availability of qualified installers</t>
  </si>
  <si>
    <t>Availability of engineers and designers</t>
  </si>
  <si>
    <t xml:space="preserve">Disproportion between hourly energy prices </t>
  </si>
  <si>
    <t>Quality of components</t>
  </si>
  <si>
    <t xml:space="preserve">Increase in demand for electricity </t>
  </si>
  <si>
    <t>AI</t>
  </si>
  <si>
    <t>Development of new services</t>
  </si>
  <si>
    <t>Cooperation with big 4</t>
  </si>
  <si>
    <t>Back</t>
  </si>
  <si>
    <t>Driving Forces Impact</t>
  </si>
  <si>
    <t>DRIVIGN FORCES IMPACT ANALYSIS</t>
  </si>
  <si>
    <t>DRIVING FORCES IMPACT</t>
  </si>
  <si>
    <r>
      <rPr>
        <b/>
        <sz val="10"/>
        <color rgb="FF000000"/>
        <rFont val="Calibri"/>
        <family val="2"/>
      </rPr>
      <t xml:space="preserve">WHY
</t>
    </r>
    <r>
      <rPr>
        <sz val="10"/>
        <color rgb="FF000000"/>
        <rFont val="Calibri"/>
        <family val="2"/>
      </rPr>
      <t xml:space="preserve">We are creating a strategy not for today, but for the next 3 years
</t>
    </r>
    <r>
      <rPr>
        <b/>
        <sz val="10"/>
        <color rgb="FF000000"/>
        <rFont val="Calibri"/>
        <family val="2"/>
      </rPr>
      <t xml:space="preserve">WHAT
</t>
    </r>
    <r>
      <rPr>
        <sz val="10"/>
        <color rgb="FF000000"/>
        <rFont val="Calibri"/>
        <family val="2"/>
      </rPr>
      <t xml:space="preserve">Understand how the market will change in the next years by estimating the effect of the driving forces on:
1. Number of clients
2. Their spending 
3. Their number of purchases
4. Your gross profit margin
</t>
    </r>
    <r>
      <rPr>
        <b/>
        <sz val="10"/>
        <color rgb="FF000000"/>
        <rFont val="Calibri"/>
        <family val="2"/>
      </rPr>
      <t xml:space="preserve">HOW
</t>
    </r>
    <r>
      <rPr>
        <sz val="10"/>
        <color rgb="FF000000"/>
        <rFont val="Calibri"/>
        <family val="2"/>
      </rPr>
      <t xml:space="preserve">Understand what could be the impact of driving forces on:
1. Insert by what % amount (positive or negative) each driving force will change the four pillars (e.g. average spending will increase by 10%)
</t>
    </r>
  </si>
  <si>
    <t>Customers</t>
  </si>
  <si>
    <t>Segment Brainstorm</t>
  </si>
  <si>
    <t>MARKET SEGMENTATION</t>
  </si>
  <si>
    <t>Segmentation</t>
  </si>
  <si>
    <t xml:space="preserve">Needs brainstorm list </t>
  </si>
  <si>
    <t>Customer need clusters</t>
  </si>
  <si>
    <t>Potential segments</t>
  </si>
  <si>
    <t>The Core Industry Segments</t>
  </si>
  <si>
    <r>
      <rPr>
        <b/>
        <sz val="16"/>
        <color rgb="FF000000"/>
        <rFont val="Calibri"/>
        <scheme val="minor"/>
      </rPr>
      <t xml:space="preserve">WHY
</t>
    </r>
    <r>
      <rPr>
        <sz val="10"/>
        <color rgb="FF000000"/>
        <rFont val="Calibri"/>
        <scheme val="minor"/>
      </rPr>
      <t xml:space="preserve">Segmenting the customers by similar behaviors and needs is a CRITICAL step in the strategic process. This step is critical for the strategy development process and selecting your core customer. </t>
    </r>
    <r>
      <rPr>
        <b/>
        <sz val="16"/>
        <color rgb="FF000000"/>
        <rFont val="Calibri"/>
        <scheme val="minor"/>
      </rPr>
      <t xml:space="preserve"> 
WHAT
</t>
    </r>
    <r>
      <rPr>
        <sz val="10"/>
        <color rgb="FF000000"/>
        <rFont val="Calibri"/>
        <scheme val="minor"/>
      </rPr>
      <t xml:space="preserve">Segmentation is a tool that helps us to select a core consumer for whom to create a clear,  focused, single-minded, and differentiated brand promise. 
</t>
    </r>
    <r>
      <rPr>
        <b/>
        <sz val="16"/>
        <color rgb="FF000000"/>
        <rFont val="Calibri"/>
        <scheme val="minor"/>
      </rPr>
      <t xml:space="preserve">HOW
</t>
    </r>
    <r>
      <rPr>
        <sz val="10"/>
        <color rgb="FF000000"/>
        <rFont val="Calibri"/>
        <scheme val="minor"/>
      </rPr>
      <t xml:space="preserve">1. Brainstorm different needs and behaviors of consumers of products and services in the industry.
2. In column E- try to identify clusters of customers according to shared needs and behaviors. 
3. In column F- further narrow down the clusters until you define the industry's top 5-7 segments. These consumer groups need to be mutually exclusive and collectively exhaustive.
</t>
    </r>
    <r>
      <rPr>
        <b/>
        <sz val="16"/>
        <color rgb="FF000000"/>
        <rFont val="Calibri"/>
        <scheme val="minor"/>
      </rPr>
      <t xml:space="preserve">MISTAKES TO AVOID
</t>
    </r>
    <r>
      <rPr>
        <sz val="10"/>
        <color rgb="FF000000"/>
        <rFont val="Calibri"/>
        <scheme val="minor"/>
      </rPr>
      <t xml:space="preserve">1. Thinking about the company's current customers - forget who you are and evaluate the segment groups in the entire industry.                                                                                                                          2. Ending up with market segments (buckets) that are not covering all possible segments -e.g., they are not exhaustive.
3. Ending up with market segments (buckets) overlapping among each other- e.g., they are not mutually exclusive.                                                                                                                              </t>
    </r>
  </si>
  <si>
    <t xml:space="preserve">Ograniczenie kosztów energii </t>
  </si>
  <si>
    <t xml:space="preserve">Cały rynek </t>
  </si>
  <si>
    <t>Gospodarstwa rolne</t>
  </si>
  <si>
    <t>Potrzeby ESG własne</t>
  </si>
  <si>
    <t xml:space="preserve">Potrzeby ESG </t>
  </si>
  <si>
    <t>Przedsiębiorstwa na taryfie C/B</t>
  </si>
  <si>
    <t xml:space="preserve">Potrzeby ESG łańcucha dostaw </t>
  </si>
  <si>
    <t>Magazyny energii</t>
  </si>
  <si>
    <t>Gospodarstwa domowe</t>
  </si>
  <si>
    <t>Poprawa jakości sieci wewnętrznej</t>
  </si>
  <si>
    <t>Oferta kompleksowa 360</t>
  </si>
  <si>
    <t>Backup - zasilanie awaryjne</t>
  </si>
  <si>
    <t xml:space="preserve">Elektromobilność </t>
  </si>
  <si>
    <t>Przedsiębiorstwa</t>
  </si>
  <si>
    <t>Gminy/Samorządy</t>
  </si>
  <si>
    <t>Klient na usługę 360 - kompleksową</t>
  </si>
  <si>
    <t>Finansowanie</t>
  </si>
  <si>
    <t>Elektromobilność - 360</t>
  </si>
  <si>
    <t>Regulacje</t>
  </si>
  <si>
    <t>Obiekty na taryfie C</t>
  </si>
  <si>
    <t>Możliwości finansowania - dotacje</t>
  </si>
  <si>
    <t>Serwis</t>
  </si>
  <si>
    <t>Możliwości finansowania - SaaS</t>
  </si>
  <si>
    <t>Obiekty na taryfie B</t>
  </si>
  <si>
    <t xml:space="preserve">Czas realizacji mała/duża instalacja </t>
  </si>
  <si>
    <t>Wizerunek</t>
  </si>
  <si>
    <t xml:space="preserve">Farmy </t>
  </si>
  <si>
    <t>Trend</t>
  </si>
  <si>
    <t xml:space="preserve">Regulacje </t>
  </si>
  <si>
    <t>Segment Quantification</t>
  </si>
  <si>
    <t>CUSTOMER SEGMENTS QUANTIFICATION</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</si>
  <si>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quantify the  segment. 
</t>
    </r>
    <r>
      <rPr>
        <b/>
        <sz val="16"/>
        <color theme="1"/>
        <rFont val="Calibri"/>
        <family val="2"/>
        <scheme val="minor"/>
      </rPr>
      <t>HOW</t>
    </r>
    <r>
      <rPr>
        <sz val="10"/>
        <color theme="1"/>
        <rFont val="Calibri"/>
        <family val="2"/>
        <scheme val="minor"/>
      </rPr>
      <t xml:space="preserve">
1. Calculate size and profitability of each segment as % of the market in 3 years
</t>
    </r>
    <r>
      <rPr>
        <b/>
        <sz val="10"/>
        <color theme="1"/>
        <rFont val="Calibri"/>
        <family val="2"/>
        <scheme val="minor"/>
      </rPr>
      <t xml:space="preserve">
</t>
    </r>
    <r>
      <rPr>
        <b/>
        <sz val="16"/>
        <color theme="1"/>
        <rFont val="Calibri"/>
        <family val="2"/>
        <scheme val="minor"/>
      </rPr>
      <t>MISTAKES TO AVOID</t>
    </r>
    <r>
      <rPr>
        <sz val="10"/>
        <color theme="1"/>
        <rFont val="Calibri"/>
        <family val="2"/>
        <scheme val="minor"/>
      </rPr>
      <t xml:space="preserve">
Looking for data accuracy of more than 70%.
Not having information for all segments.
Looking for too much information.
</t>
    </r>
  </si>
  <si>
    <t>Quantify the Segments</t>
  </si>
  <si>
    <t>Total Check</t>
  </si>
  <si>
    <t>% of All Customers</t>
  </si>
  <si>
    <t>% of Total Market Value</t>
  </si>
  <si>
    <t>% of Total Profit Size</t>
  </si>
  <si>
    <t>Segment Size</t>
  </si>
  <si>
    <t>Number of Customers</t>
  </si>
  <si>
    <t>Market size $$$</t>
  </si>
  <si>
    <t>Profit Pool $$$</t>
  </si>
  <si>
    <t>Segment Ranking</t>
  </si>
  <si>
    <t>CUSTOMER SEGMENTS RANKING</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</si>
  <si>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choose you target segment. 
</t>
    </r>
    <r>
      <rPr>
        <b/>
        <sz val="16"/>
        <color theme="1"/>
        <rFont val="Calibri"/>
        <family val="2"/>
        <scheme val="minor"/>
      </rPr>
      <t>HOW</t>
    </r>
    <r>
      <rPr>
        <sz val="10"/>
        <color theme="1"/>
        <rFont val="Calibri"/>
        <family val="2"/>
        <scheme val="minor"/>
      </rPr>
      <t xml:space="preserve">
1. Define weight for each segment ranking factor (from 1 to 5). Feel free to add one more factor.
2. Rank each segment on all factors (from 1 to 5): Size; Profitability; Trend (Is it going up or down?); Fit (How close is each segment to the current activities [products and services] that we offer today?)
    • 1 - very low 
    • 5 - very high 
</t>
    </r>
    <r>
      <rPr>
        <b/>
        <sz val="16"/>
        <color theme="1"/>
        <rFont val="Calibri"/>
        <family val="2"/>
        <scheme val="minor"/>
      </rPr>
      <t>MISTAKES TO AVOID</t>
    </r>
    <r>
      <rPr>
        <sz val="10"/>
        <color theme="1"/>
        <rFont val="Calibri"/>
        <family val="2"/>
        <scheme val="minor"/>
      </rPr>
      <t xml:space="preserve">
Not saying NO to as many segments as possible.
Selected segments are not on a growth trajectory.
Focusing only on the segments you currently know.</t>
    </r>
  </si>
  <si>
    <t>Weight of each Pillar (1-5)</t>
  </si>
  <si>
    <t>Fit with strategy</t>
  </si>
  <si>
    <t>Score of each Pillar per Segment (1-5)</t>
  </si>
  <si>
    <t>Segments</t>
  </si>
  <si>
    <t>Sumproduct?</t>
  </si>
  <si>
    <t>Repetative values?</t>
  </si>
  <si>
    <t>Descending ranking?</t>
  </si>
  <si>
    <t>Final ranking</t>
  </si>
  <si>
    <t xml:space="preserve">Next </t>
  </si>
  <si>
    <t>Segmentation Summary</t>
  </si>
  <si>
    <t>MARKET SUMMARY</t>
  </si>
  <si>
    <t>Market Summary</t>
  </si>
  <si>
    <t>Total Market</t>
  </si>
  <si>
    <t>REVIEW:</t>
  </si>
  <si>
    <t>Segment Summary</t>
  </si>
  <si>
    <t>Core Segment</t>
  </si>
  <si>
    <t>Secondary Segment</t>
  </si>
  <si>
    <t>Total Target Segment Market</t>
  </si>
  <si>
    <t>Target Setting</t>
  </si>
  <si>
    <t>Total Target Summary</t>
  </si>
  <si>
    <t>3-year Target</t>
  </si>
  <si>
    <t>Sales</t>
  </si>
  <si>
    <t>Profit</t>
  </si>
  <si>
    <t>1-year Target</t>
  </si>
  <si>
    <t>Next Step</t>
  </si>
  <si>
    <t>Segment Needs</t>
  </si>
  <si>
    <t>TARGET SETTING</t>
  </si>
  <si>
    <t>Core and Secondary Target</t>
  </si>
  <si>
    <r>
      <rPr>
        <b/>
        <sz val="16"/>
        <color rgb="FF000000"/>
        <rFont val="Calibri"/>
        <family val="2"/>
      </rPr>
      <t xml:space="preserve">WHAT
</t>
    </r>
    <r>
      <rPr>
        <sz val="10"/>
        <color rgb="FF000000"/>
        <rFont val="Calibri"/>
        <family val="2"/>
      </rPr>
      <t xml:space="preserve">Determine the 3-5 year goals of the company on the basis of MARKET share and PROFIT POOL share. Target setting is a personal exercise and cannot be dictated by tools, formulas or consultants.
</t>
    </r>
    <r>
      <rPr>
        <b/>
        <sz val="16"/>
        <color rgb="FF000000"/>
        <rFont val="Calibri"/>
        <family val="2"/>
      </rPr>
      <t xml:space="preserve">HOW
</t>
    </r>
    <r>
      <rPr>
        <sz val="10"/>
        <color rgb="FF000000"/>
        <rFont val="Calibri"/>
        <family val="2"/>
      </rPr>
      <t>1. Describe your CORE (and if applicable - also secondary) TARGET market.
2. Write down the size and profitability of your target segment in 3-5 years. 
3. Set target market share and PROFIT target of the target segment.
4. Combine steps 2 and 3 to determine the overall size of the target market and the profit pool</t>
    </r>
  </si>
  <si>
    <t>Target Segments</t>
  </si>
  <si>
    <t>Average annual spending</t>
  </si>
  <si>
    <t>Target Sales Share</t>
  </si>
  <si>
    <t>Target Profit Share</t>
  </si>
  <si>
    <r>
      <rPr>
        <b/>
        <sz val="16"/>
        <color theme="1"/>
        <rFont val="Calibri"/>
        <family val="2"/>
        <scheme val="minor"/>
      </rPr>
      <t>WHAT</t>
    </r>
    <r>
      <rPr>
        <sz val="10"/>
        <color theme="1"/>
        <rFont val="Calibri"/>
        <family val="2"/>
        <scheme val="minor"/>
      </rPr>
      <t xml:space="preserve">
Break down your 3 year goals into 1 year steps to make the achievement of the big goal easier.
</t>
    </r>
    <r>
      <rPr>
        <b/>
        <sz val="16"/>
        <color theme="1"/>
        <rFont val="Calibri"/>
        <family val="2"/>
        <scheme val="minor"/>
      </rPr>
      <t>WHY</t>
    </r>
    <r>
      <rPr>
        <sz val="10"/>
        <color theme="1"/>
        <rFont val="Calibri"/>
        <family val="2"/>
        <scheme val="minor"/>
      </rPr>
      <t xml:space="preserve">
A tool that helps you to define your 1 year goals
</t>
    </r>
    <r>
      <rPr>
        <b/>
        <sz val="16"/>
        <color theme="1"/>
        <rFont val="Calibri"/>
        <family val="2"/>
        <scheme val="minor"/>
      </rPr>
      <t>HOW</t>
    </r>
    <r>
      <rPr>
        <sz val="10"/>
        <color theme="1"/>
        <rFont val="Calibri"/>
        <family val="2"/>
        <scheme val="minor"/>
      </rPr>
      <t xml:space="preserve">
1. Write down your 3 year goals
2. Break down the 3-year market share and profit share targets by defining what you would like to achieve next year
3. Define another 5 1-year targets that are aligned with your 3-year plan
4.Put numbers for each target</t>
    </r>
  </si>
  <si>
    <t>3-year target</t>
  </si>
  <si>
    <t>Total Sales Share Target</t>
  </si>
  <si>
    <t>Total Profit Share Target</t>
  </si>
  <si>
    <t>1-year target</t>
  </si>
  <si>
    <t>[%]</t>
  </si>
  <si>
    <t>[Number]</t>
  </si>
  <si>
    <t>Sales Share</t>
  </si>
  <si>
    <t>Profit Share</t>
  </si>
  <si>
    <t>Additional Target [text]</t>
  </si>
  <si>
    <t>Additional Target [value]</t>
  </si>
  <si>
    <t>Core Segment Needs</t>
  </si>
  <si>
    <t>Core customer Needs</t>
  </si>
  <si>
    <t>CORE SEGMENT NAME:…</t>
  </si>
  <si>
    <t>Describe the Segment</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</si>
  <si>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</si>
  <si>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List Segment Needs</t>
  </si>
  <si>
    <r>
      <t xml:space="preserve">Importance
</t>
    </r>
    <r>
      <rPr>
        <b/>
        <sz val="14"/>
        <color theme="0"/>
        <rFont val="Calibri"/>
        <family val="2"/>
        <scheme val="minor"/>
      </rPr>
      <t>(1-5)</t>
    </r>
  </si>
  <si>
    <r>
      <t xml:space="preserve">Size???
</t>
    </r>
    <r>
      <rPr>
        <b/>
        <sz val="14"/>
        <color theme="0"/>
        <rFont val="Calibri"/>
        <family val="2"/>
        <scheme val="minor"/>
      </rPr>
      <t>(1-5)</t>
    </r>
  </si>
  <si>
    <t>Top Needs</t>
  </si>
  <si>
    <t>Secondary Segment Needs</t>
  </si>
  <si>
    <t>Customer Needs</t>
  </si>
  <si>
    <t>SECONDARY SEGMENT NAME:…</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</si>
  <si>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</si>
  <si>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Segment Needs Summary</t>
  </si>
  <si>
    <t>Core and Secondary Segment Needs Summary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</si>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</sst>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_(* #,##0_);_(* \(#,##0\);_(* &quot;-&quot;??_);_(@_)"/>
    <numFmt numFmtId="167" formatCode="_(&quot;$&quot;* #,##0_);_(&quot;$&quot;* \(#,##0\);_(&quot;$&quot;* &quot;-&quot;??_);_(@_)"/>
    <numFmt numFmtId="168" formatCode="_([$$-409]* #,##0_);_([$$-409]* \(#,##0\);_([$$-409]* &quot;-&quot;??_);_(@_)"/>
    <numFmt numFmtId="169" formatCode="_(* #,##0.000000000_);_(* \(#,##0.000000000\);_(* &quot;-&quot;??_);_(@_)"/>
    <numFmt numFmtId="170" formatCode="_-[$$-409]* #,##0_ ;_-[$$-409]* \-#,##0\ ;_-[$$-409]* &quot;-&quot;??_ ;_-@_ "/>
    <numFmt numFmtId="171" formatCode="_([$€-2]\ * #,##0_);_([$€-2]\ * \(#,##0\);_([$€-2]\ * &quot;-&quot;??_);_(@_)"/>
    <numFmt numFmtId="172" formatCode="_([$€-2]\ * #,##0.00_);_([$€-2]\ * \(#,##0.00\);_([$€-2]\ * &quot;-&quot;??_);_(@_)"/>
  </numFmts>
  <fonts count="73">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charset val="204"/>
      <scheme val="minor"/>
    </font>
    <font>
      <b/>
      <sz val="36"/>
      <color theme="0"/>
      <name val="Calibri"/>
      <family val="2"/>
      <scheme val="minor"/>
    </font>
    <font>
      <sz val="10"/>
      <color theme="1"/>
      <name val="Calibri"/>
      <family val="2"/>
      <scheme val="minor"/>
    </font>
    <font>
      <b/>
      <sz val="16"/>
      <color theme="1"/>
      <name val="Calibri"/>
      <family val="2"/>
      <scheme val="minor"/>
    </font>
    <font>
      <sz val="20"/>
      <color theme="1"/>
      <name val="Calibri"/>
      <family val="2"/>
      <charset val="204"/>
      <scheme val="minor"/>
    </font>
    <font>
      <sz val="24"/>
      <color theme="1"/>
      <name val="Calibri"/>
      <family val="2"/>
      <charset val="204"/>
      <scheme val="minor"/>
    </font>
    <font>
      <b/>
      <sz val="24"/>
      <color theme="1"/>
      <name val="Calibri"/>
      <family val="2"/>
      <scheme val="minor"/>
    </font>
    <font>
      <b/>
      <sz val="28"/>
      <color theme="1"/>
      <name val="Calibri"/>
      <family val="2"/>
      <scheme val="minor"/>
    </font>
    <font>
      <b/>
      <i/>
      <sz val="14"/>
      <color theme="0"/>
      <name val="Calibri"/>
      <family val="2"/>
      <scheme val="minor"/>
    </font>
    <font>
      <b/>
      <i/>
      <sz val="18"/>
      <color theme="1"/>
      <name val="Calibri"/>
      <family val="2"/>
      <scheme val="minor"/>
    </font>
    <font>
      <sz val="11"/>
      <name val="Calibri"/>
      <family val="2"/>
      <scheme val="minor"/>
    </font>
    <font>
      <b/>
      <sz val="20"/>
      <color theme="0"/>
      <name val="Calibri"/>
      <family val="2"/>
      <scheme val="minor"/>
    </font>
    <font>
      <b/>
      <sz val="14"/>
      <color theme="0"/>
      <name val="Calibri"/>
      <family val="2"/>
      <scheme val="minor"/>
    </font>
    <font>
      <sz val="16"/>
      <color theme="0"/>
      <name val="Calibri"/>
      <family val="2"/>
      <scheme val="minor"/>
    </font>
    <font>
      <b/>
      <sz val="22"/>
      <color theme="0"/>
      <name val="Calibri"/>
      <family val="2"/>
      <scheme val="minor"/>
    </font>
    <font>
      <sz val="20"/>
      <color theme="1"/>
      <name val="Calibri"/>
      <family val="2"/>
      <scheme val="minor"/>
    </font>
    <font>
      <b/>
      <sz val="22"/>
      <color theme="1"/>
      <name val="Calibri"/>
      <family val="2"/>
      <scheme val="minor"/>
    </font>
    <font>
      <b/>
      <sz val="18"/>
      <color theme="1"/>
      <name val="Calibri"/>
      <family val="2"/>
      <scheme val="minor"/>
    </font>
    <font>
      <sz val="18"/>
      <color theme="1"/>
      <name val="Calibri"/>
      <family val="2"/>
      <scheme val="minor"/>
    </font>
    <font>
      <b/>
      <sz val="20"/>
      <color theme="1"/>
      <name val="Calibri"/>
      <family val="2"/>
      <scheme val="minor"/>
    </font>
    <font>
      <u/>
      <sz val="14"/>
      <color theme="1"/>
      <name val="Calibri"/>
      <family val="2"/>
      <scheme val="minor"/>
    </font>
    <font>
      <b/>
      <sz val="10"/>
      <color theme="1"/>
      <name val="Calibri"/>
      <family val="2"/>
      <scheme val="minor"/>
    </font>
    <font>
      <sz val="14"/>
      <color theme="1"/>
      <name val="Calibri"/>
      <family val="2"/>
      <charset val="204"/>
      <scheme val="minor"/>
    </font>
    <font>
      <sz val="16"/>
      <color theme="1"/>
      <name val="Calibri"/>
      <family val="2"/>
      <charset val="204"/>
      <scheme val="minor"/>
    </font>
    <font>
      <sz val="26"/>
      <color theme="0"/>
      <name val="Calibri"/>
      <family val="2"/>
      <charset val="204"/>
      <scheme val="minor"/>
    </font>
    <font>
      <i/>
      <sz val="10"/>
      <color theme="1"/>
      <name val="Calibri"/>
      <family val="2"/>
      <scheme val="minor"/>
    </font>
    <font>
      <b/>
      <sz val="12"/>
      <color theme="1"/>
      <name val="Calibri"/>
      <family val="2"/>
      <scheme val="minor"/>
    </font>
    <font>
      <sz val="16"/>
      <color theme="1"/>
      <name val="Calibri"/>
      <family val="2"/>
      <scheme val="minor"/>
    </font>
    <font>
      <b/>
      <sz val="16"/>
      <color theme="0"/>
      <name val="Calibri"/>
      <family val="2"/>
      <scheme val="minor"/>
    </font>
    <font>
      <sz val="12"/>
      <color theme="1"/>
      <name val="Calibri"/>
      <family val="2"/>
      <charset val="204"/>
      <scheme val="minor"/>
    </font>
    <font>
      <sz val="22"/>
      <color theme="1"/>
      <name val="Calibri"/>
      <family val="2"/>
      <charset val="204"/>
      <scheme val="minor"/>
    </font>
    <font>
      <i/>
      <sz val="20"/>
      <color theme="1"/>
      <name val="Calibri"/>
      <family val="2"/>
      <scheme val="minor"/>
    </font>
    <font>
      <sz val="11"/>
      <color theme="0"/>
      <name val="Calibri"/>
      <family val="2"/>
      <charset val="204"/>
      <scheme val="minor"/>
    </font>
    <font>
      <b/>
      <i/>
      <sz val="18"/>
      <name val="Calibri"/>
      <family val="2"/>
      <scheme val="minor"/>
    </font>
    <font>
      <b/>
      <sz val="24"/>
      <color theme="0"/>
      <name val="Calibri"/>
      <family val="2"/>
      <scheme val="minor"/>
    </font>
    <font>
      <sz val="24"/>
      <color theme="1"/>
      <name val="Calibri"/>
      <family val="2"/>
      <scheme val="minor"/>
    </font>
    <font>
      <sz val="22"/>
      <color theme="1"/>
      <name val="Calibri"/>
      <family val="2"/>
      <scheme val="minor"/>
    </font>
    <font>
      <b/>
      <i/>
      <sz val="16"/>
      <name val="Calibri"/>
      <family val="2"/>
      <scheme val="minor"/>
    </font>
    <font>
      <sz val="24"/>
      <name val="Calibri"/>
      <family val="2"/>
      <scheme val="minor"/>
    </font>
    <font>
      <sz val="18"/>
      <color theme="1"/>
      <name val="Calibri"/>
      <family val="2"/>
      <charset val="204"/>
      <scheme val="minor"/>
    </font>
    <font>
      <b/>
      <i/>
      <sz val="26"/>
      <name val="Calibri"/>
      <family val="2"/>
      <scheme val="minor"/>
    </font>
    <font>
      <b/>
      <i/>
      <sz val="14"/>
      <color theme="0" tint="-0.249977111117893"/>
      <name val="Calibri"/>
      <family val="2"/>
      <scheme val="minor"/>
    </font>
    <font>
      <b/>
      <i/>
      <sz val="18"/>
      <color theme="0" tint="-0.249977111117893"/>
      <name val="Calibri"/>
      <family val="2"/>
      <scheme val="minor"/>
    </font>
    <font>
      <b/>
      <sz val="26"/>
      <color theme="1"/>
      <name val="Calibri"/>
      <family val="2"/>
      <scheme val="minor"/>
    </font>
    <font>
      <sz val="11"/>
      <color rgb="FFFFFFFF"/>
      <name val="Calibri"/>
      <family val="2"/>
      <charset val="204"/>
      <scheme val="minor"/>
    </font>
    <font>
      <b/>
      <sz val="16"/>
      <color rgb="FF000000"/>
      <name val="Calibri"/>
      <family val="2"/>
    </font>
    <font>
      <sz val="10"/>
      <color rgb="FF000000"/>
      <name val="Calibri"/>
      <family val="2"/>
    </font>
    <font>
      <sz val="16"/>
      <color rgb="FF000000"/>
      <name val="Calibri"/>
      <family val="2"/>
    </font>
    <font>
      <i/>
      <sz val="20"/>
      <color rgb="FF000000"/>
      <name val="Calibri"/>
      <family val="2"/>
    </font>
    <font>
      <sz val="11"/>
      <color rgb="FF000000"/>
      <name val="Calibri"/>
      <family val="2"/>
      <charset val="204"/>
    </font>
    <font>
      <b/>
      <sz val="20"/>
      <color rgb="FF000000"/>
      <name val="Calibri"/>
      <family val="2"/>
      <scheme val="minor"/>
    </font>
    <font>
      <b/>
      <sz val="14"/>
      <color rgb="FF000000"/>
      <name val="Calibri"/>
      <family val="2"/>
      <scheme val="minor"/>
    </font>
    <font>
      <b/>
      <sz val="10"/>
      <color rgb="FF000000"/>
      <name val="Calibri"/>
      <family val="2"/>
    </font>
    <font>
      <sz val="18"/>
      <color rgb="FFFF0000"/>
      <name val="Calibri"/>
      <family val="2"/>
      <charset val="204"/>
    </font>
    <font>
      <i/>
      <sz val="16"/>
      <name val="Calibri"/>
      <family val="2"/>
      <scheme val="minor"/>
    </font>
    <font>
      <sz val="22"/>
      <color theme="1"/>
      <name val="Arial BLACK"/>
      <family val="2"/>
    </font>
    <font>
      <sz val="10"/>
      <name val="Calibri"/>
      <family val="2"/>
      <scheme val="minor"/>
    </font>
    <font>
      <sz val="10"/>
      <color theme="0"/>
      <name val="Arial black"/>
      <family val="2"/>
    </font>
    <font>
      <b/>
      <sz val="10"/>
      <color theme="0"/>
      <name val="Calibri"/>
      <family val="2"/>
      <scheme val="minor"/>
    </font>
    <font>
      <sz val="10"/>
      <color theme="1"/>
      <name val="Calibri"/>
      <family val="2"/>
      <charset val="204"/>
      <scheme val="minor"/>
    </font>
    <font>
      <sz val="14"/>
      <color theme="0"/>
      <name val="Arial black"/>
      <family val="2"/>
    </font>
    <font>
      <u/>
      <sz val="14"/>
      <color theme="0"/>
      <name val="Calibri"/>
      <family val="2"/>
      <scheme val="minor"/>
    </font>
    <font>
      <sz val="11"/>
      <color theme="0"/>
      <name val="Calibri"/>
      <family val="2"/>
      <scheme val="minor"/>
    </font>
    <font>
      <sz val="24"/>
      <color theme="1"/>
      <name val="Arial BLACK"/>
      <family val="2"/>
    </font>
    <font>
      <b/>
      <sz val="20"/>
      <color theme="0"/>
      <name val="Calibri"/>
      <family val="2"/>
    </font>
    <font>
      <sz val="20"/>
      <color rgb="FF000000"/>
      <name val="Calibri"/>
      <family val="2"/>
    </font>
    <font>
      <sz val="16"/>
      <color rgb="FF000000"/>
      <name val="Calibri"/>
      <family val="2"/>
      <charset val="204"/>
    </font>
    <font>
      <b/>
      <sz val="16"/>
      <color rgb="FF000000"/>
      <name val="Calibri"/>
      <scheme val="minor"/>
    </font>
    <font>
      <sz val="10"/>
      <color rgb="FF000000"/>
      <name val="Calibri"/>
      <scheme val="minor"/>
    </font>
  </fonts>
  <fills count="20">
    <fill>
      <patternFill patternType="none"/>
    </fill>
    <fill>
      <patternFill patternType="gray125"/>
    </fill>
    <fill>
      <patternFill patternType="solid">
        <fgColor theme="1"/>
        <bgColor indexed="64"/>
      </patternFill>
    </fill>
    <fill>
      <gradientFill degree="90">
        <stop position="0">
          <color theme="0" tint="-5.0965910824915313E-2"/>
        </stop>
        <stop position="1">
          <color theme="0" tint="-0.1490218817712943"/>
        </stop>
      </gradientFill>
    </fill>
    <fill>
      <patternFill patternType="solid">
        <fgColor theme="8" tint="0.79998168889431442"/>
        <bgColor indexed="64"/>
      </patternFill>
    </fill>
    <fill>
      <patternFill patternType="solid">
        <fgColor rgb="FFFFF469"/>
        <bgColor indexed="64"/>
      </patternFill>
    </fill>
    <fill>
      <gradientFill degree="90">
        <stop position="0">
          <color rgb="FF00B050"/>
        </stop>
        <stop position="1">
          <color theme="9" tint="-0.25098422193060094"/>
        </stop>
      </gradientFill>
    </fill>
    <fill>
      <patternFill patternType="solid">
        <fgColor theme="0" tint="-0.499984740745262"/>
        <bgColor indexed="64"/>
      </patternFill>
    </fill>
    <fill>
      <patternFill patternType="solid">
        <fgColor rgb="FFFF3300"/>
        <bgColor indexed="64"/>
      </patternFill>
    </fill>
    <fill>
      <gradientFill degree="90">
        <stop position="0">
          <color theme="0" tint="-0.1490218817712943"/>
        </stop>
        <stop position="1">
          <color theme="0" tint="-0.34900967436750391"/>
        </stop>
      </gradient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gradientFill degree="90">
        <stop position="0">
          <color theme="0" tint="-0.1490218817712943"/>
        </stop>
        <stop position="1">
          <color theme="0" tint="-0.25098422193060094"/>
        </stop>
      </gradientFill>
    </fill>
    <fill>
      <patternFill patternType="solid">
        <fgColor rgb="FF000000"/>
        <bgColor indexed="64"/>
      </patternFill>
    </fill>
    <fill>
      <patternFill patternType="solid">
        <fgColor rgb="FFDDEBF7"/>
        <bgColor rgb="FF000000"/>
      </patternFill>
    </fill>
    <fill>
      <patternFill patternType="solid">
        <fgColor rgb="FFFFFFFF"/>
        <bgColor indexed="64"/>
      </patternFill>
    </fill>
    <fill>
      <patternFill patternType="solid">
        <fgColor rgb="FFFFFFFF"/>
        <bgColor rgb="FF000000"/>
      </patternFill>
    </fill>
    <fill>
      <patternFill patternType="solid">
        <fgColor theme="0"/>
        <bgColor indexed="64"/>
      </patternFill>
    </fill>
    <fill>
      <patternFill patternType="solid">
        <fgColor theme="0"/>
        <bgColor auto="1"/>
      </patternFill>
    </fill>
  </fills>
  <borders count="50">
    <border>
      <left/>
      <right/>
      <top/>
      <bottom/>
      <diagonal/>
    </border>
    <border>
      <left/>
      <right/>
      <top style="thin">
        <color theme="4"/>
      </top>
      <bottom style="double">
        <color theme="4"/>
      </bottom>
      <diagonal/>
    </border>
    <border>
      <left style="thin">
        <color theme="0" tint="-0.14999847407452621"/>
      </left>
      <right/>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medium">
        <color indexed="64"/>
      </left>
      <right/>
      <top style="medium">
        <color indexed="64"/>
      </top>
      <bottom/>
      <diagonal/>
    </border>
    <border>
      <left/>
      <right/>
      <top style="medium">
        <color indexed="64"/>
      </top>
      <bottom/>
      <diagonal/>
    </border>
    <border>
      <left style="medium">
        <color theme="0" tint="-0.14999847407452621"/>
      </left>
      <right style="medium">
        <color theme="0" tint="-0.14999847407452621"/>
      </right>
      <top style="medium">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style="medium">
        <color indexed="64"/>
      </left>
      <right/>
      <top/>
      <bottom/>
      <diagonal/>
    </border>
    <border>
      <left style="medium">
        <color theme="0" tint="-0.14999847407452621"/>
      </left>
      <right style="medium">
        <color theme="0" tint="-0.14999847407452621"/>
      </right>
      <top style="medium">
        <color indexed="64"/>
      </top>
      <bottom style="thin">
        <color indexed="64"/>
      </bottom>
      <diagonal/>
    </border>
    <border>
      <left style="thin">
        <color theme="0"/>
      </left>
      <right style="thin">
        <color theme="0"/>
      </right>
      <top style="thin">
        <color theme="0"/>
      </top>
      <bottom style="thin">
        <color theme="0"/>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medium">
        <color theme="0" tint="-0.14999847407452621"/>
      </left>
      <right style="medium">
        <color theme="0" tint="-0.14999847407452621"/>
      </right>
      <top style="thin">
        <color indexed="64"/>
      </top>
      <bottom style="thin">
        <color indexed="64"/>
      </bottom>
      <diagonal/>
    </border>
    <border>
      <left/>
      <right style="thin">
        <color theme="0" tint="-0.14999847407452621"/>
      </right>
      <top/>
      <bottom style="thin">
        <color theme="0" tint="-0.14999847407452621"/>
      </bottom>
      <diagonal/>
    </border>
    <border>
      <left style="medium">
        <color theme="0" tint="-0.14999847407452621"/>
      </left>
      <right style="medium">
        <color theme="0" tint="-0.14999847407452621"/>
      </right>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0"/>
      </left>
      <right style="thin">
        <color theme="0"/>
      </right>
      <top/>
      <bottom style="thin">
        <color theme="0"/>
      </bottom>
      <diagonal/>
    </border>
    <border>
      <left/>
      <right/>
      <top/>
      <bottom style="thin">
        <color theme="2"/>
      </bottom>
      <diagonal/>
    </border>
    <border>
      <left/>
      <right/>
      <top style="thin">
        <color theme="2"/>
      </top>
      <bottom/>
      <diagonal/>
    </border>
    <border>
      <left style="thin">
        <color rgb="FF000000"/>
      </left>
      <right style="thin">
        <color rgb="FF000000"/>
      </right>
      <top style="thin">
        <color rgb="FF000000"/>
      </top>
      <bottom style="thin">
        <color rgb="FF000000"/>
      </bottom>
      <diagonal/>
    </border>
    <border>
      <left style="medium">
        <color theme="0" tint="-0.14999847407452621"/>
      </left>
      <right/>
      <top style="medium">
        <color theme="0" tint="-0.14999847407452621"/>
      </top>
      <bottom/>
      <diagonal/>
    </border>
    <border>
      <left style="medium">
        <color theme="0" tint="-0.14999847407452621"/>
      </left>
      <right/>
      <top style="medium">
        <color indexed="64"/>
      </top>
      <bottom style="thin">
        <color indexed="64"/>
      </bottom>
      <diagonal/>
    </border>
    <border>
      <left style="medium">
        <color theme="0" tint="-0.14999847407452621"/>
      </left>
      <right/>
      <top style="thin">
        <color indexed="64"/>
      </top>
      <bottom style="thin">
        <color indexed="64"/>
      </bottom>
      <diagonal/>
    </border>
    <border>
      <left style="medium">
        <color theme="0" tint="-0.14999847407452621"/>
      </left>
      <right/>
      <top/>
      <bottom style="thin">
        <color indexed="64"/>
      </bottom>
      <diagonal/>
    </border>
    <border>
      <left/>
      <right style="thin">
        <color indexed="64"/>
      </right>
      <top/>
      <bottom/>
      <diagonal/>
    </border>
    <border>
      <left/>
      <right/>
      <top/>
      <bottom style="thin">
        <color rgb="FF000000"/>
      </bottom>
      <diagonal/>
    </border>
    <border>
      <left/>
      <right style="thin">
        <color rgb="FF000000"/>
      </right>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s>
  <cellStyleXfs count="9">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cellStyleXfs>
  <cellXfs count="301">
    <xf numFmtId="0" fontId="0" fillId="0" borderId="0" xfId="0"/>
    <xf numFmtId="0" fontId="4" fillId="0" borderId="0" xfId="6"/>
    <xf numFmtId="0" fontId="8" fillId="0" borderId="3" xfId="6" applyFont="1" applyBorder="1"/>
    <xf numFmtId="166" fontId="9" fillId="4" borderId="4" xfId="1" applyNumberFormat="1" applyFont="1" applyFill="1" applyBorder="1" applyProtection="1">
      <protection locked="0"/>
    </xf>
    <xf numFmtId="0" fontId="8" fillId="0" borderId="5" xfId="6" applyFont="1" applyBorder="1"/>
    <xf numFmtId="0" fontId="9" fillId="4" borderId="4" xfId="6" applyFont="1" applyFill="1" applyBorder="1" applyProtection="1">
      <protection locked="0"/>
    </xf>
    <xf numFmtId="9" fontId="9" fillId="4" borderId="4" xfId="6" applyNumberFormat="1" applyFont="1" applyFill="1" applyBorder="1" applyProtection="1">
      <protection locked="0"/>
    </xf>
    <xf numFmtId="0" fontId="10" fillId="5" borderId="0" xfId="6" applyFont="1" applyFill="1" applyAlignment="1">
      <alignment vertical="center"/>
    </xf>
    <xf numFmtId="0" fontId="10" fillId="5" borderId="0" xfId="6" applyFont="1" applyFill="1" applyAlignment="1">
      <alignment horizontal="left" vertical="center"/>
    </xf>
    <xf numFmtId="0" fontId="12" fillId="2" borderId="4" xfId="0" applyFont="1" applyFill="1" applyBorder="1" applyAlignment="1">
      <alignment horizontal="right"/>
    </xf>
    <xf numFmtId="0" fontId="14" fillId="0" borderId="0" xfId="0" applyFont="1"/>
    <xf numFmtId="0" fontId="5" fillId="2" borderId="0" xfId="0" applyFont="1" applyFill="1"/>
    <xf numFmtId="0" fontId="14" fillId="0" borderId="9" xfId="0" applyFont="1" applyBorder="1"/>
    <xf numFmtId="0" fontId="14" fillId="0" borderId="10" xfId="0" applyFont="1" applyBorder="1"/>
    <xf numFmtId="0" fontId="14" fillId="0" borderId="11" xfId="0" applyFont="1" applyBorder="1"/>
    <xf numFmtId="0" fontId="15" fillId="7" borderId="0" xfId="0" applyFont="1" applyFill="1" applyAlignment="1">
      <alignment horizontal="left" vertical="top"/>
    </xf>
    <xf numFmtId="0" fontId="15" fillId="7" borderId="12" xfId="0" applyFont="1" applyFill="1" applyBorder="1" applyAlignment="1">
      <alignment horizontal="left" vertical="top"/>
    </xf>
    <xf numFmtId="0" fontId="15" fillId="7" borderId="12" xfId="0" applyFont="1" applyFill="1" applyBorder="1" applyAlignment="1">
      <alignment horizontal="left" vertical="top" wrapText="1"/>
    </xf>
    <xf numFmtId="0" fontId="17" fillId="2" borderId="13" xfId="0" applyFont="1" applyFill="1" applyBorder="1"/>
    <xf numFmtId="0" fontId="14" fillId="0" borderId="14" xfId="0" applyFont="1" applyBorder="1"/>
    <xf numFmtId="0" fontId="14" fillId="0" borderId="15" xfId="0" applyFont="1" applyBorder="1"/>
    <xf numFmtId="0" fontId="19" fillId="4" borderId="16" xfId="0" applyFont="1" applyFill="1" applyBorder="1" applyProtection="1">
      <protection locked="0"/>
    </xf>
    <xf numFmtId="0" fontId="14" fillId="0" borderId="19" xfId="0" applyFont="1" applyBorder="1"/>
    <xf numFmtId="0" fontId="21" fillId="0" borderId="20" xfId="0" applyFont="1" applyBorder="1" applyAlignment="1">
      <alignment horizontal="center"/>
    </xf>
    <xf numFmtId="0" fontId="14" fillId="0" borderId="21" xfId="0" applyFont="1" applyBorder="1"/>
    <xf numFmtId="0" fontId="22" fillId="0" borderId="0" xfId="0" applyFont="1"/>
    <xf numFmtId="0" fontId="21" fillId="0" borderId="0" xfId="0" applyFont="1" applyAlignment="1">
      <alignment horizontal="center"/>
    </xf>
    <xf numFmtId="0" fontId="23" fillId="0" borderId="0" xfId="0" applyFont="1" applyAlignment="1">
      <alignment horizontal="left" vertical="center"/>
    </xf>
    <xf numFmtId="0" fontId="0" fillId="0" borderId="0" xfId="0" applyAlignment="1">
      <alignment horizontal="left"/>
    </xf>
    <xf numFmtId="0" fontId="4" fillId="0" borderId="0" xfId="6" applyAlignment="1">
      <alignment horizontal="left"/>
    </xf>
    <xf numFmtId="0" fontId="26" fillId="10" borderId="16" xfId="6" applyFont="1" applyFill="1" applyBorder="1" applyAlignment="1">
      <alignment horizontal="left" vertical="top" wrapText="1"/>
    </xf>
    <xf numFmtId="9" fontId="27" fillId="4" borderId="16" xfId="3" applyFont="1" applyFill="1" applyBorder="1" applyProtection="1">
      <protection locked="0"/>
    </xf>
    <xf numFmtId="9" fontId="4" fillId="0" borderId="0" xfId="3" applyFont="1" applyBorder="1"/>
    <xf numFmtId="3" fontId="4" fillId="0" borderId="0" xfId="6" applyNumberFormat="1"/>
    <xf numFmtId="3" fontId="4" fillId="0" borderId="0" xfId="6" applyNumberFormat="1" applyProtection="1">
      <protection locked="0"/>
    </xf>
    <xf numFmtId="3" fontId="28" fillId="2" borderId="0" xfId="6" applyNumberFormat="1" applyFont="1" applyFill="1"/>
    <xf numFmtId="3" fontId="2" fillId="10" borderId="9" xfId="6" applyNumberFormat="1" applyFont="1" applyFill="1" applyBorder="1"/>
    <xf numFmtId="3" fontId="2" fillId="10" borderId="10" xfId="6" applyNumberFormat="1" applyFont="1" applyFill="1" applyBorder="1"/>
    <xf numFmtId="3" fontId="2" fillId="10" borderId="22" xfId="6" applyNumberFormat="1" applyFont="1" applyFill="1" applyBorder="1"/>
    <xf numFmtId="3" fontId="1" fillId="11" borderId="23" xfId="6" applyNumberFormat="1" applyFont="1" applyFill="1" applyBorder="1"/>
    <xf numFmtId="3" fontId="1" fillId="11" borderId="24" xfId="6" applyNumberFormat="1" applyFont="1" applyFill="1" applyBorder="1"/>
    <xf numFmtId="3" fontId="4" fillId="0" borderId="14" xfId="6" applyNumberFormat="1" applyBorder="1"/>
    <xf numFmtId="3" fontId="4" fillId="0" borderId="25" xfId="6" applyNumberFormat="1" applyBorder="1"/>
    <xf numFmtId="168" fontId="4" fillId="12" borderId="25" xfId="6" applyNumberFormat="1" applyFill="1" applyBorder="1" applyProtection="1">
      <protection locked="0"/>
    </xf>
    <xf numFmtId="3" fontId="4" fillId="12" borderId="27" xfId="6" applyNumberFormat="1" applyFill="1" applyBorder="1" applyProtection="1">
      <protection locked="0"/>
    </xf>
    <xf numFmtId="3" fontId="4" fillId="12" borderId="28" xfId="6" applyNumberFormat="1" applyFill="1" applyBorder="1" applyProtection="1">
      <protection locked="0"/>
    </xf>
    <xf numFmtId="168" fontId="4" fillId="12" borderId="31" xfId="2" applyNumberFormat="1" applyFont="1" applyFill="1" applyBorder="1" applyProtection="1">
      <protection locked="0"/>
    </xf>
    <xf numFmtId="9" fontId="0" fillId="12" borderId="0" xfId="7" applyFont="1" applyFill="1" applyBorder="1" applyProtection="1">
      <protection locked="0"/>
    </xf>
    <xf numFmtId="9" fontId="0" fillId="12" borderId="25" xfId="7" applyFont="1" applyFill="1" applyBorder="1" applyProtection="1">
      <protection locked="0"/>
    </xf>
    <xf numFmtId="3" fontId="2" fillId="11" borderId="0" xfId="6" applyNumberFormat="1" applyFont="1" applyFill="1" applyProtection="1">
      <protection locked="0"/>
    </xf>
    <xf numFmtId="3" fontId="4" fillId="11" borderId="0" xfId="6" applyNumberFormat="1" applyFill="1" applyProtection="1">
      <protection locked="0"/>
    </xf>
    <xf numFmtId="9" fontId="4" fillId="0" borderId="0" xfId="6" applyNumberFormat="1"/>
    <xf numFmtId="9" fontId="4" fillId="0" borderId="25" xfId="6" applyNumberFormat="1" applyBorder="1"/>
    <xf numFmtId="9" fontId="0" fillId="0" borderId="25" xfId="7" applyFont="1" applyBorder="1" applyProtection="1"/>
    <xf numFmtId="3" fontId="4" fillId="0" borderId="27" xfId="6" applyNumberFormat="1" applyBorder="1" applyAlignment="1">
      <alignment horizontal="right"/>
    </xf>
    <xf numFmtId="3" fontId="4" fillId="0" borderId="28" xfId="6" applyNumberFormat="1" applyBorder="1" applyAlignment="1">
      <alignment horizontal="right"/>
    </xf>
    <xf numFmtId="9" fontId="0" fillId="0" borderId="31" xfId="7" applyFont="1" applyBorder="1" applyProtection="1"/>
    <xf numFmtId="3" fontId="2" fillId="11" borderId="27" xfId="6" applyNumberFormat="1" applyFont="1" applyFill="1" applyBorder="1" applyProtection="1">
      <protection locked="0"/>
    </xf>
    <xf numFmtId="3" fontId="29" fillId="11" borderId="0" xfId="6" applyNumberFormat="1" applyFont="1" applyFill="1" applyProtection="1">
      <protection locked="0"/>
    </xf>
    <xf numFmtId="3" fontId="2" fillId="0" borderId="33" xfId="6" applyNumberFormat="1" applyFont="1" applyBorder="1"/>
    <xf numFmtId="3" fontId="2" fillId="0" borderId="34" xfId="6" applyNumberFormat="1" applyFont="1" applyBorder="1"/>
    <xf numFmtId="3" fontId="4" fillId="0" borderId="31" xfId="6" applyNumberFormat="1" applyBorder="1"/>
    <xf numFmtId="0" fontId="15" fillId="7" borderId="0" xfId="0" applyFont="1" applyFill="1" applyAlignment="1">
      <alignment horizontal="left" vertical="top" wrapText="1"/>
    </xf>
    <xf numFmtId="0" fontId="31" fillId="4" borderId="16" xfId="0" applyFont="1" applyFill="1" applyBorder="1" applyProtection="1">
      <protection locked="0"/>
    </xf>
    <xf numFmtId="0" fontId="19" fillId="4" borderId="0" xfId="0" applyFont="1" applyFill="1"/>
    <xf numFmtId="0" fontId="13" fillId="6" borderId="3" xfId="5" applyFont="1" applyFill="1" applyBorder="1" applyAlignment="1">
      <alignment horizontal="left"/>
    </xf>
    <xf numFmtId="0" fontId="13" fillId="6" borderId="8" xfId="5" applyFont="1" applyFill="1" applyBorder="1" applyAlignment="1">
      <alignment horizontal="left"/>
    </xf>
    <xf numFmtId="0" fontId="5" fillId="2" borderId="0" xfId="0" applyFont="1" applyFill="1" applyAlignment="1">
      <alignment horizontal="left"/>
    </xf>
    <xf numFmtId="0" fontId="15" fillId="7" borderId="0" xfId="6" applyFont="1" applyFill="1"/>
    <xf numFmtId="0" fontId="32" fillId="7" borderId="0" xfId="6" applyFont="1" applyFill="1"/>
    <xf numFmtId="0" fontId="26" fillId="10" borderId="35" xfId="6" applyFont="1" applyFill="1" applyBorder="1" applyAlignment="1">
      <alignment horizontal="left" vertical="top" wrapText="1"/>
    </xf>
    <xf numFmtId="0" fontId="26" fillId="10" borderId="35" xfId="6" applyFont="1" applyFill="1" applyBorder="1" applyAlignment="1">
      <alignment horizontal="right" wrapText="1"/>
    </xf>
    <xf numFmtId="9" fontId="33" fillId="0" borderId="5" xfId="3" applyFont="1" applyBorder="1" applyAlignment="1"/>
    <xf numFmtId="166" fontId="27" fillId="0" borderId="5" xfId="1" applyNumberFormat="1" applyFont="1" applyBorder="1" applyAlignment="1"/>
    <xf numFmtId="167" fontId="27" fillId="0" borderId="5" xfId="2" applyNumberFormat="1" applyFont="1" applyBorder="1" applyAlignment="1"/>
    <xf numFmtId="0" fontId="13" fillId="9" borderId="0" xfId="5" applyFont="1" applyFill="1" applyBorder="1" applyAlignment="1">
      <alignment horizontal="left"/>
    </xf>
    <xf numFmtId="0" fontId="13" fillId="6" borderId="0" xfId="5" applyFont="1" applyFill="1" applyBorder="1" applyAlignment="1">
      <alignment horizontal="left"/>
    </xf>
    <xf numFmtId="2" fontId="0" fillId="0" borderId="0" xfId="0" applyNumberFormat="1"/>
    <xf numFmtId="0" fontId="8" fillId="0" borderId="0" xfId="6" applyFont="1"/>
    <xf numFmtId="0" fontId="34" fillId="4" borderId="16" xfId="1" applyNumberFormat="1" applyFont="1" applyFill="1" applyBorder="1" applyAlignment="1" applyProtection="1">
      <alignment horizontal="center"/>
      <protection locked="0"/>
    </xf>
    <xf numFmtId="0" fontId="2" fillId="0" borderId="0" xfId="6" applyFont="1"/>
    <xf numFmtId="0" fontId="2" fillId="0" borderId="0" xfId="0" applyFont="1"/>
    <xf numFmtId="0" fontId="34" fillId="4" borderId="16" xfId="1" applyNumberFormat="1" applyFont="1" applyFill="1" applyBorder="1" applyAlignment="1" applyProtection="1">
      <alignment horizontal="left"/>
      <protection locked="0"/>
    </xf>
    <xf numFmtId="0" fontId="35" fillId="4" borderId="0" xfId="6" applyFont="1" applyFill="1" applyAlignment="1">
      <alignment horizontal="left" wrapText="1"/>
    </xf>
    <xf numFmtId="0" fontId="38" fillId="7" borderId="0" xfId="6" applyFont="1" applyFill="1"/>
    <xf numFmtId="0" fontId="39" fillId="0" borderId="0" xfId="6" applyFont="1"/>
    <xf numFmtId="0" fontId="38" fillId="7" borderId="0" xfId="6" applyFont="1" applyFill="1" applyAlignment="1">
      <alignment horizontal="center"/>
    </xf>
    <xf numFmtId="0" fontId="1" fillId="0" borderId="0" xfId="0" applyFont="1"/>
    <xf numFmtId="0" fontId="40" fillId="0" borderId="0" xfId="6" applyFont="1"/>
    <xf numFmtId="0" fontId="41" fillId="13" borderId="0" xfId="5" applyFont="1" applyFill="1" applyBorder="1" applyAlignment="1">
      <alignment horizontal="center" vertical="center" wrapText="1"/>
    </xf>
    <xf numFmtId="0" fontId="42" fillId="0" borderId="0" xfId="6" applyFont="1"/>
    <xf numFmtId="0" fontId="40" fillId="0" borderId="0" xfId="0" applyFont="1"/>
    <xf numFmtId="0" fontId="1" fillId="0" borderId="0" xfId="6" applyFont="1"/>
    <xf numFmtId="0" fontId="43" fillId="0" borderId="0" xfId="6" applyFont="1"/>
    <xf numFmtId="0" fontId="8" fillId="0" borderId="36" xfId="6" applyFont="1" applyBorder="1"/>
    <xf numFmtId="0" fontId="43" fillId="0" borderId="36" xfId="6" applyFont="1" applyBorder="1"/>
    <xf numFmtId="0" fontId="27" fillId="0" borderId="36" xfId="6" applyFont="1" applyBorder="1"/>
    <xf numFmtId="166" fontId="27" fillId="0" borderId="36" xfId="1" applyNumberFormat="1" applyFont="1" applyBorder="1"/>
    <xf numFmtId="166" fontId="27" fillId="0" borderId="0" xfId="1" applyNumberFormat="1" applyFont="1" applyBorder="1"/>
    <xf numFmtId="0" fontId="20" fillId="0" borderId="5" xfId="6" applyFont="1" applyBorder="1" applyAlignment="1">
      <alignment horizontal="left"/>
    </xf>
    <xf numFmtId="0" fontId="40" fillId="0" borderId="5" xfId="6" applyFont="1" applyBorder="1"/>
    <xf numFmtId="0" fontId="4" fillId="0" borderId="0" xfId="6" applyAlignment="1">
      <alignment horizontal="right"/>
    </xf>
    <xf numFmtId="164" fontId="27" fillId="0" borderId="0" xfId="2" applyFont="1"/>
    <xf numFmtId="0" fontId="40" fillId="0" borderId="3" xfId="6" applyFont="1" applyBorder="1"/>
    <xf numFmtId="164" fontId="4" fillId="0" borderId="0" xfId="2" applyFont="1"/>
    <xf numFmtId="0" fontId="8" fillId="0" borderId="0" xfId="6" applyFont="1" applyAlignment="1">
      <alignment horizontal="right"/>
    </xf>
    <xf numFmtId="9" fontId="4" fillId="0" borderId="0" xfId="3" applyFont="1"/>
    <xf numFmtId="0" fontId="34" fillId="0" borderId="0" xfId="6" applyFont="1"/>
    <xf numFmtId="0" fontId="4" fillId="0" borderId="36" xfId="6" applyBorder="1"/>
    <xf numFmtId="0" fontId="21" fillId="0" borderId="36" xfId="0" applyFont="1" applyBorder="1" applyAlignment="1">
      <alignment horizontal="center"/>
    </xf>
    <xf numFmtId="0" fontId="39" fillId="0" borderId="0" xfId="6" applyFont="1" applyAlignment="1">
      <alignment horizontal="left"/>
    </xf>
    <xf numFmtId="0" fontId="40" fillId="0" borderId="0" xfId="6" applyFont="1" applyAlignment="1">
      <alignment horizontal="left"/>
    </xf>
    <xf numFmtId="9" fontId="27" fillId="4" borderId="16" xfId="3" applyFont="1" applyFill="1" applyBorder="1" applyAlignment="1" applyProtection="1">
      <alignment wrapText="1"/>
      <protection locked="0"/>
    </xf>
    <xf numFmtId="0" fontId="53" fillId="0" borderId="0" xfId="0" applyFont="1"/>
    <xf numFmtId="0" fontId="20" fillId="0" borderId="0" xfId="6" applyFont="1" applyAlignment="1">
      <alignment horizontal="left"/>
    </xf>
    <xf numFmtId="9" fontId="10" fillId="4" borderId="0" xfId="3" applyFont="1" applyFill="1" applyBorder="1" applyAlignment="1" applyProtection="1">
      <alignment horizontal="right"/>
      <protection locked="0"/>
    </xf>
    <xf numFmtId="0" fontId="14" fillId="16" borderId="0" xfId="0" applyFont="1" applyFill="1"/>
    <xf numFmtId="0" fontId="4" fillId="16" borderId="0" xfId="6" applyFill="1"/>
    <xf numFmtId="0" fontId="0" fillId="16" borderId="0" xfId="0" applyFill="1"/>
    <xf numFmtId="0" fontId="14" fillId="16" borderId="14" xfId="0" applyFont="1" applyFill="1" applyBorder="1"/>
    <xf numFmtId="0" fontId="22" fillId="16" borderId="0" xfId="0" applyFont="1" applyFill="1"/>
    <xf numFmtId="0" fontId="21" fillId="16" borderId="0" xfId="0" applyFont="1" applyFill="1" applyAlignment="1">
      <alignment horizontal="center"/>
    </xf>
    <xf numFmtId="0" fontId="23" fillId="16" borderId="0" xfId="0" applyFont="1" applyFill="1" applyAlignment="1">
      <alignment horizontal="left" vertical="center"/>
    </xf>
    <xf numFmtId="0" fontId="0" fillId="16" borderId="0" xfId="0" applyFill="1" applyAlignment="1">
      <alignment horizontal="center"/>
    </xf>
    <xf numFmtId="0" fontId="21" fillId="16" borderId="20" xfId="0" applyFont="1" applyFill="1" applyBorder="1" applyAlignment="1">
      <alignment horizontal="center"/>
    </xf>
    <xf numFmtId="0" fontId="17" fillId="16" borderId="13" xfId="0" applyFont="1" applyFill="1" applyBorder="1"/>
    <xf numFmtId="0" fontId="36" fillId="16" borderId="0" xfId="6" applyFont="1" applyFill="1"/>
    <xf numFmtId="0" fontId="8" fillId="16" borderId="5" xfId="6" applyFont="1" applyFill="1" applyBorder="1"/>
    <xf numFmtId="0" fontId="35" fillId="16" borderId="5" xfId="6" applyFont="1" applyFill="1" applyBorder="1" applyProtection="1">
      <protection locked="0"/>
    </xf>
    <xf numFmtId="0" fontId="2" fillId="16" borderId="0" xfId="6" applyFont="1" applyFill="1"/>
    <xf numFmtId="0" fontId="4" fillId="16" borderId="2" xfId="6" applyFill="1" applyBorder="1"/>
    <xf numFmtId="0" fontId="4" fillId="16" borderId="3" xfId="6" applyFill="1" applyBorder="1"/>
    <xf numFmtId="0" fontId="8" fillId="16" borderId="3" xfId="6" applyFont="1" applyFill="1" applyBorder="1"/>
    <xf numFmtId="0" fontId="0" fillId="16" borderId="0" xfId="0" applyFill="1" applyAlignment="1">
      <alignment horizontal="left"/>
    </xf>
    <xf numFmtId="0" fontId="4" fillId="16" borderId="0" xfId="6" applyFill="1" applyAlignment="1">
      <alignment horizontal="left"/>
    </xf>
    <xf numFmtId="0" fontId="20" fillId="16" borderId="0" xfId="6" applyFont="1" applyFill="1"/>
    <xf numFmtId="3" fontId="4" fillId="16" borderId="0" xfId="6" applyNumberFormat="1" applyFill="1" applyProtection="1">
      <protection locked="0"/>
    </xf>
    <xf numFmtId="3" fontId="4" fillId="16" borderId="0" xfId="6" applyNumberFormat="1" applyFill="1"/>
    <xf numFmtId="3" fontId="2" fillId="16" borderId="0" xfId="6" applyNumberFormat="1" applyFont="1" applyFill="1" applyProtection="1">
      <protection locked="0"/>
    </xf>
    <xf numFmtId="3" fontId="4" fillId="16" borderId="9" xfId="6" applyNumberFormat="1" applyFill="1" applyBorder="1"/>
    <xf numFmtId="3" fontId="4" fillId="16" borderId="14" xfId="6" applyNumberFormat="1" applyFill="1" applyBorder="1"/>
    <xf numFmtId="3" fontId="4" fillId="16" borderId="26" xfId="6" applyNumberFormat="1" applyFill="1" applyBorder="1" applyAlignment="1">
      <alignment horizontal="right"/>
    </xf>
    <xf numFmtId="3" fontId="4" fillId="16" borderId="14" xfId="6" applyNumberFormat="1" applyFill="1" applyBorder="1" applyAlignment="1">
      <alignment horizontal="right"/>
    </xf>
    <xf numFmtId="3" fontId="2" fillId="16" borderId="32" xfId="6" applyNumberFormat="1" applyFont="1" applyFill="1" applyBorder="1" applyAlignment="1">
      <alignment horizontal="right"/>
    </xf>
    <xf numFmtId="166" fontId="0" fillId="16" borderId="0" xfId="8" applyNumberFormat="1" applyFont="1" applyFill="1" applyProtection="1"/>
    <xf numFmtId="3" fontId="4" fillId="16" borderId="29" xfId="6" applyNumberFormat="1" applyFill="1" applyBorder="1"/>
    <xf numFmtId="3" fontId="4" fillId="16" borderId="30" xfId="6" applyNumberFormat="1" applyFill="1" applyBorder="1"/>
    <xf numFmtId="170" fontId="30" fillId="16" borderId="0" xfId="4" applyNumberFormat="1" applyFont="1" applyFill="1" applyBorder="1"/>
    <xf numFmtId="0" fontId="0" fillId="16" borderId="0" xfId="7" applyNumberFormat="1" applyFont="1" applyFill="1" applyProtection="1">
      <protection locked="0"/>
    </xf>
    <xf numFmtId="169" fontId="0" fillId="16" borderId="0" xfId="8" applyNumberFormat="1" applyFont="1" applyFill="1" applyProtection="1"/>
    <xf numFmtId="0" fontId="57" fillId="17" borderId="0" xfId="0" applyFont="1" applyFill="1"/>
    <xf numFmtId="172" fontId="9" fillId="4" borderId="6" xfId="2" applyNumberFormat="1" applyFont="1" applyFill="1" applyBorder="1" applyProtection="1">
      <protection locked="0"/>
    </xf>
    <xf numFmtId="0" fontId="54" fillId="16" borderId="12" xfId="0" applyFont="1" applyFill="1" applyBorder="1" applyAlignment="1">
      <alignment vertical="center"/>
    </xf>
    <xf numFmtId="0" fontId="54" fillId="16" borderId="12" xfId="0" applyFont="1" applyFill="1" applyBorder="1" applyAlignment="1">
      <alignment vertical="center" wrapText="1"/>
    </xf>
    <xf numFmtId="0" fontId="4" fillId="2" borderId="0" xfId="6" applyFill="1"/>
    <xf numFmtId="0" fontId="15" fillId="7" borderId="12" xfId="0" applyFont="1" applyFill="1" applyBorder="1" applyAlignment="1">
      <alignment horizontal="left" vertical="center"/>
    </xf>
    <xf numFmtId="0" fontId="15" fillId="7" borderId="12" xfId="0" applyFont="1" applyFill="1" applyBorder="1" applyAlignment="1">
      <alignment horizontal="left" vertical="center" wrapText="1"/>
    </xf>
    <xf numFmtId="0" fontId="4" fillId="18" borderId="0" xfId="6" applyFill="1"/>
    <xf numFmtId="0" fontId="0" fillId="16" borderId="27" xfId="0" applyFill="1" applyBorder="1"/>
    <xf numFmtId="0" fontId="4" fillId="16" borderId="27" xfId="6" applyFill="1" applyBorder="1"/>
    <xf numFmtId="0" fontId="14" fillId="0" borderId="39" xfId="0" applyFont="1" applyBorder="1"/>
    <xf numFmtId="0" fontId="14" fillId="0" borderId="40" xfId="0" applyFont="1" applyBorder="1"/>
    <xf numFmtId="0" fontId="14" fillId="0" borderId="41" xfId="0" applyFont="1" applyBorder="1"/>
    <xf numFmtId="0" fontId="14" fillId="16" borderId="42" xfId="0" applyFont="1" applyFill="1" applyBorder="1"/>
    <xf numFmtId="0" fontId="0" fillId="18" borderId="43" xfId="0" applyFill="1" applyBorder="1"/>
    <xf numFmtId="0" fontId="4" fillId="18" borderId="43" xfId="6" applyFill="1" applyBorder="1"/>
    <xf numFmtId="0" fontId="14" fillId="18" borderId="43" xfId="0" applyFont="1" applyFill="1" applyBorder="1"/>
    <xf numFmtId="0" fontId="59" fillId="16" borderId="27" xfId="0" applyFont="1" applyFill="1" applyBorder="1"/>
    <xf numFmtId="0" fontId="60" fillId="0" borderId="0" xfId="0" applyFont="1" applyAlignment="1">
      <alignment vertical="center"/>
    </xf>
    <xf numFmtId="0" fontId="60" fillId="18" borderId="43" xfId="0" applyFont="1" applyFill="1" applyBorder="1" applyAlignment="1">
      <alignment vertical="center"/>
    </xf>
    <xf numFmtId="0" fontId="60" fillId="16" borderId="0" xfId="0" applyFont="1" applyFill="1" applyAlignment="1">
      <alignment vertical="center"/>
    </xf>
    <xf numFmtId="0" fontId="62" fillId="2" borderId="38" xfId="0" applyFont="1" applyFill="1" applyBorder="1" applyAlignment="1">
      <alignment vertical="center"/>
    </xf>
    <xf numFmtId="0" fontId="62" fillId="2" borderId="0" xfId="0" applyFont="1" applyFill="1" applyAlignment="1">
      <alignment vertical="center"/>
    </xf>
    <xf numFmtId="0" fontId="62" fillId="16" borderId="0" xfId="0" applyFont="1" applyFill="1" applyAlignment="1">
      <alignment vertical="center"/>
    </xf>
    <xf numFmtId="0" fontId="6" fillId="16" borderId="0" xfId="0" applyFont="1" applyFill="1" applyAlignment="1">
      <alignment vertical="center"/>
    </xf>
    <xf numFmtId="0" fontId="63" fillId="16" borderId="0" xfId="6" applyFont="1" applyFill="1" applyAlignment="1">
      <alignment vertical="center"/>
    </xf>
    <xf numFmtId="0" fontId="64" fillId="2" borderId="38" xfId="0" applyFont="1" applyFill="1" applyBorder="1" applyAlignment="1">
      <alignment vertical="center"/>
    </xf>
    <xf numFmtId="0" fontId="64" fillId="2" borderId="0" xfId="0" applyFont="1" applyFill="1" applyAlignment="1">
      <alignment vertical="center"/>
    </xf>
    <xf numFmtId="0" fontId="61" fillId="2" borderId="0" xfId="0" applyFont="1" applyFill="1" applyAlignment="1">
      <alignment vertical="center"/>
    </xf>
    <xf numFmtId="0" fontId="4" fillId="18" borderId="7" xfId="6" applyFill="1" applyBorder="1"/>
    <xf numFmtId="0" fontId="12" fillId="18" borderId="0" xfId="0" applyFont="1" applyFill="1" applyAlignment="1">
      <alignment horizontal="right"/>
    </xf>
    <xf numFmtId="0" fontId="66" fillId="18" borderId="0" xfId="0" applyFont="1" applyFill="1"/>
    <xf numFmtId="0" fontId="66" fillId="18" borderId="0" xfId="6" applyFont="1" applyFill="1"/>
    <xf numFmtId="0" fontId="0" fillId="16" borderId="43" xfId="0" applyFill="1" applyBorder="1"/>
    <xf numFmtId="0" fontId="4" fillId="16" borderId="43" xfId="6" applyFill="1" applyBorder="1"/>
    <xf numFmtId="0" fontId="67" fillId="16" borderId="27" xfId="0" applyFont="1" applyFill="1" applyBorder="1"/>
    <xf numFmtId="0" fontId="0" fillId="16" borderId="44" xfId="0" applyFill="1" applyBorder="1"/>
    <xf numFmtId="0" fontId="4" fillId="16" borderId="44" xfId="6" applyFill="1" applyBorder="1"/>
    <xf numFmtId="0" fontId="0" fillId="16" borderId="45" xfId="0" applyFill="1" applyBorder="1"/>
    <xf numFmtId="0" fontId="4" fillId="16" borderId="45" xfId="6" applyFill="1" applyBorder="1"/>
    <xf numFmtId="0" fontId="0" fillId="0" borderId="45" xfId="0" applyBorder="1"/>
    <xf numFmtId="0" fontId="23" fillId="0" borderId="5" xfId="6" applyFont="1" applyBorder="1" applyAlignment="1">
      <alignment horizontal="left"/>
    </xf>
    <xf numFmtId="0" fontId="23" fillId="0" borderId="3" xfId="6" applyFont="1" applyBorder="1" applyAlignment="1">
      <alignment horizontal="left"/>
    </xf>
    <xf numFmtId="0" fontId="0" fillId="18" borderId="0" xfId="0" applyFill="1"/>
    <xf numFmtId="0" fontId="4" fillId="18" borderId="3" xfId="6" applyFill="1" applyBorder="1"/>
    <xf numFmtId="0" fontId="45" fillId="18" borderId="0" xfId="6" applyFont="1" applyFill="1"/>
    <xf numFmtId="0" fontId="4" fillId="18" borderId="5" xfId="6" applyFill="1" applyBorder="1"/>
    <xf numFmtId="0" fontId="46" fillId="18" borderId="0" xfId="6" applyFont="1" applyFill="1"/>
    <xf numFmtId="0" fontId="45" fillId="18" borderId="36" xfId="6" applyFont="1" applyFill="1" applyBorder="1"/>
    <xf numFmtId="0" fontId="4" fillId="18" borderId="36" xfId="6" applyFill="1" applyBorder="1"/>
    <xf numFmtId="0" fontId="69" fillId="15" borderId="46" xfId="0" applyFont="1" applyFill="1" applyBorder="1"/>
    <xf numFmtId="0" fontId="69" fillId="15" borderId="47" xfId="0" applyFont="1" applyFill="1" applyBorder="1"/>
    <xf numFmtId="0" fontId="69" fillId="15" borderId="48" xfId="0" applyFont="1" applyFill="1" applyBorder="1"/>
    <xf numFmtId="0" fontId="69" fillId="15" borderId="49" xfId="0" applyFont="1" applyFill="1" applyBorder="1"/>
    <xf numFmtId="0" fontId="69" fillId="15" borderId="48" xfId="0" applyFont="1" applyFill="1" applyBorder="1" applyAlignment="1">
      <alignment wrapText="1"/>
    </xf>
    <xf numFmtId="9" fontId="70" fillId="15" borderId="46" xfId="0" applyNumberFormat="1" applyFont="1" applyFill="1" applyBorder="1" applyAlignment="1">
      <alignment wrapText="1"/>
    </xf>
    <xf numFmtId="9" fontId="70" fillId="15" borderId="47" xfId="0" applyNumberFormat="1" applyFont="1" applyFill="1" applyBorder="1" applyAlignment="1">
      <alignment wrapText="1"/>
    </xf>
    <xf numFmtId="9" fontId="70" fillId="15" borderId="47" xfId="0" applyNumberFormat="1" applyFont="1" applyFill="1" applyBorder="1"/>
    <xf numFmtId="9" fontId="70" fillId="15" borderId="48" xfId="0" applyNumberFormat="1" applyFont="1" applyFill="1" applyBorder="1"/>
    <xf numFmtId="9" fontId="70" fillId="15" borderId="49" xfId="0" applyNumberFormat="1" applyFont="1" applyFill="1" applyBorder="1"/>
    <xf numFmtId="0" fontId="68" fillId="2" borderId="0" xfId="6" applyFont="1" applyFill="1" applyAlignment="1">
      <alignment horizontal="left"/>
    </xf>
    <xf numFmtId="0" fontId="50" fillId="3" borderId="0" xfId="6" applyFont="1" applyFill="1" applyAlignment="1">
      <alignment horizontal="left" vertical="top" wrapText="1"/>
    </xf>
    <xf numFmtId="0" fontId="6" fillId="3" borderId="0" xfId="6" applyFont="1" applyFill="1" applyAlignment="1">
      <alignment horizontal="left" vertical="top" wrapText="1"/>
    </xf>
    <xf numFmtId="171" fontId="11" fillId="5" borderId="0" xfId="2" applyNumberFormat="1" applyFont="1" applyFill="1" applyBorder="1" applyAlignment="1">
      <alignment vertical="center"/>
    </xf>
    <xf numFmtId="0" fontId="24" fillId="6" borderId="3" xfId="5" applyFont="1" applyFill="1" applyBorder="1" applyAlignment="1">
      <alignment horizontal="left"/>
    </xf>
    <xf numFmtId="0" fontId="24" fillId="6" borderId="8" xfId="5" applyFont="1" applyFill="1" applyBorder="1" applyAlignment="1">
      <alignment horizontal="left"/>
    </xf>
    <xf numFmtId="3" fontId="2" fillId="10" borderId="0" xfId="6" applyNumberFormat="1" applyFont="1" applyFill="1" applyAlignment="1" applyProtection="1">
      <alignment horizontal="left" vertical="center" wrapText="1"/>
      <protection locked="0"/>
    </xf>
    <xf numFmtId="0" fontId="6" fillId="3" borderId="0" xfId="0" applyFont="1" applyFill="1" applyAlignment="1">
      <alignment horizontal="left" vertical="top" wrapText="1"/>
    </xf>
    <xf numFmtId="0" fontId="24" fillId="9" borderId="3" xfId="5" applyFont="1" applyFill="1" applyBorder="1" applyAlignment="1">
      <alignment horizontal="left"/>
    </xf>
    <xf numFmtId="0" fontId="24" fillId="9" borderId="8" xfId="5" applyFont="1" applyFill="1" applyBorder="1" applyAlignment="1">
      <alignment horizontal="left"/>
    </xf>
    <xf numFmtId="0" fontId="18" fillId="16" borderId="0" xfId="0" applyFont="1" applyFill="1" applyAlignment="1">
      <alignment horizontal="left" vertical="top"/>
    </xf>
    <xf numFmtId="0" fontId="10" fillId="16" borderId="0" xfId="0" applyFont="1" applyFill="1" applyAlignment="1">
      <alignment horizontal="center" vertical="center"/>
    </xf>
    <xf numFmtId="0" fontId="10" fillId="16" borderId="5" xfId="0" applyFont="1" applyFill="1" applyBorder="1" applyAlignment="1">
      <alignment horizontal="center" vertical="center"/>
    </xf>
    <xf numFmtId="0" fontId="20" fillId="8" borderId="7" xfId="0" applyFont="1" applyFill="1" applyBorder="1" applyAlignment="1">
      <alignment horizontal="left" wrapText="1"/>
    </xf>
    <xf numFmtId="0" fontId="20" fillId="8" borderId="17" xfId="0" applyFont="1" applyFill="1" applyBorder="1" applyAlignment="1">
      <alignment horizontal="left" wrapText="1"/>
    </xf>
    <xf numFmtId="0" fontId="20" fillId="8" borderId="18" xfId="0" applyFont="1" applyFill="1" applyBorder="1" applyAlignment="1">
      <alignment horizontal="left" wrapText="1"/>
    </xf>
    <xf numFmtId="0" fontId="20" fillId="8" borderId="6" xfId="0" applyFont="1" applyFill="1" applyBorder="1" applyAlignment="1">
      <alignment horizontal="left" wrapText="1"/>
    </xf>
    <xf numFmtId="0" fontId="20" fillId="8" borderId="5" xfId="0" applyFont="1" applyFill="1" applyBorder="1" applyAlignment="1">
      <alignment horizontal="left" wrapText="1"/>
    </xf>
    <xf numFmtId="0" fontId="20" fillId="8" borderId="20" xfId="0" applyFont="1" applyFill="1" applyBorder="1" applyAlignment="1">
      <alignment horizontal="left" wrapText="1"/>
    </xf>
    <xf numFmtId="0" fontId="19" fillId="5" borderId="5" xfId="0" applyFont="1" applyFill="1" applyBorder="1" applyAlignment="1">
      <alignment horizontal="left"/>
    </xf>
    <xf numFmtId="166" fontId="11" fillId="5" borderId="0" xfId="1" applyNumberFormat="1" applyFont="1" applyFill="1" applyBorder="1" applyAlignment="1">
      <alignment horizontal="center"/>
    </xf>
    <xf numFmtId="167" fontId="11" fillId="5" borderId="0" xfId="2" applyNumberFormat="1" applyFont="1" applyFill="1" applyBorder="1" applyAlignment="1">
      <alignment horizontal="center"/>
    </xf>
    <xf numFmtId="0" fontId="65" fillId="19" borderId="0" xfId="5" applyFont="1" applyFill="1" applyBorder="1" applyAlignment="1">
      <alignment horizontal="left"/>
    </xf>
    <xf numFmtId="0" fontId="19" fillId="5" borderId="7" xfId="0" applyFont="1" applyFill="1" applyBorder="1" applyAlignment="1">
      <alignment horizontal="left" wrapText="1"/>
    </xf>
    <xf numFmtId="0" fontId="19" fillId="5" borderId="17" xfId="0" applyFont="1" applyFill="1" applyBorder="1" applyAlignment="1">
      <alignment horizontal="left" wrapText="1"/>
    </xf>
    <xf numFmtId="0" fontId="19" fillId="5" borderId="18" xfId="0" applyFont="1" applyFill="1" applyBorder="1" applyAlignment="1">
      <alignment horizontal="left" wrapText="1"/>
    </xf>
    <xf numFmtId="0" fontId="19" fillId="5" borderId="6" xfId="0" applyFont="1" applyFill="1" applyBorder="1" applyAlignment="1">
      <alignment horizontal="left" wrapText="1"/>
    </xf>
    <xf numFmtId="0" fontId="19" fillId="5" borderId="5" xfId="0" applyFont="1" applyFill="1" applyBorder="1" applyAlignment="1">
      <alignment horizontal="left" wrapText="1"/>
    </xf>
    <xf numFmtId="0" fontId="19" fillId="5" borderId="20" xfId="0" applyFont="1" applyFill="1" applyBorder="1" applyAlignment="1">
      <alignment horizontal="left" wrapText="1"/>
    </xf>
    <xf numFmtId="0" fontId="10" fillId="16" borderId="0" xfId="0" applyFont="1" applyFill="1" applyAlignment="1">
      <alignment horizontal="center"/>
    </xf>
    <xf numFmtId="0" fontId="10" fillId="16" borderId="5" xfId="0" applyFont="1" applyFill="1" applyBorder="1" applyAlignment="1">
      <alignment horizontal="center"/>
    </xf>
    <xf numFmtId="0" fontId="18" fillId="7" borderId="0" xfId="0" applyFont="1" applyFill="1" applyAlignment="1">
      <alignment horizontal="left" vertical="top"/>
    </xf>
    <xf numFmtId="0" fontId="72" fillId="3" borderId="0" xfId="0" applyFont="1" applyFill="1" applyAlignment="1">
      <alignment horizontal="left" vertical="top" wrapText="1"/>
    </xf>
    <xf numFmtId="0" fontId="5" fillId="2" borderId="0" xfId="0" applyFont="1" applyFill="1" applyAlignment="1">
      <alignment horizontal="left"/>
    </xf>
    <xf numFmtId="0" fontId="13" fillId="9" borderId="3" xfId="5" applyFont="1" applyFill="1" applyBorder="1" applyAlignment="1">
      <alignment horizontal="left"/>
    </xf>
    <xf numFmtId="0" fontId="13" fillId="6" borderId="3" xfId="5" applyFont="1" applyFill="1" applyBorder="1" applyAlignment="1">
      <alignment horizontal="left"/>
    </xf>
    <xf numFmtId="0" fontId="37" fillId="6" borderId="3" xfId="5" applyFont="1" applyFill="1" applyBorder="1" applyAlignment="1">
      <alignment horizontal="left"/>
    </xf>
    <xf numFmtId="0" fontId="44" fillId="6" borderId="17" xfId="5" applyFont="1" applyFill="1" applyBorder="1" applyAlignment="1">
      <alignment horizontal="center" vertical="center"/>
    </xf>
    <xf numFmtId="0" fontId="44" fillId="6" borderId="0" xfId="5" applyFont="1" applyFill="1" applyBorder="1" applyAlignment="1">
      <alignment horizontal="center" vertical="center"/>
    </xf>
    <xf numFmtId="0" fontId="44" fillId="6" borderId="5" xfId="5" applyFont="1" applyFill="1" applyBorder="1" applyAlignment="1">
      <alignment horizontal="center" vertical="center"/>
    </xf>
    <xf numFmtId="0" fontId="20" fillId="11" borderId="0" xfId="6" applyFont="1" applyFill="1" applyAlignment="1">
      <alignment vertical="center"/>
    </xf>
    <xf numFmtId="167" fontId="20" fillId="5" borderId="0" xfId="2" applyNumberFormat="1" applyFont="1" applyFill="1" applyBorder="1" applyAlignment="1">
      <alignment horizontal="center"/>
    </xf>
    <xf numFmtId="0" fontId="38" fillId="7" borderId="0" xfId="6" applyFont="1" applyFill="1" applyAlignment="1">
      <alignment horizontal="left"/>
    </xf>
    <xf numFmtId="166" fontId="20" fillId="5" borderId="0" xfId="1" applyNumberFormat="1" applyFont="1" applyFill="1" applyBorder="1" applyAlignment="1">
      <alignment horizontal="center"/>
    </xf>
    <xf numFmtId="0" fontId="37" fillId="9" borderId="0" xfId="5" applyFont="1" applyFill="1" applyBorder="1" applyAlignment="1">
      <alignment horizontal="center"/>
    </xf>
    <xf numFmtId="0" fontId="0" fillId="0" borderId="0" xfId="0" applyAlignment="1">
      <alignment horizontal="center"/>
    </xf>
    <xf numFmtId="0" fontId="37" fillId="6" borderId="0" xfId="5" applyFont="1" applyFill="1" applyBorder="1" applyAlignment="1">
      <alignment horizontal="center"/>
    </xf>
    <xf numFmtId="0" fontId="4" fillId="0" borderId="37" xfId="6" applyBorder="1" applyAlignment="1">
      <alignment horizontal="right"/>
    </xf>
    <xf numFmtId="0" fontId="52" fillId="15" borderId="0" xfId="0" applyFont="1" applyFill="1" applyAlignment="1">
      <alignment horizontal="left"/>
    </xf>
    <xf numFmtId="9" fontId="34" fillId="4" borderId="36" xfId="3" applyFont="1" applyFill="1" applyBorder="1" applyAlignment="1" applyProtection="1">
      <alignment horizontal="right"/>
      <protection locked="0"/>
    </xf>
    <xf numFmtId="167" fontId="34" fillId="0" borderId="36" xfId="2" applyNumberFormat="1" applyFont="1" applyFill="1" applyBorder="1" applyAlignment="1" applyProtection="1">
      <alignment horizontal="right"/>
      <protection locked="0"/>
    </xf>
    <xf numFmtId="167" fontId="47" fillId="0" borderId="3" xfId="2" applyNumberFormat="1" applyFont="1" applyFill="1" applyBorder="1" applyAlignment="1"/>
    <xf numFmtId="0" fontId="47" fillId="5" borderId="5" xfId="3" applyNumberFormat="1" applyFont="1" applyFill="1" applyBorder="1" applyAlignment="1">
      <alignment horizontal="right"/>
    </xf>
    <xf numFmtId="9" fontId="47" fillId="5" borderId="5" xfId="3" applyFont="1" applyFill="1" applyBorder="1" applyAlignment="1">
      <alignment horizontal="right"/>
    </xf>
    <xf numFmtId="167" fontId="47" fillId="5" borderId="3" xfId="2" applyNumberFormat="1" applyFont="1" applyFill="1" applyBorder="1" applyAlignment="1"/>
    <xf numFmtId="9" fontId="34" fillId="4" borderId="4" xfId="3" applyFont="1" applyFill="1" applyBorder="1" applyAlignment="1" applyProtection="1">
      <alignment horizontal="right"/>
      <protection locked="0"/>
    </xf>
    <xf numFmtId="9" fontId="34" fillId="4" borderId="3" xfId="3" applyFont="1" applyFill="1" applyBorder="1" applyAlignment="1" applyProtection="1">
      <alignment horizontal="right"/>
      <protection locked="0"/>
    </xf>
    <xf numFmtId="0" fontId="48" fillId="14" borderId="0" xfId="6" applyFont="1" applyFill="1" applyAlignment="1">
      <alignment horizontal="center"/>
    </xf>
    <xf numFmtId="9" fontId="10" fillId="4" borderId="4" xfId="3" applyFont="1" applyFill="1" applyBorder="1" applyAlignment="1" applyProtection="1">
      <alignment horizontal="right"/>
      <protection locked="0"/>
    </xf>
    <xf numFmtId="9" fontId="10" fillId="4" borderId="3" xfId="3" applyFont="1" applyFill="1" applyBorder="1" applyAlignment="1" applyProtection="1">
      <alignment horizontal="right"/>
      <protection locked="0"/>
    </xf>
    <xf numFmtId="0" fontId="21" fillId="5" borderId="36" xfId="6" applyFont="1" applyFill="1" applyBorder="1" applyAlignment="1" applyProtection="1">
      <alignment horizontal="left"/>
      <protection locked="0"/>
    </xf>
    <xf numFmtId="167" fontId="8" fillId="0" borderId="36" xfId="2" applyNumberFormat="1" applyFont="1" applyFill="1" applyBorder="1" applyAlignment="1" applyProtection="1">
      <alignment horizontal="center"/>
      <protection locked="0"/>
    </xf>
    <xf numFmtId="0" fontId="51" fillId="3" borderId="0" xfId="6" applyFont="1" applyFill="1" applyAlignment="1" applyProtection="1">
      <alignment horizontal="left" vertical="top" wrapText="1"/>
      <protection locked="0"/>
    </xf>
    <xf numFmtId="0" fontId="31" fillId="3" borderId="0" xfId="6" applyFont="1" applyFill="1" applyAlignment="1" applyProtection="1">
      <alignment horizontal="left" vertical="top" wrapText="1"/>
      <protection locked="0"/>
    </xf>
    <xf numFmtId="0" fontId="6" fillId="3" borderId="0" xfId="6" applyFont="1" applyFill="1" applyAlignment="1" applyProtection="1">
      <alignment horizontal="left" vertical="top" wrapText="1"/>
      <protection locked="0"/>
    </xf>
    <xf numFmtId="166" fontId="8" fillId="0" borderId="36" xfId="1" applyNumberFormat="1" applyFont="1" applyFill="1" applyBorder="1" applyAlignment="1" applyProtection="1">
      <alignment horizontal="center"/>
      <protection locked="0"/>
    </xf>
    <xf numFmtId="167" fontId="8" fillId="0" borderId="37" xfId="2" applyNumberFormat="1" applyFont="1" applyFill="1" applyBorder="1" applyAlignment="1" applyProtection="1">
      <alignment horizontal="center"/>
      <protection locked="0"/>
    </xf>
    <xf numFmtId="167" fontId="47" fillId="5" borderId="5" xfId="2" applyNumberFormat="1" applyFont="1" applyFill="1" applyBorder="1" applyAlignment="1"/>
    <xf numFmtId="0" fontId="37" fillId="9" borderId="3" xfId="5" applyFont="1" applyFill="1" applyBorder="1" applyAlignment="1">
      <alignment horizontal="left"/>
    </xf>
    <xf numFmtId="0" fontId="37" fillId="9" borderId="8" xfId="5" applyFont="1" applyFill="1" applyBorder="1" applyAlignment="1">
      <alignment horizontal="left"/>
    </xf>
    <xf numFmtId="0" fontId="58" fillId="5" borderId="0" xfId="0" applyFont="1" applyFill="1" applyAlignment="1">
      <alignment horizontal="left" vertical="center"/>
    </xf>
    <xf numFmtId="0" fontId="15" fillId="7" borderId="2" xfId="0" applyFont="1" applyFill="1" applyBorder="1" applyAlignment="1">
      <alignment horizontal="left" vertical="center" wrapText="1"/>
    </xf>
    <xf numFmtId="0" fontId="15" fillId="7" borderId="0" xfId="0" applyFont="1" applyFill="1" applyAlignment="1">
      <alignment horizontal="left" vertical="center" wrapText="1"/>
    </xf>
    <xf numFmtId="0" fontId="43" fillId="4" borderId="0" xfId="6" applyFont="1" applyFill="1" applyAlignment="1" applyProtection="1">
      <alignment horizontal="left" vertical="top" wrapText="1"/>
      <protection locked="0"/>
    </xf>
    <xf numFmtId="0" fontId="43" fillId="4" borderId="0" xfId="6" applyFont="1" applyFill="1" applyAlignment="1" applyProtection="1">
      <alignment horizontal="left" vertical="top"/>
      <protection locked="0"/>
    </xf>
    <xf numFmtId="0" fontId="18" fillId="7" borderId="0" xfId="0" applyFont="1" applyFill="1" applyAlignment="1">
      <alignment horizontal="left" vertical="center"/>
    </xf>
    <xf numFmtId="0" fontId="19" fillId="0" borderId="5" xfId="0" applyFont="1" applyBorder="1" applyAlignment="1">
      <alignment horizontal="left"/>
    </xf>
    <xf numFmtId="0" fontId="37" fillId="6" borderId="3" xfId="5" applyFont="1" applyFill="1" applyBorder="1" applyAlignment="1">
      <alignment horizontal="center"/>
    </xf>
    <xf numFmtId="0" fontId="37" fillId="6" borderId="8" xfId="5" applyFont="1" applyFill="1" applyBorder="1" applyAlignment="1">
      <alignment horizontal="center"/>
    </xf>
    <xf numFmtId="0" fontId="13" fillId="6" borderId="8" xfId="5" applyFont="1" applyFill="1" applyBorder="1" applyAlignment="1">
      <alignment horizontal="left"/>
    </xf>
    <xf numFmtId="0" fontId="20" fillId="11" borderId="0" xfId="1" applyNumberFormat="1" applyFont="1" applyFill="1" applyBorder="1" applyAlignment="1">
      <alignment horizontal="left"/>
    </xf>
    <xf numFmtId="0" fontId="20" fillId="0" borderId="0" xfId="6" applyFont="1" applyAlignment="1">
      <alignment vertical="center"/>
    </xf>
    <xf numFmtId="0" fontId="20" fillId="5" borderId="0" xfId="1" applyNumberFormat="1" applyFont="1" applyFill="1" applyBorder="1" applyAlignment="1">
      <alignment horizontal="left"/>
    </xf>
    <xf numFmtId="0" fontId="20" fillId="11" borderId="0" xfId="2" applyNumberFormat="1" applyFont="1" applyFill="1" applyBorder="1" applyAlignment="1">
      <alignment horizontal="left"/>
    </xf>
    <xf numFmtId="0" fontId="20" fillId="5" borderId="0" xfId="2" applyNumberFormat="1" applyFont="1" applyFill="1" applyBorder="1" applyAlignment="1">
      <alignment horizontal="left"/>
    </xf>
    <xf numFmtId="0" fontId="4" fillId="0" borderId="0" xfId="6" applyAlignment="1"/>
    <xf numFmtId="0" fontId="40" fillId="0" borderId="0" xfId="6" applyFont="1" applyAlignment="1"/>
    <xf numFmtId="0" fontId="8" fillId="0" borderId="5" xfId="6" applyFont="1" applyBorder="1" applyAlignment="1"/>
    <xf numFmtId="0" fontId="4" fillId="0" borderId="37" xfId="6" applyBorder="1" applyAlignment="1"/>
    <xf numFmtId="0" fontId="8" fillId="0" borderId="36" xfId="6" applyFont="1" applyBorder="1" applyAlignment="1"/>
    <xf numFmtId="0" fontId="35" fillId="4" borderId="36" xfId="6" applyFont="1" applyFill="1" applyBorder="1" applyAlignment="1" applyProtection="1">
      <protection locked="0"/>
    </xf>
  </cellXfs>
  <cellStyles count="9">
    <cellStyle name="Comma" xfId="1" builtinId="3"/>
    <cellStyle name="Comma 2" xfId="8" xr:uid="{033ADBCF-C2BF-4C2C-9125-44044B3DABF2}"/>
    <cellStyle name="Currency" xfId="2" builtinId="4"/>
    <cellStyle name="Hyperlink" xfId="5" builtinId="8"/>
    <cellStyle name="Normal" xfId="0" builtinId="0"/>
    <cellStyle name="Normal 2" xfId="6" xr:uid="{081D9CB3-08EF-4DCB-A5B4-76836066D071}"/>
    <cellStyle name="Percent" xfId="3" builtinId="5"/>
    <cellStyle name="Percent 2" xfId="7" xr:uid="{3C343088-E9FD-4D33-8FB6-8C86CF89695C}"/>
    <cellStyle name="Total" xfId="4" builtinId="25"/>
  </cellStyles>
  <dxfs count="4">
    <dxf>
      <fill>
        <patternFill>
          <bgColor rgb="FFFF0000"/>
        </patternFill>
      </fill>
    </dxf>
    <dxf>
      <fill>
        <patternFill>
          <bgColor rgb="FFFF0000"/>
        </patternFill>
      </fill>
    </dxf>
    <dxf>
      <fill>
        <patternFill>
          <bgColor rgb="FFFF33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145346</xdr:colOff>
      <xdr:row>0</xdr:row>
      <xdr:rowOff>76483</xdr:rowOff>
    </xdr:from>
    <xdr:to>
      <xdr:col>0</xdr:col>
      <xdr:colOff>447040</xdr:colOff>
      <xdr:row>0</xdr:row>
      <xdr:rowOff>413679</xdr:rowOff>
    </xdr:to>
    <xdr:pic>
      <xdr:nvPicPr>
        <xdr:cNvPr id="2" name="Picture 1">
          <a:extLst>
            <a:ext uri="{FF2B5EF4-FFF2-40B4-BE49-F238E27FC236}">
              <a16:creationId xmlns:a16="http://schemas.microsoft.com/office/drawing/2014/main" id="{4D4B1B32-1556-4142-86AD-FCB2F26295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346" y="76483"/>
          <a:ext cx="301694" cy="337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110065</xdr:colOff>
      <xdr:row>0</xdr:row>
      <xdr:rowOff>143932</xdr:rowOff>
    </xdr:from>
    <xdr:to>
      <xdr:col>3</xdr:col>
      <xdr:colOff>437780</xdr:colOff>
      <xdr:row>0</xdr:row>
      <xdr:rowOff>507999</xdr:rowOff>
    </xdr:to>
    <xdr:pic>
      <xdr:nvPicPr>
        <xdr:cNvPr id="3" name="Picture 2">
          <a:extLst>
            <a:ext uri="{FF2B5EF4-FFF2-40B4-BE49-F238E27FC236}">
              <a16:creationId xmlns:a16="http://schemas.microsoft.com/office/drawing/2014/main" id="{7059FFA4-45B0-D44E-8CBE-6EB61CB2B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065" y="143932"/>
          <a:ext cx="327715" cy="3640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142586</xdr:colOff>
      <xdr:row>0</xdr:row>
      <xdr:rowOff>114588</xdr:rowOff>
    </xdr:from>
    <xdr:to>
      <xdr:col>0</xdr:col>
      <xdr:colOff>470301</xdr:colOff>
      <xdr:row>0</xdr:row>
      <xdr:rowOff>478171</xdr:rowOff>
    </xdr:to>
    <xdr:pic>
      <xdr:nvPicPr>
        <xdr:cNvPr id="2" name="Picture 1">
          <a:extLst>
            <a:ext uri="{FF2B5EF4-FFF2-40B4-BE49-F238E27FC236}">
              <a16:creationId xmlns:a16="http://schemas.microsoft.com/office/drawing/2014/main" id="{20B8DBC8-B1B9-404F-91D9-DBB3840FA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586" y="114588"/>
          <a:ext cx="327715" cy="3635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148936</xdr:colOff>
      <xdr:row>0</xdr:row>
      <xdr:rowOff>130463</xdr:rowOff>
    </xdr:from>
    <xdr:to>
      <xdr:col>0</xdr:col>
      <xdr:colOff>476651</xdr:colOff>
      <xdr:row>0</xdr:row>
      <xdr:rowOff>494046</xdr:rowOff>
    </xdr:to>
    <xdr:pic>
      <xdr:nvPicPr>
        <xdr:cNvPr id="2" name="Picture 1">
          <a:extLst>
            <a:ext uri="{FF2B5EF4-FFF2-40B4-BE49-F238E27FC236}">
              <a16:creationId xmlns:a16="http://schemas.microsoft.com/office/drawing/2014/main" id="{00CBC126-0CD1-4BC9-B100-2560A4698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170699</xdr:colOff>
      <xdr:row>0</xdr:row>
      <xdr:rowOff>75108</xdr:rowOff>
    </xdr:from>
    <xdr:to>
      <xdr:col>0</xdr:col>
      <xdr:colOff>498414</xdr:colOff>
      <xdr:row>0</xdr:row>
      <xdr:rowOff>438691</xdr:rowOff>
    </xdr:to>
    <xdr:pic>
      <xdr:nvPicPr>
        <xdr:cNvPr id="4" name="Picture 3">
          <a:extLst>
            <a:ext uri="{FF2B5EF4-FFF2-40B4-BE49-F238E27FC236}">
              <a16:creationId xmlns:a16="http://schemas.microsoft.com/office/drawing/2014/main" id="{32F3A377-A9CD-F04F-894C-CFF925E73D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699" y="75108"/>
          <a:ext cx="327715" cy="36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182880</xdr:colOff>
      <xdr:row>0</xdr:row>
      <xdr:rowOff>152400</xdr:rowOff>
    </xdr:from>
    <xdr:to>
      <xdr:col>0</xdr:col>
      <xdr:colOff>510595</xdr:colOff>
      <xdr:row>0</xdr:row>
      <xdr:rowOff>515983</xdr:rowOff>
    </xdr:to>
    <xdr:pic>
      <xdr:nvPicPr>
        <xdr:cNvPr id="7" name="Picture 6">
          <a:extLst>
            <a:ext uri="{FF2B5EF4-FFF2-40B4-BE49-F238E27FC236}">
              <a16:creationId xmlns:a16="http://schemas.microsoft.com/office/drawing/2014/main" id="{FF9AA81C-B451-7B45-8649-0775B11F4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 y="152400"/>
          <a:ext cx="327715" cy="3635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10" name="Picture 9">
          <a:extLst>
            <a:ext uri="{FF2B5EF4-FFF2-40B4-BE49-F238E27FC236}">
              <a16:creationId xmlns:a16="http://schemas.microsoft.com/office/drawing/2014/main" id="{133B7F0F-EEDA-A545-9C56-BBDC6A7D81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3" name="Picture 2">
          <a:extLst>
            <a:ext uri="{FF2B5EF4-FFF2-40B4-BE49-F238E27FC236}">
              <a16:creationId xmlns:a16="http://schemas.microsoft.com/office/drawing/2014/main" id="{63A8E668-9558-CD4C-B3EC-8577EA0BDB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501E-3C34-420E-B431-C4653C06A9DA}">
  <sheetPr codeName="Sheet1"/>
  <dimension ref="A1:O22"/>
  <sheetViews>
    <sheetView zoomScale="125" workbookViewId="0">
      <selection activeCell="K20" sqref="K20"/>
    </sheetView>
  </sheetViews>
  <sheetFormatPr defaultColWidth="9.140625" defaultRowHeight="15"/>
  <cols>
    <col min="1" max="1" width="7.7109375" style="184" customWidth="1"/>
    <col min="2" max="2" width="3.42578125" style="117" customWidth="1"/>
    <col min="3" max="3" width="65.7109375" style="117" customWidth="1"/>
    <col min="4" max="4" width="3.85546875" style="118" customWidth="1"/>
    <col min="5" max="5" width="2.7109375" style="118" customWidth="1"/>
    <col min="6" max="6" width="24.7109375" style="117" customWidth="1"/>
    <col min="7" max="8" width="12.7109375" style="117" customWidth="1"/>
    <col min="9" max="9" width="8.140625" style="117" customWidth="1"/>
    <col min="10" max="10" width="4.7109375" style="117" customWidth="1"/>
    <col min="11" max="11" width="31.85546875" style="117" customWidth="1"/>
    <col min="12" max="12" width="2.7109375" style="117" customWidth="1"/>
    <col min="13" max="13" width="18.7109375" style="117" customWidth="1"/>
    <col min="14" max="17" width="22.42578125" style="117" customWidth="1"/>
    <col min="18" max="20" width="18.7109375" style="117" customWidth="1"/>
    <col min="21" max="16384" width="9.140625" style="117"/>
  </cols>
  <sheetData>
    <row r="1" spans="1:15" s="159" customFormat="1" ht="33.950000000000003" customHeight="1">
      <c r="A1" s="184"/>
      <c r="C1" s="167" t="s">
        <v>0</v>
      </c>
      <c r="D1" s="158"/>
      <c r="E1" s="158"/>
    </row>
    <row r="2" spans="1:15" ht="26.1" customHeight="1"/>
    <row r="3" spans="1:15" ht="26.1">
      <c r="C3" s="210" t="s">
        <v>1</v>
      </c>
      <c r="D3" s="210"/>
      <c r="E3" s="210"/>
      <c r="F3" s="210"/>
      <c r="G3" s="210"/>
      <c r="H3" s="210"/>
      <c r="I3" s="210"/>
      <c r="J3" s="210"/>
      <c r="K3" s="210"/>
    </row>
    <row r="4" spans="1:15" ht="7.5" customHeight="1">
      <c r="D4" s="117"/>
      <c r="E4" s="117"/>
    </row>
    <row r="5" spans="1:15" ht="9" customHeight="1">
      <c r="D5" s="117"/>
      <c r="E5" s="117"/>
      <c r="K5" s="130"/>
    </row>
    <row r="6" spans="1:15" ht="30.95">
      <c r="C6" s="211" t="s">
        <v>2</v>
      </c>
      <c r="E6" s="131"/>
      <c r="F6" s="132" t="s">
        <v>3</v>
      </c>
      <c r="G6" s="132"/>
      <c r="H6" s="132"/>
      <c r="I6" s="132"/>
      <c r="J6" s="132"/>
      <c r="K6" s="3">
        <v>132000</v>
      </c>
    </row>
    <row r="7" spans="1:15" ht="30.95">
      <c r="C7" s="212"/>
      <c r="E7" s="131"/>
      <c r="F7" s="132" t="s">
        <v>4</v>
      </c>
      <c r="G7" s="132"/>
      <c r="H7" s="132"/>
      <c r="I7" s="132"/>
      <c r="J7" s="127"/>
      <c r="K7" s="151">
        <v>800000</v>
      </c>
    </row>
    <row r="8" spans="1:15" ht="30.95">
      <c r="C8" s="212"/>
      <c r="E8" s="131"/>
      <c r="F8" s="132" t="s">
        <v>5</v>
      </c>
      <c r="G8" s="132"/>
      <c r="H8" s="132"/>
      <c r="I8" s="132"/>
      <c r="J8" s="132"/>
      <c r="K8" s="5">
        <v>1.6E-2</v>
      </c>
    </row>
    <row r="9" spans="1:15" ht="30.95">
      <c r="C9" s="212"/>
      <c r="E9" s="131"/>
      <c r="F9" s="132" t="s">
        <v>6</v>
      </c>
      <c r="G9" s="132"/>
      <c r="H9" s="132"/>
      <c r="I9" s="132"/>
      <c r="J9" s="132"/>
      <c r="K9" s="6">
        <v>0.2</v>
      </c>
    </row>
    <row r="10" spans="1:15" ht="7.5" customHeight="1">
      <c r="C10" s="212"/>
      <c r="F10" s="157"/>
      <c r="G10" s="157"/>
      <c r="H10" s="157"/>
      <c r="I10" s="157"/>
      <c r="J10" s="157"/>
      <c r="K10" s="179"/>
      <c r="L10" s="157"/>
    </row>
    <row r="11" spans="1:15" ht="14.25" customHeight="1">
      <c r="C11" s="212"/>
      <c r="F11" s="157"/>
      <c r="G11" s="157"/>
      <c r="H11" s="157"/>
      <c r="I11" s="157"/>
      <c r="J11" s="157"/>
      <c r="K11" s="157"/>
      <c r="L11" s="157"/>
    </row>
    <row r="12" spans="1:15" ht="36.950000000000003">
      <c r="C12" s="212"/>
      <c r="F12" s="7" t="s">
        <v>7</v>
      </c>
      <c r="G12" s="8">
        <f ca="1">YEAR(TODAY())</f>
        <v>2025</v>
      </c>
      <c r="I12" s="213">
        <f>K6*K7*K8</f>
        <v>1689600000</v>
      </c>
      <c r="J12" s="213"/>
      <c r="K12" s="213"/>
    </row>
    <row r="13" spans="1:15">
      <c r="C13" s="212"/>
      <c r="O13" s="117" t="s">
        <v>8</v>
      </c>
    </row>
    <row r="14" spans="1:15" ht="36.950000000000003">
      <c r="C14" s="212"/>
      <c r="F14" s="7" t="s">
        <v>9</v>
      </c>
      <c r="G14" s="8">
        <f ca="1">YEAR(TODAY())</f>
        <v>2025</v>
      </c>
      <c r="I14" s="213">
        <f>I12*K9</f>
        <v>337920000</v>
      </c>
      <c r="J14" s="213"/>
      <c r="K14" s="213"/>
    </row>
    <row r="15" spans="1:15">
      <c r="C15" s="212"/>
    </row>
    <row r="16" spans="1:15" ht="18.95">
      <c r="C16" s="212"/>
      <c r="F16" s="117" t="s">
        <v>8</v>
      </c>
      <c r="H16" s="9" t="s">
        <v>10</v>
      </c>
      <c r="I16" s="214" t="s">
        <v>11</v>
      </c>
      <c r="J16" s="214"/>
      <c r="K16" s="215"/>
    </row>
    <row r="17" spans="6:13" ht="15.75" customHeight="1">
      <c r="F17" s="118"/>
      <c r="G17" s="118"/>
      <c r="I17" s="118"/>
      <c r="J17" s="118"/>
      <c r="K17" s="118"/>
      <c r="L17" s="118"/>
      <c r="M17" s="118"/>
    </row>
    <row r="22" spans="6:13">
      <c r="H22" s="137"/>
    </row>
  </sheetData>
  <mergeCells count="5">
    <mergeCell ref="C3:K3"/>
    <mergeCell ref="C6:C16"/>
    <mergeCell ref="I12:K12"/>
    <mergeCell ref="I14:K14"/>
    <mergeCell ref="I16:K16"/>
  </mergeCells>
  <hyperlinks>
    <hyperlink ref="I16:K16" location="'Driving Forces brainstorm'!A1" display="Driving Forces Brainstorm" xr:uid="{7AE34F83-C46F-4647-BBA2-516664A1A772}"/>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0120-7BDC-420D-8E21-A9465018B1D9}">
  <sheetPr codeName="Sheet10">
    <tabColor theme="1"/>
  </sheetPr>
  <dimension ref="B1:AD27"/>
  <sheetViews>
    <sheetView zoomScale="85" zoomScaleNormal="85" workbookViewId="0">
      <selection activeCell="G42" sqref="G42"/>
    </sheetView>
  </sheetViews>
  <sheetFormatPr defaultColWidth="9.140625" defaultRowHeight="15"/>
  <cols>
    <col min="1" max="1" width="3.42578125" style="136" customWidth="1"/>
    <col min="2" max="4" width="9.140625" style="136"/>
    <col min="5" max="5" width="11.28515625" style="136" bestFit="1" customWidth="1"/>
    <col min="6" max="6" width="4.85546875" style="136" customWidth="1"/>
    <col min="7" max="7" width="26.42578125" style="136" bestFit="1" customWidth="1"/>
    <col min="8" max="9" width="12.42578125" style="136" bestFit="1" customWidth="1"/>
    <col min="10" max="10" width="11.42578125" style="136" customWidth="1"/>
    <col min="11" max="11" width="11.140625" style="136" customWidth="1"/>
    <col min="12" max="12" width="11.42578125" style="136" customWidth="1"/>
    <col min="13" max="16" width="9.42578125" style="136" bestFit="1" customWidth="1"/>
    <col min="17" max="17" width="10.42578125" style="136" bestFit="1" customWidth="1"/>
    <col min="18" max="18" width="0" style="136" hidden="1" customWidth="1"/>
    <col min="19" max="19" width="7.42578125" style="136" customWidth="1"/>
    <col min="20" max="20" width="2" style="138" bestFit="1" customWidth="1"/>
    <col min="21" max="16384" width="9.140625" style="136"/>
  </cols>
  <sheetData>
    <row r="1" spans="2:30" ht="24">
      <c r="B1" s="150" t="s">
        <v>12</v>
      </c>
      <c r="C1" s="137"/>
      <c r="D1" s="137"/>
      <c r="E1" s="137"/>
      <c r="F1" s="137"/>
      <c r="G1" s="137"/>
      <c r="H1" s="137"/>
      <c r="I1" s="137"/>
      <c r="J1" s="137"/>
      <c r="K1" s="137"/>
      <c r="L1" s="137"/>
      <c r="M1" s="137"/>
      <c r="N1" s="137"/>
      <c r="O1" s="137"/>
      <c r="P1" s="137"/>
      <c r="Q1" s="137"/>
    </row>
    <row r="2" spans="2:30" ht="33.950000000000003">
      <c r="B2" s="35" t="s">
        <v>13</v>
      </c>
      <c r="C2" s="35"/>
      <c r="D2" s="35"/>
      <c r="E2" s="35"/>
      <c r="F2" s="35"/>
      <c r="G2" s="35"/>
      <c r="H2" s="35"/>
      <c r="I2" s="35"/>
      <c r="J2" s="35"/>
      <c r="K2" s="35"/>
      <c r="L2" s="35"/>
      <c r="M2" s="35"/>
      <c r="N2" s="35"/>
      <c r="O2" s="35"/>
      <c r="P2" s="35"/>
      <c r="Q2" s="35"/>
      <c r="R2" s="34"/>
    </row>
    <row r="3" spans="2:30" ht="15.95" thickBot="1">
      <c r="B3" s="137"/>
      <c r="C3" s="137"/>
      <c r="D3" s="137"/>
      <c r="E3" s="137"/>
      <c r="F3" s="137"/>
      <c r="G3" s="137"/>
      <c r="H3" s="137"/>
      <c r="I3" s="137"/>
      <c r="J3" s="137"/>
      <c r="K3" s="137"/>
      <c r="L3" s="137"/>
      <c r="M3" s="137"/>
      <c r="N3" s="137"/>
      <c r="O3" s="137"/>
      <c r="P3" s="137"/>
      <c r="Q3" s="137"/>
    </row>
    <row r="4" spans="2:30">
      <c r="B4" s="36" t="s">
        <v>14</v>
      </c>
      <c r="C4" s="37"/>
      <c r="D4" s="37"/>
      <c r="E4" s="38"/>
      <c r="F4" s="137"/>
      <c r="G4" s="139"/>
      <c r="H4" s="39" t="s">
        <v>15</v>
      </c>
      <c r="I4" s="39" t="s">
        <v>16</v>
      </c>
      <c r="J4" s="39" t="s">
        <v>17</v>
      </c>
      <c r="K4" s="39" t="s">
        <v>18</v>
      </c>
      <c r="L4" s="39" t="s">
        <v>19</v>
      </c>
      <c r="M4" s="39" t="s">
        <v>20</v>
      </c>
      <c r="N4" s="39" t="s">
        <v>21</v>
      </c>
      <c r="O4" s="39" t="s">
        <v>22</v>
      </c>
      <c r="P4" s="39" t="s">
        <v>23</v>
      </c>
      <c r="Q4" s="40" t="s">
        <v>24</v>
      </c>
      <c r="R4" s="34"/>
      <c r="T4" s="216" t="s">
        <v>25</v>
      </c>
      <c r="U4" s="216"/>
      <c r="V4" s="216"/>
      <c r="W4" s="216"/>
      <c r="X4" s="216"/>
      <c r="Y4" s="216"/>
      <c r="Z4" s="216"/>
      <c r="AA4" s="216"/>
      <c r="AB4" s="216"/>
      <c r="AC4" s="216"/>
      <c r="AD4" s="216"/>
    </row>
    <row r="5" spans="2:30">
      <c r="B5" s="140"/>
      <c r="C5" s="137"/>
      <c r="D5" s="137"/>
      <c r="E5" s="42"/>
      <c r="F5" s="137"/>
      <c r="G5" s="140"/>
      <c r="H5" s="33"/>
      <c r="I5" s="33"/>
      <c r="J5" s="33"/>
      <c r="K5" s="33"/>
      <c r="L5" s="33"/>
      <c r="M5" s="33"/>
      <c r="N5" s="33"/>
      <c r="O5" s="33"/>
      <c r="P5" s="33"/>
      <c r="Q5" s="42"/>
      <c r="R5" s="34"/>
      <c r="T5" s="216"/>
      <c r="U5" s="216"/>
      <c r="V5" s="216"/>
      <c r="W5" s="216"/>
      <c r="X5" s="216"/>
      <c r="Y5" s="216"/>
      <c r="Z5" s="216"/>
      <c r="AA5" s="216"/>
      <c r="AB5" s="216"/>
      <c r="AC5" s="216"/>
      <c r="AD5" s="216"/>
    </row>
    <row r="6" spans="2:30">
      <c r="B6" s="140" t="s">
        <v>26</v>
      </c>
      <c r="C6" s="137"/>
      <c r="D6" s="137"/>
      <c r="E6" s="43">
        <v>5</v>
      </c>
      <c r="F6" s="137"/>
      <c r="G6" s="141" t="s">
        <v>27</v>
      </c>
      <c r="H6" s="44"/>
      <c r="I6" s="44"/>
      <c r="J6" s="44"/>
      <c r="K6" s="44"/>
      <c r="L6" s="44"/>
      <c r="M6" s="44"/>
      <c r="N6" s="44"/>
      <c r="O6" s="44"/>
      <c r="P6" s="44"/>
      <c r="Q6" s="45"/>
      <c r="R6" s="34"/>
      <c r="T6" s="216"/>
      <c r="U6" s="216"/>
      <c r="V6" s="216"/>
      <c r="W6" s="216"/>
      <c r="X6" s="216"/>
      <c r="Y6" s="216"/>
      <c r="Z6" s="216"/>
      <c r="AA6" s="216"/>
      <c r="AB6" s="216"/>
      <c r="AC6" s="216"/>
      <c r="AD6" s="216"/>
    </row>
    <row r="7" spans="2:30" ht="15.95" thickBot="1">
      <c r="B7" s="145" t="s">
        <v>28</v>
      </c>
      <c r="C7" s="146"/>
      <c r="D7" s="146"/>
      <c r="E7" s="46">
        <v>1</v>
      </c>
      <c r="F7" s="137"/>
      <c r="G7" s="142"/>
      <c r="H7" s="33"/>
      <c r="I7" s="33"/>
      <c r="J7" s="33"/>
      <c r="K7" s="33"/>
      <c r="L7" s="33"/>
      <c r="M7" s="33"/>
      <c r="N7" s="33"/>
      <c r="O7" s="33"/>
      <c r="P7" s="33"/>
      <c r="Q7" s="42"/>
      <c r="R7" s="34"/>
    </row>
    <row r="8" spans="2:30" ht="15.95" thickBot="1">
      <c r="B8" s="137"/>
      <c r="C8" s="137"/>
      <c r="D8" s="137"/>
      <c r="E8" s="137"/>
      <c r="F8" s="137"/>
      <c r="G8" s="142" t="s">
        <v>29</v>
      </c>
      <c r="H8" s="47"/>
      <c r="I8" s="47"/>
      <c r="J8" s="47"/>
      <c r="K8" s="47"/>
      <c r="L8" s="47"/>
      <c r="M8" s="47"/>
      <c r="N8" s="47"/>
      <c r="O8" s="47"/>
      <c r="P8" s="47"/>
      <c r="Q8" s="48"/>
      <c r="R8" s="34"/>
      <c r="T8" s="49">
        <v>1</v>
      </c>
      <c r="U8" s="50" t="s">
        <v>30</v>
      </c>
      <c r="V8" s="50"/>
      <c r="W8" s="50"/>
      <c r="X8" s="50"/>
      <c r="Y8" s="50"/>
      <c r="Z8" s="50"/>
      <c r="AA8" s="50"/>
      <c r="AB8" s="50"/>
      <c r="AC8" s="50"/>
      <c r="AD8" s="50"/>
    </row>
    <row r="9" spans="2:30">
      <c r="B9" s="36" t="s">
        <v>31</v>
      </c>
      <c r="C9" s="37"/>
      <c r="D9" s="37"/>
      <c r="E9" s="38"/>
      <c r="F9" s="137"/>
      <c r="G9" s="142" t="s">
        <v>32</v>
      </c>
      <c r="H9" s="33">
        <f>H6*H8*$E$6</f>
        <v>0</v>
      </c>
      <c r="I9" s="33">
        <f t="shared" ref="I9:Q9" si="0">I6*I8*$E$6</f>
        <v>0</v>
      </c>
      <c r="J9" s="33">
        <f t="shared" si="0"/>
        <v>0</v>
      </c>
      <c r="K9" s="33">
        <f>K6*K8*$E$6</f>
        <v>0</v>
      </c>
      <c r="L9" s="33">
        <f t="shared" si="0"/>
        <v>0</v>
      </c>
      <c r="M9" s="33">
        <f t="shared" si="0"/>
        <v>0</v>
      </c>
      <c r="N9" s="33">
        <f t="shared" si="0"/>
        <v>0</v>
      </c>
      <c r="O9" s="33">
        <f t="shared" si="0"/>
        <v>0</v>
      </c>
      <c r="P9" s="33">
        <f t="shared" si="0"/>
        <v>0</v>
      </c>
      <c r="Q9" s="42">
        <f t="shared" si="0"/>
        <v>0</v>
      </c>
      <c r="R9" s="34">
        <f>AVERAGE(H9:Q9)</f>
        <v>0</v>
      </c>
      <c r="T9" s="49">
        <v>2</v>
      </c>
      <c r="U9" s="50" t="s">
        <v>33</v>
      </c>
      <c r="V9" s="50"/>
      <c r="W9" s="50"/>
      <c r="X9" s="50"/>
      <c r="Y9" s="50"/>
      <c r="Z9" s="50"/>
      <c r="AA9" s="50"/>
      <c r="AB9" s="50"/>
      <c r="AC9" s="50"/>
      <c r="AD9" s="50"/>
    </row>
    <row r="10" spans="2:30" hidden="1">
      <c r="B10" s="41"/>
      <c r="C10" s="33"/>
      <c r="D10" s="33"/>
      <c r="E10" s="42"/>
      <c r="F10" s="137"/>
      <c r="G10" s="142" t="s">
        <v>34</v>
      </c>
      <c r="H10" s="51" t="e">
        <f t="shared" ref="H10:Q10" si="1">(H9*100%)/$R$9</f>
        <v>#DIV/0!</v>
      </c>
      <c r="I10" s="51" t="e">
        <f t="shared" si="1"/>
        <v>#DIV/0!</v>
      </c>
      <c r="J10" s="51" t="e">
        <f t="shared" si="1"/>
        <v>#DIV/0!</v>
      </c>
      <c r="K10" s="51" t="e">
        <f t="shared" si="1"/>
        <v>#DIV/0!</v>
      </c>
      <c r="L10" s="51" t="e">
        <f t="shared" si="1"/>
        <v>#DIV/0!</v>
      </c>
      <c r="M10" s="51" t="e">
        <f t="shared" si="1"/>
        <v>#DIV/0!</v>
      </c>
      <c r="N10" s="51" t="e">
        <f t="shared" si="1"/>
        <v>#DIV/0!</v>
      </c>
      <c r="O10" s="51" t="e">
        <f t="shared" si="1"/>
        <v>#DIV/0!</v>
      </c>
      <c r="P10" s="51" t="e">
        <f t="shared" si="1"/>
        <v>#DIV/0!</v>
      </c>
      <c r="Q10" s="52" t="e">
        <f t="shared" si="1"/>
        <v>#DIV/0!</v>
      </c>
      <c r="R10" s="34"/>
      <c r="T10" s="49"/>
      <c r="U10" s="50"/>
      <c r="V10" s="50"/>
      <c r="W10" s="50"/>
      <c r="X10" s="50"/>
      <c r="Y10" s="50"/>
      <c r="Z10" s="50"/>
      <c r="AA10" s="50"/>
      <c r="AB10" s="50"/>
      <c r="AC10" s="50"/>
      <c r="AD10" s="50"/>
    </row>
    <row r="11" spans="2:30">
      <c r="B11" s="140" t="s">
        <v>35</v>
      </c>
      <c r="C11" s="137"/>
      <c r="D11" s="137"/>
      <c r="E11" s="53">
        <v>1.5</v>
      </c>
      <c r="F11" s="137"/>
      <c r="G11" s="141" t="s">
        <v>36</v>
      </c>
      <c r="H11" s="54" t="str">
        <f t="shared" ref="H11:Q11" si="2">IFERROR(IF(H10&lt;$E$16,"-3",IF(H10&lt;$E$14,"-2",IF(AND(H10&gt;=$E$14,H10&lt;=$E$13),"-1",IF(H10=$E$13,0,IF(AND(H10&gt;$E$13,H10&lt;$E$12),1,IF(AND(H10&gt;$E$12,H10&lt;$E$11),2,IF(H10&gt;$E$11,"3"))))))),"")</f>
        <v/>
      </c>
      <c r="I11" s="54" t="str">
        <f t="shared" si="2"/>
        <v/>
      </c>
      <c r="J11" s="54" t="str">
        <f t="shared" si="2"/>
        <v/>
      </c>
      <c r="K11" s="54" t="str">
        <f t="shared" si="2"/>
        <v/>
      </c>
      <c r="L11" s="54" t="str">
        <f t="shared" si="2"/>
        <v/>
      </c>
      <c r="M11" s="54" t="str">
        <f t="shared" si="2"/>
        <v/>
      </c>
      <c r="N11" s="54" t="str">
        <f t="shared" si="2"/>
        <v/>
      </c>
      <c r="O11" s="54" t="str">
        <f t="shared" si="2"/>
        <v/>
      </c>
      <c r="P11" s="54" t="str">
        <f t="shared" si="2"/>
        <v/>
      </c>
      <c r="Q11" s="55" t="str">
        <f t="shared" si="2"/>
        <v/>
      </c>
      <c r="R11" s="34"/>
      <c r="T11" s="49">
        <v>3</v>
      </c>
      <c r="U11" s="50" t="s">
        <v>37</v>
      </c>
      <c r="V11" s="50"/>
      <c r="W11" s="50"/>
      <c r="X11" s="50"/>
      <c r="Y11" s="50"/>
      <c r="Z11" s="50"/>
      <c r="AA11" s="50"/>
      <c r="AB11" s="50"/>
      <c r="AC11" s="50"/>
      <c r="AD11" s="50"/>
    </row>
    <row r="12" spans="2:30">
      <c r="B12" s="140" t="s">
        <v>38</v>
      </c>
      <c r="C12" s="137"/>
      <c r="D12" s="137"/>
      <c r="E12" s="53">
        <v>1.25</v>
      </c>
      <c r="F12" s="137"/>
      <c r="G12" s="140"/>
      <c r="H12" s="33"/>
      <c r="I12" s="33"/>
      <c r="J12" s="33"/>
      <c r="K12" s="33"/>
      <c r="L12" s="33"/>
      <c r="M12" s="33"/>
      <c r="N12" s="33"/>
      <c r="O12" s="33"/>
      <c r="P12" s="33"/>
      <c r="Q12" s="42"/>
      <c r="R12" s="34"/>
      <c r="T12" s="49">
        <v>4</v>
      </c>
      <c r="U12" s="50" t="s">
        <v>39</v>
      </c>
      <c r="V12" s="50"/>
      <c r="W12" s="50"/>
      <c r="X12" s="50"/>
      <c r="Y12" s="50"/>
      <c r="Z12" s="50"/>
      <c r="AA12" s="50"/>
      <c r="AB12" s="50"/>
      <c r="AC12" s="50"/>
      <c r="AD12" s="50"/>
    </row>
    <row r="13" spans="2:30">
      <c r="B13" s="140" t="s">
        <v>40</v>
      </c>
      <c r="C13" s="137"/>
      <c r="D13" s="137"/>
      <c r="E13" s="53">
        <v>1</v>
      </c>
      <c r="F13" s="137"/>
      <c r="G13" s="142" t="s">
        <v>41</v>
      </c>
      <c r="H13" s="47">
        <v>1</v>
      </c>
      <c r="I13" s="47">
        <v>1</v>
      </c>
      <c r="J13" s="47">
        <v>1</v>
      </c>
      <c r="K13" s="47">
        <v>1</v>
      </c>
      <c r="L13" s="47">
        <v>1</v>
      </c>
      <c r="M13" s="47">
        <v>0</v>
      </c>
      <c r="N13" s="47">
        <v>0</v>
      </c>
      <c r="O13" s="47">
        <v>0</v>
      </c>
      <c r="P13" s="47">
        <v>0</v>
      </c>
      <c r="Q13" s="48">
        <v>0</v>
      </c>
      <c r="R13" s="34"/>
      <c r="T13" s="49">
        <v>5</v>
      </c>
      <c r="U13" s="50" t="s">
        <v>42</v>
      </c>
      <c r="V13" s="50"/>
      <c r="W13" s="50"/>
      <c r="X13" s="50"/>
      <c r="Y13" s="50"/>
      <c r="Z13" s="50"/>
      <c r="AA13" s="50"/>
      <c r="AB13" s="50"/>
      <c r="AC13" s="50"/>
      <c r="AD13" s="50"/>
    </row>
    <row r="14" spans="2:30">
      <c r="B14" s="140" t="s">
        <v>43</v>
      </c>
      <c r="C14" s="137"/>
      <c r="D14" s="137"/>
      <c r="E14" s="53">
        <v>0.75</v>
      </c>
      <c r="F14" s="137"/>
      <c r="G14" s="142" t="s">
        <v>44</v>
      </c>
      <c r="H14" s="33">
        <f>$E$7*H6*H13</f>
        <v>0</v>
      </c>
      <c r="I14" s="33">
        <f t="shared" ref="I14:Q14" si="3">$E$7*I6*I13</f>
        <v>0</v>
      </c>
      <c r="J14" s="33">
        <f t="shared" si="3"/>
        <v>0</v>
      </c>
      <c r="K14" s="33">
        <f t="shared" si="3"/>
        <v>0</v>
      </c>
      <c r="L14" s="33">
        <f t="shared" si="3"/>
        <v>0</v>
      </c>
      <c r="M14" s="33">
        <f t="shared" si="3"/>
        <v>0</v>
      </c>
      <c r="N14" s="33">
        <f t="shared" si="3"/>
        <v>0</v>
      </c>
      <c r="O14" s="33">
        <f t="shared" si="3"/>
        <v>0</v>
      </c>
      <c r="P14" s="33">
        <f t="shared" si="3"/>
        <v>0</v>
      </c>
      <c r="Q14" s="42">
        <f t="shared" si="3"/>
        <v>0</v>
      </c>
      <c r="R14" s="34">
        <f>AVERAGE(H14:Q14)</f>
        <v>0</v>
      </c>
      <c r="T14" s="49"/>
      <c r="U14" s="50"/>
      <c r="V14" s="50"/>
      <c r="W14" s="50"/>
      <c r="X14" s="50"/>
      <c r="Y14" s="50"/>
      <c r="Z14" s="50"/>
      <c r="AA14" s="50"/>
      <c r="AB14" s="50"/>
      <c r="AC14" s="50"/>
      <c r="AD14" s="50"/>
    </row>
    <row r="15" spans="2:30" hidden="1">
      <c r="B15" s="140"/>
      <c r="C15" s="137"/>
      <c r="D15" s="137"/>
      <c r="E15" s="53"/>
      <c r="F15" s="137"/>
      <c r="G15" s="142" t="s">
        <v>34</v>
      </c>
      <c r="H15" s="51" t="e">
        <f t="shared" ref="H15:Q15" si="4">(H14*100%)/$R$14</f>
        <v>#DIV/0!</v>
      </c>
      <c r="I15" s="51" t="e">
        <f t="shared" si="4"/>
        <v>#DIV/0!</v>
      </c>
      <c r="J15" s="51" t="e">
        <f t="shared" si="4"/>
        <v>#DIV/0!</v>
      </c>
      <c r="K15" s="51" t="e">
        <f t="shared" si="4"/>
        <v>#DIV/0!</v>
      </c>
      <c r="L15" s="51" t="e">
        <f t="shared" si="4"/>
        <v>#DIV/0!</v>
      </c>
      <c r="M15" s="51" t="e">
        <f t="shared" si="4"/>
        <v>#DIV/0!</v>
      </c>
      <c r="N15" s="51" t="e">
        <f t="shared" si="4"/>
        <v>#DIV/0!</v>
      </c>
      <c r="O15" s="51" t="e">
        <f t="shared" si="4"/>
        <v>#DIV/0!</v>
      </c>
      <c r="P15" s="51" t="e">
        <f t="shared" si="4"/>
        <v>#DIV/0!</v>
      </c>
      <c r="Q15" s="52" t="e">
        <f t="shared" si="4"/>
        <v>#DIV/0!</v>
      </c>
      <c r="R15" s="34"/>
      <c r="T15" s="49"/>
      <c r="U15" s="50" t="s">
        <v>45</v>
      </c>
      <c r="V15" s="50"/>
      <c r="W15" s="50"/>
      <c r="X15" s="50"/>
      <c r="Y15" s="50"/>
      <c r="Z15" s="50"/>
      <c r="AA15" s="50"/>
      <c r="AB15" s="50"/>
      <c r="AC15" s="50"/>
      <c r="AD15" s="50"/>
    </row>
    <row r="16" spans="2:30" ht="15.95" thickBot="1">
      <c r="B16" s="145" t="s">
        <v>46</v>
      </c>
      <c r="C16" s="146"/>
      <c r="D16" s="146"/>
      <c r="E16" s="56">
        <v>0.5</v>
      </c>
      <c r="F16" s="137"/>
      <c r="G16" s="141" t="s">
        <v>47</v>
      </c>
      <c r="H16" s="54" t="str">
        <f t="shared" ref="H16:Q16" si="5">IFERROR(IF(H15&lt;$E$16,"-3",IF(H15&lt;$E$14,"-2",IF(AND(H15&gt;=$E$14,H15&lt;=$E$13),"-1",IF(H15=$E$13,0,IF(AND(H15&gt;$E$13,H15&lt;$E$12),1,IF(AND(H15&gt;$E$12,H15&lt;$E$11),2,IF(H15&gt;$E$11,"3"))))))),"")</f>
        <v/>
      </c>
      <c r="I16" s="54" t="str">
        <f t="shared" si="5"/>
        <v/>
      </c>
      <c r="J16" s="54" t="str">
        <f t="shared" si="5"/>
        <v/>
      </c>
      <c r="K16" s="54" t="str">
        <f t="shared" si="5"/>
        <v/>
      </c>
      <c r="L16" s="54" t="str">
        <f t="shared" si="5"/>
        <v/>
      </c>
      <c r="M16" s="54" t="str">
        <f t="shared" si="5"/>
        <v/>
      </c>
      <c r="N16" s="54" t="str">
        <f t="shared" si="5"/>
        <v/>
      </c>
      <c r="O16" s="54" t="str">
        <f t="shared" si="5"/>
        <v/>
      </c>
      <c r="P16" s="54" t="str">
        <f t="shared" si="5"/>
        <v/>
      </c>
      <c r="Q16" s="55" t="str">
        <f t="shared" si="5"/>
        <v/>
      </c>
      <c r="R16" s="34"/>
      <c r="T16" s="49"/>
      <c r="U16" s="57" t="s">
        <v>48</v>
      </c>
      <c r="V16" s="57"/>
      <c r="W16" s="57"/>
      <c r="X16" s="57"/>
      <c r="Y16" s="57"/>
      <c r="Z16" s="57"/>
      <c r="AA16" s="57"/>
      <c r="AB16" s="57"/>
      <c r="AC16" s="57"/>
      <c r="AD16" s="57"/>
    </row>
    <row r="17" spans="2:30" ht="15.95" thickBot="1">
      <c r="B17" s="137"/>
      <c r="C17" s="137"/>
      <c r="D17" s="137"/>
      <c r="E17" s="137"/>
      <c r="F17" s="137"/>
      <c r="G17" s="140"/>
      <c r="H17" s="33"/>
      <c r="I17" s="33"/>
      <c r="J17" s="33"/>
      <c r="K17" s="33"/>
      <c r="L17" s="33"/>
      <c r="M17" s="33"/>
      <c r="N17" s="33"/>
      <c r="O17" s="33"/>
      <c r="P17" s="33"/>
      <c r="Q17" s="42"/>
      <c r="R17" s="34"/>
      <c r="T17" s="49"/>
      <c r="U17" s="50"/>
      <c r="V17" s="50"/>
      <c r="W17" s="50"/>
      <c r="X17" s="50"/>
      <c r="Y17" s="50"/>
      <c r="Z17" s="50"/>
      <c r="AA17" s="50"/>
      <c r="AB17" s="50"/>
      <c r="AC17" s="50"/>
      <c r="AD17" s="50"/>
    </row>
    <row r="18" spans="2:30">
      <c r="B18" s="36" t="s">
        <v>49</v>
      </c>
      <c r="C18" s="37"/>
      <c r="D18" s="37"/>
      <c r="E18" s="38"/>
      <c r="F18" s="137"/>
      <c r="G18" s="141" t="s">
        <v>50</v>
      </c>
      <c r="H18" s="44"/>
      <c r="I18" s="44"/>
      <c r="J18" s="44"/>
      <c r="K18" s="44"/>
      <c r="L18" s="44"/>
      <c r="M18" s="44"/>
      <c r="N18" s="44"/>
      <c r="O18" s="44"/>
      <c r="P18" s="44"/>
      <c r="Q18" s="45"/>
      <c r="R18" s="34"/>
      <c r="T18" s="49"/>
      <c r="U18" s="58" t="s">
        <v>51</v>
      </c>
      <c r="V18" s="58"/>
      <c r="W18" s="58"/>
      <c r="X18" s="50"/>
      <c r="Y18" s="50"/>
      <c r="Z18" s="50"/>
      <c r="AA18" s="50"/>
      <c r="AB18" s="50"/>
      <c r="AC18" s="50"/>
      <c r="AD18" s="50"/>
    </row>
    <row r="19" spans="2:30">
      <c r="B19" s="140" t="s">
        <v>52</v>
      </c>
      <c r="C19" s="137"/>
      <c r="D19" s="137"/>
      <c r="E19" s="42">
        <v>3</v>
      </c>
      <c r="F19" s="137"/>
      <c r="G19" s="142"/>
      <c r="H19" s="33"/>
      <c r="I19" s="33"/>
      <c r="J19" s="33"/>
      <c r="K19" s="33"/>
      <c r="L19" s="33"/>
      <c r="M19" s="33"/>
      <c r="N19" s="33"/>
      <c r="O19" s="33"/>
      <c r="P19" s="33"/>
      <c r="Q19" s="42"/>
      <c r="R19" s="34"/>
      <c r="T19" s="49"/>
      <c r="U19" s="58"/>
      <c r="V19" s="58"/>
      <c r="W19" s="58"/>
      <c r="X19" s="50"/>
      <c r="Y19" s="50"/>
      <c r="Z19" s="50"/>
      <c r="AA19" s="50"/>
      <c r="AB19" s="50"/>
      <c r="AC19" s="50"/>
      <c r="AD19" s="50"/>
    </row>
    <row r="20" spans="2:30" ht="15.95" thickBot="1">
      <c r="B20" s="140" t="s">
        <v>53</v>
      </c>
      <c r="C20" s="137"/>
      <c r="D20" s="137"/>
      <c r="E20" s="42">
        <v>2</v>
      </c>
      <c r="F20" s="137"/>
      <c r="G20" s="143" t="s">
        <v>54</v>
      </c>
      <c r="H20" s="59" t="str">
        <f t="shared" ref="H20:Q20" si="6">IFERROR(H11+H16+H18,"")</f>
        <v/>
      </c>
      <c r="I20" s="59" t="str">
        <f t="shared" si="6"/>
        <v/>
      </c>
      <c r="J20" s="59" t="str">
        <f t="shared" si="6"/>
        <v/>
      </c>
      <c r="K20" s="59" t="str">
        <f t="shared" si="6"/>
        <v/>
      </c>
      <c r="L20" s="59" t="str">
        <f t="shared" si="6"/>
        <v/>
      </c>
      <c r="M20" s="59" t="str">
        <f t="shared" si="6"/>
        <v/>
      </c>
      <c r="N20" s="59" t="str">
        <f t="shared" si="6"/>
        <v/>
      </c>
      <c r="O20" s="59" t="str">
        <f t="shared" si="6"/>
        <v/>
      </c>
      <c r="P20" s="59" t="str">
        <f t="shared" si="6"/>
        <v/>
      </c>
      <c r="Q20" s="60" t="str">
        <f t="shared" si="6"/>
        <v/>
      </c>
      <c r="R20" s="34"/>
      <c r="T20" s="49"/>
      <c r="U20" s="50"/>
      <c r="V20" s="50"/>
      <c r="W20" s="50"/>
      <c r="X20" s="50"/>
      <c r="Y20" s="50"/>
      <c r="Z20" s="50"/>
      <c r="AA20" s="50"/>
      <c r="AB20" s="50"/>
      <c r="AC20" s="50"/>
      <c r="AD20" s="50"/>
    </row>
    <row r="21" spans="2:30">
      <c r="B21" s="140" t="s">
        <v>55</v>
      </c>
      <c r="C21" s="137"/>
      <c r="D21" s="137"/>
      <c r="E21" s="42">
        <v>1</v>
      </c>
      <c r="F21" s="137"/>
      <c r="G21" s="137"/>
      <c r="H21" s="137"/>
      <c r="I21" s="137"/>
      <c r="J21" s="137"/>
      <c r="K21" s="137"/>
      <c r="L21" s="137"/>
      <c r="M21" s="137"/>
      <c r="N21" s="137"/>
      <c r="O21" s="137"/>
      <c r="P21" s="137"/>
      <c r="Q21" s="137"/>
    </row>
    <row r="22" spans="2:30">
      <c r="B22" s="140" t="s">
        <v>56</v>
      </c>
      <c r="C22" s="137"/>
      <c r="D22" s="137"/>
      <c r="E22" s="42">
        <v>-2</v>
      </c>
      <c r="F22" s="137"/>
      <c r="G22" s="137"/>
      <c r="H22" s="137"/>
      <c r="I22" s="137"/>
      <c r="J22" s="137"/>
      <c r="K22" s="137"/>
      <c r="L22" s="137"/>
      <c r="M22" s="137"/>
      <c r="N22" s="137"/>
      <c r="O22" s="137"/>
      <c r="P22" s="137"/>
      <c r="Q22" s="137"/>
    </row>
    <row r="23" spans="2:30" ht="15.95" thickBot="1">
      <c r="B23" s="145" t="s">
        <v>57</v>
      </c>
      <c r="C23" s="146"/>
      <c r="D23" s="146"/>
      <c r="E23" s="61">
        <v>-3</v>
      </c>
      <c r="F23" s="137"/>
      <c r="G23" s="137"/>
      <c r="H23" s="149"/>
      <c r="I23" s="137"/>
      <c r="J23" s="137"/>
      <c r="K23" s="137"/>
      <c r="L23" s="137"/>
      <c r="M23" s="137"/>
      <c r="N23" s="137"/>
      <c r="O23" s="137"/>
      <c r="P23" s="137"/>
      <c r="Q23" s="137"/>
    </row>
    <row r="24" spans="2:30">
      <c r="B24" s="137"/>
      <c r="C24" s="137"/>
      <c r="D24" s="137"/>
      <c r="E24" s="137"/>
      <c r="F24" s="137"/>
      <c r="G24" s="144"/>
      <c r="H24" s="137"/>
      <c r="I24" s="137"/>
      <c r="J24" s="137"/>
      <c r="K24" s="137"/>
      <c r="L24" s="137"/>
      <c r="M24" s="137"/>
      <c r="N24" s="137"/>
      <c r="O24" s="137"/>
      <c r="P24" s="137"/>
      <c r="Q24" s="137"/>
    </row>
    <row r="26" spans="2:30" ht="15.95">
      <c r="B26" s="147"/>
    </row>
    <row r="27" spans="2:30">
      <c r="G27" s="148"/>
    </row>
  </sheetData>
  <mergeCells count="1">
    <mergeCell ref="T4:AD6"/>
  </mergeCells>
  <conditionalFormatting sqref="E11:E16">
    <cfRule type="colorScale" priority="4">
      <colorScale>
        <cfvo type="min"/>
        <cfvo type="percentile" val="50"/>
        <cfvo type="max"/>
        <color rgb="FFF8696B"/>
        <color rgb="FFFCFCFF"/>
        <color rgb="FF63BE7B"/>
      </colorScale>
    </cfRule>
  </conditionalFormatting>
  <conditionalFormatting sqref="E19:E23">
    <cfRule type="colorScale" priority="2">
      <colorScale>
        <cfvo type="min"/>
        <cfvo type="percentile" val="50"/>
        <cfvo type="max"/>
        <color rgb="FFF8696B"/>
        <color rgb="FFFCFCFF"/>
        <color rgb="FF63BE7B"/>
      </colorScale>
    </cfRule>
  </conditionalFormatting>
  <conditionalFormatting sqref="H12:Q12">
    <cfRule type="colorScale" priority="3">
      <colorScale>
        <cfvo type="min"/>
        <cfvo type="percentile" val="50"/>
        <cfvo type="max"/>
        <color rgb="FFF8696B"/>
        <color rgb="FFFCFCFF"/>
        <color rgb="FF63BE7B"/>
      </colorScale>
    </cfRule>
  </conditionalFormatting>
  <conditionalFormatting sqref="H20:Q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8FAC-DB7F-4EB1-AF69-1224A7D6FC19}">
  <sheetPr codeName="Sheet2"/>
  <dimension ref="A1:X26"/>
  <sheetViews>
    <sheetView topLeftCell="D1" zoomScale="88" zoomScaleNormal="120" workbookViewId="0">
      <selection activeCell="H7" sqref="H7"/>
    </sheetView>
  </sheetViews>
  <sheetFormatPr defaultColWidth="8.7109375" defaultRowHeight="15"/>
  <cols>
    <col min="1" max="1" width="65.7109375" style="118" hidden="1" customWidth="1"/>
    <col min="2" max="3" width="9.140625" style="118" hidden="1" customWidth="1"/>
    <col min="4" max="4" width="7.7109375" style="164" customWidth="1"/>
    <col min="5" max="5" width="3.140625" style="118" customWidth="1"/>
    <col min="6" max="6" width="58" style="118" customWidth="1"/>
    <col min="7" max="7" width="2.7109375" style="118" customWidth="1"/>
    <col min="8" max="8" width="58.7109375" style="118" bestFit="1" customWidth="1"/>
    <col min="9" max="9" width="17.28515625" style="118" customWidth="1"/>
    <col min="10" max="10" width="27.42578125" style="118" customWidth="1"/>
    <col min="11" max="11" width="4.7109375" style="118" hidden="1" customWidth="1"/>
    <col min="12" max="12" width="1.28515625" style="118" customWidth="1"/>
    <col min="13" max="13" width="7" style="118" customWidth="1"/>
    <col min="14" max="14" width="7.7109375" style="118" bestFit="1" customWidth="1"/>
    <col min="15" max="15" width="20.7109375" style="118" customWidth="1"/>
    <col min="16" max="16" width="2.42578125" style="118" customWidth="1"/>
    <col min="17" max="17" width="42" style="118" customWidth="1"/>
    <col min="18" max="18" width="2.7109375" style="118" customWidth="1"/>
    <col min="19" max="19" width="18.7109375" style="117" customWidth="1"/>
    <col min="20" max="23" width="22.42578125" style="117" customWidth="1"/>
    <col min="24" max="24" width="18.7109375" style="117" customWidth="1"/>
    <col min="25" max="16384" width="8.7109375" style="118"/>
  </cols>
  <sheetData>
    <row r="1" spans="1:24" s="158" customFormat="1" ht="41.1" customHeight="1">
      <c r="D1" s="164"/>
      <c r="F1" s="185" t="s">
        <v>58</v>
      </c>
      <c r="S1" s="159"/>
      <c r="T1" s="159"/>
      <c r="U1" s="159"/>
      <c r="V1" s="159"/>
      <c r="W1" s="159"/>
      <c r="X1" s="159"/>
    </row>
    <row r="2" spans="1:24" ht="30.95" customHeight="1"/>
    <row r="3" spans="1:24" s="174" customFormat="1" ht="30" customHeight="1">
      <c r="A3" s="168"/>
      <c r="B3" s="168"/>
      <c r="C3" s="168"/>
      <c r="D3" s="169"/>
      <c r="E3" s="170"/>
      <c r="F3" s="176" t="s">
        <v>59</v>
      </c>
      <c r="G3" s="171"/>
      <c r="H3" s="171"/>
      <c r="I3" s="171"/>
      <c r="J3" s="171"/>
      <c r="K3" s="172"/>
      <c r="L3" s="173"/>
      <c r="M3" s="173"/>
      <c r="N3" s="177" t="s">
        <v>60</v>
      </c>
      <c r="O3" s="178"/>
      <c r="P3" s="178"/>
      <c r="Q3" s="178"/>
      <c r="S3" s="175"/>
      <c r="T3" s="175"/>
      <c r="U3" s="175"/>
      <c r="V3" s="175"/>
      <c r="W3" s="175"/>
      <c r="X3" s="175"/>
    </row>
    <row r="4" spans="1:24" s="117" customFormat="1" ht="15.95" thickBot="1">
      <c r="A4" s="1"/>
      <c r="B4" s="1"/>
      <c r="C4" s="1"/>
      <c r="D4" s="165"/>
      <c r="F4" s="1"/>
    </row>
    <row r="5" spans="1:24" ht="47.1">
      <c r="A5" s="12"/>
      <c r="B5" s="13"/>
      <c r="C5" s="160" t="s">
        <v>61</v>
      </c>
      <c r="D5" s="166"/>
      <c r="E5" s="116"/>
      <c r="F5" s="217" t="s">
        <v>62</v>
      </c>
      <c r="G5" s="116"/>
      <c r="H5" s="152" t="s">
        <v>63</v>
      </c>
      <c r="I5" s="153" t="s">
        <v>64</v>
      </c>
      <c r="J5" s="153" t="s">
        <v>65</v>
      </c>
      <c r="K5" s="125" t="s">
        <v>66</v>
      </c>
      <c r="N5" s="220" t="s">
        <v>67</v>
      </c>
      <c r="O5" s="220"/>
      <c r="P5" s="220"/>
      <c r="Q5" s="220"/>
    </row>
    <row r="6" spans="1:24" ht="15.95" thickBot="1">
      <c r="A6"/>
      <c r="B6"/>
      <c r="C6"/>
      <c r="F6" s="217"/>
      <c r="G6" s="116"/>
    </row>
    <row r="7" spans="1:24" ht="26.1" customHeight="1">
      <c r="A7" s="19">
        <f>IF(H7&lt;&gt;"",COUNTIF($K7:K$7,K7),"")</f>
        <v>1</v>
      </c>
      <c r="B7" s="10">
        <f t="shared" ref="B7:B25" si="0">IF(H7&lt;&gt;"",IFERROR(RANK(K7,$K$7:$K$25,0),1),"")</f>
        <v>1</v>
      </c>
      <c r="C7" s="161">
        <f t="shared" ref="C7:C25" si="1">IF(ISNUMBER(B7),B7+A7-1,"")</f>
        <v>1</v>
      </c>
      <c r="D7" s="166"/>
      <c r="E7" s="116"/>
      <c r="F7" s="217"/>
      <c r="G7" s="116"/>
      <c r="H7" s="200" t="s">
        <v>68</v>
      </c>
      <c r="I7" s="201">
        <v>5</v>
      </c>
      <c r="J7" s="201">
        <v>3</v>
      </c>
      <c r="K7">
        <f t="shared" ref="K7:K25" si="2">IF(H7&lt;&gt;"",(2*I7+J7),"")</f>
        <v>13</v>
      </c>
      <c r="M7" s="221">
        <v>1</v>
      </c>
      <c r="N7" s="223" t="str">
        <f>IFERROR(INDEX($A$5:$J$1048576,MATCH($M7,$C$5:$C$25,0),MATCH($H$5,$5:$5,0)),"")</f>
        <v>Energy price increase</v>
      </c>
      <c r="O7" s="224"/>
      <c r="P7" s="224"/>
      <c r="Q7" s="225"/>
    </row>
    <row r="8" spans="1:24" ht="26.25">
      <c r="A8" s="19">
        <f>IF(H8&lt;&gt;"",COUNTIF($K$7:K8,K8),"")</f>
        <v>1</v>
      </c>
      <c r="B8" s="10">
        <f t="shared" si="0"/>
        <v>7</v>
      </c>
      <c r="C8" s="162">
        <f t="shared" si="1"/>
        <v>7</v>
      </c>
      <c r="D8" s="166"/>
      <c r="E8" s="116"/>
      <c r="F8" s="217"/>
      <c r="G8" s="116"/>
      <c r="H8" s="202" t="s">
        <v>69</v>
      </c>
      <c r="I8" s="203">
        <v>4</v>
      </c>
      <c r="J8" s="203">
        <v>3</v>
      </c>
      <c r="K8">
        <f t="shared" si="2"/>
        <v>11</v>
      </c>
      <c r="M8" s="222"/>
      <c r="N8" s="226"/>
      <c r="O8" s="227"/>
      <c r="P8" s="227"/>
      <c r="Q8" s="228"/>
    </row>
    <row r="9" spans="1:24" ht="26.25">
      <c r="A9" s="19">
        <f>IF(H9&lt;&gt;"",COUNTIF($K$7:K9,K9),"")</f>
        <v>1</v>
      </c>
      <c r="B9" s="10">
        <f t="shared" si="0"/>
        <v>9</v>
      </c>
      <c r="C9" s="162">
        <f>IF(ISNUMBER(B9),B9+A9-1,"")</f>
        <v>9</v>
      </c>
      <c r="D9" s="166"/>
      <c r="E9" s="116"/>
      <c r="F9" s="217"/>
      <c r="G9" s="116"/>
      <c r="H9" s="204" t="s">
        <v>70</v>
      </c>
      <c r="I9" s="203">
        <v>3</v>
      </c>
      <c r="J9" s="203">
        <v>3</v>
      </c>
      <c r="K9">
        <f t="shared" si="2"/>
        <v>9</v>
      </c>
      <c r="M9" s="123"/>
    </row>
    <row r="10" spans="1:24" ht="52.5">
      <c r="A10" s="19">
        <f>IF(H10&lt;&gt;"",COUNTIF($K$7:K10,K10),"")</f>
        <v>2</v>
      </c>
      <c r="B10" s="10">
        <f t="shared" si="0"/>
        <v>1</v>
      </c>
      <c r="C10" s="162">
        <f t="shared" si="1"/>
        <v>2</v>
      </c>
      <c r="D10" s="166"/>
      <c r="E10" s="116"/>
      <c r="F10" s="217"/>
      <c r="G10" s="116"/>
      <c r="H10" s="204" t="s">
        <v>71</v>
      </c>
      <c r="I10" s="203">
        <v>4</v>
      </c>
      <c r="J10" s="203">
        <v>5</v>
      </c>
      <c r="K10">
        <f t="shared" si="2"/>
        <v>13</v>
      </c>
      <c r="M10" s="124">
        <v>2</v>
      </c>
      <c r="N10" s="229" t="str">
        <f t="shared" ref="N10:N15" si="3">IFERROR(INDEX($A$5:$J$1048576,MATCH($M10,$C$5:$C$25,0),MATCH($H$5,$5:$5,0)),"")</f>
        <v>Implement ESG in the commercial sector</v>
      </c>
      <c r="O10" s="229"/>
      <c r="P10" s="229"/>
      <c r="Q10" s="229"/>
    </row>
    <row r="11" spans="1:24" ht="26.25">
      <c r="A11" s="19">
        <f>IF(H11&lt;&gt;"",COUNTIF($K$7:K11,K11),"")</f>
        <v>1</v>
      </c>
      <c r="B11" s="10">
        <f t="shared" si="0"/>
        <v>3</v>
      </c>
      <c r="C11" s="162">
        <f t="shared" si="1"/>
        <v>3</v>
      </c>
      <c r="D11" s="166"/>
      <c r="E11" s="116"/>
      <c r="F11" s="217"/>
      <c r="G11" s="116"/>
      <c r="H11" s="204" t="s">
        <v>72</v>
      </c>
      <c r="I11" s="203">
        <v>4</v>
      </c>
      <c r="J11" s="203">
        <v>4</v>
      </c>
      <c r="K11">
        <f t="shared" si="2"/>
        <v>12</v>
      </c>
      <c r="M11" s="124">
        <v>3</v>
      </c>
      <c r="N11" s="229" t="str">
        <f t="shared" si="3"/>
        <v>Development of new products</v>
      </c>
      <c r="O11" s="229"/>
      <c r="P11" s="229"/>
      <c r="Q11" s="229"/>
    </row>
    <row r="12" spans="1:24" ht="26.25">
      <c r="A12" s="19">
        <f>IF(H12&lt;&gt;"",COUNTIF($K$7:K12,K12),"")</f>
        <v>2</v>
      </c>
      <c r="B12" s="10">
        <f t="shared" si="0"/>
        <v>9</v>
      </c>
      <c r="C12" s="162">
        <f t="shared" si="1"/>
        <v>10</v>
      </c>
      <c r="D12" s="166"/>
      <c r="E12" s="116"/>
      <c r="F12" s="217"/>
      <c r="G12" s="116"/>
      <c r="H12" s="204" t="s">
        <v>73</v>
      </c>
      <c r="I12" s="203">
        <v>3</v>
      </c>
      <c r="J12" s="203">
        <v>3</v>
      </c>
      <c r="K12">
        <f t="shared" si="2"/>
        <v>9</v>
      </c>
      <c r="M12" s="124">
        <v>4</v>
      </c>
      <c r="N12" s="229" t="str">
        <f t="shared" si="3"/>
        <v xml:space="preserve">Increase in demand for electricity </v>
      </c>
      <c r="O12" s="229"/>
      <c r="P12" s="229"/>
      <c r="Q12" s="229"/>
    </row>
    <row r="13" spans="1:24" ht="26.25">
      <c r="A13" s="19">
        <f>IF(H13&lt;&gt;"",COUNTIF($K$7:K13,K13),"")</f>
        <v>3</v>
      </c>
      <c r="B13" s="10">
        <f t="shared" si="0"/>
        <v>9</v>
      </c>
      <c r="C13" s="162">
        <f t="shared" si="1"/>
        <v>11</v>
      </c>
      <c r="D13" s="166"/>
      <c r="E13" s="116"/>
      <c r="F13" s="217"/>
      <c r="G13" s="116"/>
      <c r="H13" s="204" t="s">
        <v>74</v>
      </c>
      <c r="I13" s="203">
        <v>3</v>
      </c>
      <c r="J13" s="203">
        <v>3</v>
      </c>
      <c r="K13">
        <f>IF(H13&lt;&gt;"",(2*I13+J13),"")</f>
        <v>9</v>
      </c>
      <c r="M13" s="124">
        <v>5</v>
      </c>
      <c r="N13" s="229" t="str">
        <f t="shared" si="3"/>
        <v>Development of new services</v>
      </c>
      <c r="O13" s="229"/>
      <c r="P13" s="229"/>
      <c r="Q13" s="229"/>
      <c r="U13" s="117" t="s">
        <v>8</v>
      </c>
    </row>
    <row r="14" spans="1:24" ht="26.25">
      <c r="A14" s="19">
        <f>IF(H14&lt;&gt;"",COUNTIF($K$7:K14,K14),"")</f>
        <v>1</v>
      </c>
      <c r="B14" s="10">
        <f t="shared" si="0"/>
        <v>15</v>
      </c>
      <c r="C14" s="162">
        <f t="shared" si="1"/>
        <v>15</v>
      </c>
      <c r="D14" s="166"/>
      <c r="E14" s="116"/>
      <c r="F14" s="217"/>
      <c r="G14" s="116"/>
      <c r="H14" s="204" t="s">
        <v>75</v>
      </c>
      <c r="I14" s="203">
        <v>3</v>
      </c>
      <c r="J14" s="203">
        <v>2</v>
      </c>
      <c r="K14">
        <f>IF(H14&lt;&gt;"",(2*I14+J14),"")</f>
        <v>8</v>
      </c>
      <c r="M14" s="124">
        <v>6</v>
      </c>
      <c r="N14" s="229" t="str">
        <f t="shared" si="3"/>
        <v>Cooperation with big 4</v>
      </c>
      <c r="O14" s="229"/>
      <c r="P14" s="229"/>
      <c r="Q14" s="229"/>
    </row>
    <row r="15" spans="1:24" ht="52.5">
      <c r="A15" s="19">
        <f>IF(H15&lt;&gt;"",COUNTIF($K$7:K15,K15),"")</f>
        <v>4</v>
      </c>
      <c r="B15" s="10">
        <f t="shared" si="0"/>
        <v>9</v>
      </c>
      <c r="C15" s="162">
        <f>IF(ISNUMBER(B15),B15+A15-1,"")</f>
        <v>12</v>
      </c>
      <c r="D15" s="166"/>
      <c r="E15" s="116"/>
      <c r="F15" s="217"/>
      <c r="G15" s="116"/>
      <c r="H15" s="204" t="s">
        <v>76</v>
      </c>
      <c r="I15" s="203">
        <v>3</v>
      </c>
      <c r="J15" s="203">
        <v>3</v>
      </c>
      <c r="K15">
        <f t="shared" si="2"/>
        <v>9</v>
      </c>
      <c r="M15" s="124">
        <v>7</v>
      </c>
      <c r="N15" s="229" t="str">
        <f t="shared" si="3"/>
        <v>Increase in the price of components</v>
      </c>
      <c r="O15" s="229"/>
      <c r="P15" s="229"/>
      <c r="Q15" s="229"/>
    </row>
    <row r="16" spans="1:24" ht="52.5">
      <c r="A16" s="19">
        <f>IF(H16&lt;&gt;"",COUNTIF($K$7:K16,K16),"")</f>
        <v>5</v>
      </c>
      <c r="B16" s="10">
        <f t="shared" si="0"/>
        <v>9</v>
      </c>
      <c r="C16" s="162">
        <f t="shared" si="1"/>
        <v>13</v>
      </c>
      <c r="D16" s="166"/>
      <c r="E16" s="116"/>
      <c r="F16" s="217"/>
      <c r="G16" s="116"/>
      <c r="H16" s="204" t="s">
        <v>77</v>
      </c>
      <c r="I16" s="203">
        <v>3</v>
      </c>
      <c r="J16" s="203">
        <v>3</v>
      </c>
      <c r="K16">
        <f t="shared" si="2"/>
        <v>9</v>
      </c>
    </row>
    <row r="17" spans="1:19" ht="52.5">
      <c r="A17" s="19">
        <f>IF(H17&lt;&gt;"",COUNTIF($K$7:K17,K17),"")</f>
        <v>2</v>
      </c>
      <c r="B17" s="10">
        <f t="shared" si="0"/>
        <v>7</v>
      </c>
      <c r="C17" s="162">
        <f t="shared" si="1"/>
        <v>8</v>
      </c>
      <c r="D17" s="166"/>
      <c r="E17" s="116"/>
      <c r="F17" s="217"/>
      <c r="G17" s="116"/>
      <c r="H17" s="204" t="s">
        <v>78</v>
      </c>
      <c r="I17" s="203">
        <v>4</v>
      </c>
      <c r="J17" s="203">
        <v>3</v>
      </c>
      <c r="K17">
        <f t="shared" si="2"/>
        <v>11</v>
      </c>
      <c r="S17" s="118"/>
    </row>
    <row r="18" spans="1:19" ht="26.25">
      <c r="A18" s="19">
        <f>IF(H18&lt;&gt;"",COUNTIF($K$7:K18,K18),"")</f>
        <v>2</v>
      </c>
      <c r="B18" s="10">
        <f t="shared" si="0"/>
        <v>15</v>
      </c>
      <c r="C18" s="162">
        <f t="shared" si="1"/>
        <v>16</v>
      </c>
      <c r="D18" s="166"/>
      <c r="E18" s="116"/>
      <c r="F18" s="217"/>
      <c r="G18" s="116"/>
      <c r="H18" s="204" t="s">
        <v>79</v>
      </c>
      <c r="I18" s="203">
        <v>2</v>
      </c>
      <c r="J18" s="203">
        <v>4</v>
      </c>
      <c r="K18">
        <f t="shared" si="2"/>
        <v>8</v>
      </c>
    </row>
    <row r="19" spans="1:19" ht="52.5">
      <c r="A19" s="19">
        <f>IF(H19&lt;&gt;"",COUNTIF($K$7:K19,K19),"")</f>
        <v>2</v>
      </c>
      <c r="B19" s="10">
        <f t="shared" si="0"/>
        <v>3</v>
      </c>
      <c r="C19" s="162">
        <f t="shared" si="1"/>
        <v>4</v>
      </c>
      <c r="D19" s="166"/>
      <c r="E19" s="116"/>
      <c r="F19" s="217"/>
      <c r="G19" s="116"/>
      <c r="H19" s="204" t="s">
        <v>80</v>
      </c>
      <c r="I19" s="203">
        <v>4</v>
      </c>
      <c r="J19" s="203">
        <v>4</v>
      </c>
      <c r="K19">
        <f t="shared" si="2"/>
        <v>12</v>
      </c>
    </row>
    <row r="20" spans="1:19" ht="26.25">
      <c r="A20" s="19">
        <f>IF(H20&lt;&gt;"",COUNTIF($K$7:K20,K20),"")</f>
        <v>6</v>
      </c>
      <c r="B20" s="10">
        <f t="shared" si="0"/>
        <v>9</v>
      </c>
      <c r="C20" s="162">
        <f t="shared" si="1"/>
        <v>14</v>
      </c>
      <c r="D20" s="166"/>
      <c r="E20" s="116"/>
      <c r="F20" s="217"/>
      <c r="G20" s="116"/>
      <c r="H20" s="202" t="s">
        <v>81</v>
      </c>
      <c r="I20" s="203">
        <v>3</v>
      </c>
      <c r="J20" s="203">
        <v>3</v>
      </c>
      <c r="K20">
        <f t="shared" si="2"/>
        <v>9</v>
      </c>
    </row>
    <row r="21" spans="1:19" ht="26.25">
      <c r="A21" s="19">
        <f>IF(H21&lt;&gt;"",COUNTIF($K$7:K21,K21),"")</f>
        <v>3</v>
      </c>
      <c r="B21" s="10">
        <f t="shared" si="0"/>
        <v>3</v>
      </c>
      <c r="C21" s="162">
        <f t="shared" si="1"/>
        <v>5</v>
      </c>
      <c r="D21" s="166"/>
      <c r="E21" s="116"/>
      <c r="F21" s="217"/>
      <c r="G21" s="116"/>
      <c r="H21" s="202" t="s">
        <v>82</v>
      </c>
      <c r="I21" s="203">
        <v>4</v>
      </c>
      <c r="J21" s="203">
        <v>4</v>
      </c>
      <c r="K21">
        <f t="shared" si="2"/>
        <v>12</v>
      </c>
    </row>
    <row r="22" spans="1:19" ht="26.25">
      <c r="A22" s="19">
        <f>IF(H22&lt;&gt;"",COUNTIF($K$7:K22,K22),"")</f>
        <v>4</v>
      </c>
      <c r="B22" s="10">
        <f t="shared" si="0"/>
        <v>3</v>
      </c>
      <c r="C22" s="162">
        <f t="shared" si="1"/>
        <v>6</v>
      </c>
      <c r="D22" s="166"/>
      <c r="E22" s="116"/>
      <c r="F22" s="217"/>
      <c r="G22" s="116"/>
      <c r="H22" s="202" t="s">
        <v>83</v>
      </c>
      <c r="I22" s="203">
        <v>5</v>
      </c>
      <c r="J22" s="203">
        <v>2</v>
      </c>
      <c r="K22">
        <f t="shared" si="2"/>
        <v>12</v>
      </c>
    </row>
    <row r="23" spans="1:19" ht="26.1">
      <c r="A23" s="19" t="str">
        <f>IF(H23&lt;&gt;"",COUNTIF($K$7:K23,K23),"")</f>
        <v/>
      </c>
      <c r="B23" s="10" t="str">
        <f t="shared" si="0"/>
        <v/>
      </c>
      <c r="C23" s="162" t="str">
        <f t="shared" si="1"/>
        <v/>
      </c>
      <c r="D23" s="166"/>
      <c r="E23" s="116"/>
      <c r="F23" s="217"/>
      <c r="G23" s="116"/>
      <c r="H23" s="63"/>
      <c r="I23" s="21"/>
      <c r="J23" s="21"/>
      <c r="K23" t="str">
        <f t="shared" si="2"/>
        <v/>
      </c>
      <c r="N23" s="9" t="s">
        <v>84</v>
      </c>
      <c r="O23" s="218" t="s">
        <v>7</v>
      </c>
      <c r="P23" s="218"/>
      <c r="Q23" s="219"/>
    </row>
    <row r="24" spans="1:19" ht="26.1">
      <c r="A24" s="19" t="str">
        <f>IF(H24&lt;&gt;"",COUNTIF($K$7:K24,K24),"")</f>
        <v/>
      </c>
      <c r="B24" s="10" t="str">
        <f t="shared" si="0"/>
        <v/>
      </c>
      <c r="C24" s="162" t="str">
        <f t="shared" si="1"/>
        <v/>
      </c>
      <c r="D24" s="166"/>
      <c r="E24" s="116"/>
      <c r="F24" s="217"/>
      <c r="G24" s="116"/>
      <c r="H24" s="63"/>
      <c r="I24" s="21"/>
      <c r="J24" s="21"/>
      <c r="K24" t="str">
        <f t="shared" si="2"/>
        <v/>
      </c>
    </row>
    <row r="25" spans="1:19" ht="26.1">
      <c r="A25" s="19" t="str">
        <f>IF(H25&lt;&gt;"",COUNTIF($K$7:K25,K25),"")</f>
        <v/>
      </c>
      <c r="B25" s="10" t="str">
        <f t="shared" si="0"/>
        <v/>
      </c>
      <c r="C25" s="162" t="str">
        <f t="shared" si="1"/>
        <v/>
      </c>
      <c r="D25" s="166"/>
      <c r="E25" s="116"/>
      <c r="F25" s="217"/>
      <c r="G25" s="116"/>
      <c r="H25" s="63"/>
      <c r="I25" s="21"/>
      <c r="J25" s="21"/>
      <c r="K25" t="str">
        <f t="shared" si="2"/>
        <v/>
      </c>
      <c r="N25" s="9" t="s">
        <v>10</v>
      </c>
      <c r="O25" s="214" t="s">
        <v>85</v>
      </c>
      <c r="P25" s="214"/>
      <c r="Q25" s="215"/>
    </row>
    <row r="26" spans="1:19" ht="26.1">
      <c r="A26" s="119"/>
      <c r="B26" s="116"/>
      <c r="C26" s="163"/>
      <c r="D26" s="166"/>
      <c r="E26" s="117"/>
      <c r="F26" s="117"/>
      <c r="H26" s="120"/>
      <c r="I26" s="120"/>
      <c r="J26" s="120"/>
      <c r="M26" s="121"/>
      <c r="N26" s="122"/>
      <c r="O26" s="122"/>
      <c r="P26" s="122"/>
      <c r="Q26" s="122"/>
    </row>
  </sheetData>
  <mergeCells count="12">
    <mergeCell ref="F5:F25"/>
    <mergeCell ref="O23:Q23"/>
    <mergeCell ref="O25:Q25"/>
    <mergeCell ref="N5:Q5"/>
    <mergeCell ref="M7:M8"/>
    <mergeCell ref="N7:Q8"/>
    <mergeCell ref="N10:Q10"/>
    <mergeCell ref="N11:Q11"/>
    <mergeCell ref="N12:Q12"/>
    <mergeCell ref="N13:Q13"/>
    <mergeCell ref="N14:Q14"/>
    <mergeCell ref="N15:Q15"/>
  </mergeCells>
  <hyperlinks>
    <hyperlink ref="N19:N20" location="'FULL MARKET SEGMENTATION'!A1" display="TOP DRIVING FORCES" xr:uid="{80184F9C-CF08-4F36-A0ED-55E7116DACD6}"/>
    <hyperlink ref="O23:Q23" location="'Market size'!A1" display="Market Size" xr:uid="{82FE04D7-830E-4A28-A00A-F2B37BE1A423}"/>
    <hyperlink ref="O25:Q25" location="'Driving Forces impact'!A1" display="Driving Forces Impact" xr:uid="{7DE8D3DE-B300-4C46-A8F1-B866DA52258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981D-C05C-4D8D-A73F-BE19F4E81F18}">
  <sheetPr codeName="Sheet3"/>
  <dimension ref="A1:X24"/>
  <sheetViews>
    <sheetView topLeftCell="U1" zoomScaleNormal="100" workbookViewId="0">
      <selection activeCell="U35" sqref="U35"/>
    </sheetView>
  </sheetViews>
  <sheetFormatPr defaultColWidth="8.7109375" defaultRowHeight="15"/>
  <cols>
    <col min="1" max="1" width="7.7109375" style="183" customWidth="1"/>
    <col min="2" max="2" width="3.42578125" style="118" customWidth="1"/>
    <col min="3" max="3" width="42.7109375" style="133" customWidth="1"/>
    <col min="4" max="4" width="2.7109375" style="118" customWidth="1"/>
    <col min="5" max="5" width="29" style="118" customWidth="1"/>
    <col min="6" max="6" width="13.140625" style="118" customWidth="1"/>
    <col min="7" max="7" width="9.140625" style="118" customWidth="1"/>
    <col min="8" max="8" width="26.42578125" style="118" customWidth="1"/>
    <col min="9" max="9" width="18.7109375" style="118" customWidth="1"/>
    <col min="10" max="16" width="30" style="118" customWidth="1"/>
    <col min="17" max="17" width="16.42578125" style="118" hidden="1" customWidth="1"/>
    <col min="18" max="18" width="2.28515625" style="118" customWidth="1"/>
    <col min="19" max="19" width="18.7109375" style="117" customWidth="1"/>
    <col min="20" max="23" width="22.42578125" style="117" customWidth="1"/>
    <col min="24" max="24" width="18.7109375" style="117" customWidth="1"/>
    <col min="25" max="16384" width="8.7109375" style="118"/>
  </cols>
  <sheetData>
    <row r="1" spans="1:24" s="158" customFormat="1" ht="42.95" customHeight="1">
      <c r="A1" s="184"/>
      <c r="C1" s="185" t="s">
        <v>86</v>
      </c>
      <c r="S1" s="159"/>
      <c r="T1" s="159"/>
      <c r="U1" s="159"/>
      <c r="V1" s="159"/>
      <c r="W1" s="159"/>
      <c r="X1" s="159"/>
    </row>
    <row r="3" spans="1:24" ht="35.1" customHeight="1">
      <c r="C3" s="210" t="s">
        <v>87</v>
      </c>
      <c r="D3" s="210"/>
      <c r="E3" s="210"/>
      <c r="F3" s="210"/>
      <c r="G3" s="210"/>
      <c r="H3" s="210"/>
      <c r="I3" s="210"/>
      <c r="J3" s="210"/>
      <c r="K3" s="210"/>
      <c r="L3" s="210"/>
      <c r="M3" s="210"/>
      <c r="N3" s="210"/>
      <c r="O3" s="210"/>
      <c r="P3" s="210"/>
      <c r="Q3" s="11"/>
    </row>
    <row r="4" spans="1:24" s="117" customFormat="1" ht="8.25" customHeight="1">
      <c r="A4" s="184"/>
      <c r="C4" s="134"/>
      <c r="R4" s="118"/>
    </row>
    <row r="5" spans="1:24" s="117" customFormat="1" ht="66" customHeight="1">
      <c r="A5" s="184"/>
      <c r="C5" s="211" t="s">
        <v>88</v>
      </c>
      <c r="J5" s="30" t="str">
        <f>'Driving Forces brainstorm'!N7</f>
        <v>Energy price increase</v>
      </c>
      <c r="K5" s="30" t="str">
        <f>'Driving Forces brainstorm'!N10</f>
        <v>Implement ESG in the commercial sector</v>
      </c>
      <c r="L5" s="30" t="str">
        <f>'Driving Forces brainstorm'!N11</f>
        <v>Development of new products</v>
      </c>
      <c r="M5" s="30" t="str">
        <f>'Driving Forces brainstorm'!N12</f>
        <v xml:space="preserve">Increase in demand for electricity </v>
      </c>
      <c r="N5" s="30" t="str">
        <f>'Driving Forces brainstorm'!N13</f>
        <v>Development of new services</v>
      </c>
      <c r="O5" s="30" t="str">
        <f>'Driving Forces brainstorm'!N14</f>
        <v>Cooperation with big 4</v>
      </c>
      <c r="P5" s="30" t="str">
        <f>'Driving Forces brainstorm'!N15</f>
        <v>Increase in the price of components</v>
      </c>
      <c r="Q5" s="1"/>
      <c r="R5" s="118"/>
    </row>
    <row r="6" spans="1:24" s="117" customFormat="1" ht="25.5">
      <c r="A6" s="184"/>
      <c r="C6" s="212"/>
      <c r="E6" s="127" t="s">
        <v>3</v>
      </c>
      <c r="F6" s="127"/>
      <c r="G6" s="127"/>
      <c r="H6" s="127"/>
      <c r="I6" s="127"/>
      <c r="J6" s="205">
        <v>0.15</v>
      </c>
      <c r="K6" s="206">
        <v>0.15</v>
      </c>
      <c r="L6" s="207">
        <v>0.25</v>
      </c>
      <c r="M6" s="207">
        <v>0</v>
      </c>
      <c r="N6" s="207">
        <v>0.25</v>
      </c>
      <c r="O6" s="207">
        <v>0.05</v>
      </c>
      <c r="P6" s="207">
        <v>-0.05</v>
      </c>
      <c r="Q6" s="1">
        <f>(1+SUM(J6:P6))*'Market size'!K6</f>
        <v>237600</v>
      </c>
      <c r="R6" s="118"/>
    </row>
    <row r="7" spans="1:24" s="117" customFormat="1" ht="26.25">
      <c r="A7" s="184"/>
      <c r="C7" s="212"/>
      <c r="E7" s="127" t="s">
        <v>4</v>
      </c>
      <c r="F7" s="127"/>
      <c r="G7" s="127"/>
      <c r="H7" s="127"/>
      <c r="I7" s="127"/>
      <c r="J7" s="208">
        <v>0</v>
      </c>
      <c r="K7" s="209">
        <v>0</v>
      </c>
      <c r="L7" s="209">
        <v>0.3</v>
      </c>
      <c r="M7" s="209">
        <v>0</v>
      </c>
      <c r="N7" s="209">
        <v>0.3</v>
      </c>
      <c r="O7" s="209">
        <v>0</v>
      </c>
      <c r="P7" s="209">
        <v>0.25</v>
      </c>
      <c r="Q7" s="1">
        <f>(1+SUM(J7:P7))*'Market size'!K7</f>
        <v>1480000</v>
      </c>
      <c r="R7" s="118"/>
    </row>
    <row r="8" spans="1:24" s="117" customFormat="1" ht="26.25">
      <c r="A8" s="184"/>
      <c r="C8" s="212"/>
      <c r="E8" s="127" t="s">
        <v>5</v>
      </c>
      <c r="F8" s="127"/>
      <c r="G8" s="127"/>
      <c r="H8" s="127"/>
      <c r="I8" s="127"/>
      <c r="J8" s="208">
        <v>0.1</v>
      </c>
      <c r="K8" s="209">
        <v>0.05</v>
      </c>
      <c r="L8" s="209">
        <v>0</v>
      </c>
      <c r="M8" s="209">
        <v>0</v>
      </c>
      <c r="N8" s="209">
        <v>0</v>
      </c>
      <c r="O8" s="209">
        <v>0</v>
      </c>
      <c r="P8" s="209">
        <v>0</v>
      </c>
      <c r="Q8" s="1">
        <f>(1+SUM(J8:P8))*'Market size'!K8</f>
        <v>1.84E-2</v>
      </c>
      <c r="R8" s="118"/>
    </row>
    <row r="9" spans="1:24" ht="26.25">
      <c r="C9" s="212"/>
      <c r="E9" s="127" t="s">
        <v>6</v>
      </c>
      <c r="F9" s="127"/>
      <c r="G9" s="127"/>
      <c r="H9" s="127"/>
      <c r="I9" s="127"/>
      <c r="J9" s="208">
        <v>0</v>
      </c>
      <c r="K9" s="209">
        <v>0</v>
      </c>
      <c r="L9" s="209">
        <v>0.25</v>
      </c>
      <c r="M9" s="209">
        <v>0</v>
      </c>
      <c r="N9" s="209">
        <v>0.25</v>
      </c>
      <c r="O9" s="209">
        <v>-0.25</v>
      </c>
      <c r="P9" s="209">
        <v>0</v>
      </c>
      <c r="Q9" s="32">
        <f>(1+SUM(J9:P9))*'Market size'!K9</f>
        <v>0.25</v>
      </c>
    </row>
    <row r="10" spans="1:24" ht="39.75" customHeight="1">
      <c r="C10" s="212"/>
    </row>
    <row r="11" spans="1:24" ht="36.950000000000003">
      <c r="C11" s="212"/>
      <c r="E11" s="7" t="s">
        <v>89</v>
      </c>
      <c r="F11" s="8">
        <f ca="1">YEAR(TODAY())+3</f>
        <v>2028</v>
      </c>
      <c r="H11" s="230">
        <f>Q6</f>
        <v>237600</v>
      </c>
      <c r="I11" s="230"/>
    </row>
    <row r="12" spans="1:24" ht="9" customHeight="1">
      <c r="C12" s="212"/>
    </row>
    <row r="13" spans="1:24" ht="36.950000000000003">
      <c r="C13" s="212"/>
      <c r="E13" s="7" t="s">
        <v>7</v>
      </c>
      <c r="F13" s="8">
        <f ca="1">YEAR(TODAY())+3</f>
        <v>2028</v>
      </c>
      <c r="H13" s="231">
        <f>'Market size'!I12*((1+SUM(J6:P6))*(1+SUM(J7:P7))*(1+SUM(J8:P8)))</f>
        <v>6470323200</v>
      </c>
      <c r="I13" s="231"/>
      <c r="N13" s="9" t="s">
        <v>84</v>
      </c>
      <c r="O13" s="218" t="s">
        <v>11</v>
      </c>
      <c r="P13" s="219"/>
      <c r="Q13">
        <f>Q6*Q7*Q8</f>
        <v>6470323200</v>
      </c>
      <c r="U13" s="117" t="s">
        <v>8</v>
      </c>
    </row>
    <row r="14" spans="1:24" ht="9.75" customHeight="1">
      <c r="C14" s="212"/>
      <c r="E14" s="117"/>
      <c r="F14" s="117"/>
      <c r="H14" s="117"/>
      <c r="I14" s="135"/>
      <c r="Q14"/>
    </row>
    <row r="15" spans="1:24" ht="36.950000000000003">
      <c r="C15" s="212"/>
      <c r="E15" s="7" t="s">
        <v>9</v>
      </c>
      <c r="F15" s="8">
        <f ca="1">YEAR(TODAY())+3</f>
        <v>2028</v>
      </c>
      <c r="H15" s="231">
        <f>H13*'Market size'!K9*(1+SUM(J9:P9))</f>
        <v>1617580800</v>
      </c>
      <c r="I15" s="231"/>
      <c r="N15" s="180" t="s">
        <v>10</v>
      </c>
      <c r="O15" s="232" t="s">
        <v>90</v>
      </c>
      <c r="P15" s="232"/>
      <c r="Q15" s="181">
        <f>Q13*Q9</f>
        <v>1617580800</v>
      </c>
      <c r="R15" s="181"/>
      <c r="S15" s="182"/>
      <c r="U15" s="117" t="s">
        <v>8</v>
      </c>
    </row>
    <row r="16" spans="1:24">
      <c r="N16" s="181"/>
      <c r="O16" s="181"/>
      <c r="P16" s="181"/>
      <c r="Q16" s="181"/>
      <c r="R16" s="181"/>
      <c r="S16" s="182"/>
    </row>
    <row r="17" spans="5:19">
      <c r="N17" s="181"/>
      <c r="O17" s="181"/>
      <c r="P17" s="181"/>
      <c r="Q17" s="181"/>
      <c r="R17" s="181"/>
      <c r="S17" s="182"/>
    </row>
    <row r="18" spans="5:19">
      <c r="N18" s="181"/>
      <c r="O18" s="181"/>
      <c r="P18" s="181"/>
      <c r="Q18" s="181"/>
      <c r="R18" s="181"/>
      <c r="S18" s="182"/>
    </row>
    <row r="19" spans="5:19">
      <c r="N19" s="181"/>
      <c r="O19" s="181"/>
      <c r="P19" s="181"/>
      <c r="Q19" s="181"/>
      <c r="R19" s="181"/>
      <c r="S19" s="181"/>
    </row>
    <row r="20" spans="5:19">
      <c r="N20" s="181"/>
      <c r="O20" s="181"/>
      <c r="P20" s="181"/>
      <c r="Q20" s="181"/>
      <c r="R20" s="181"/>
      <c r="S20" s="182"/>
    </row>
    <row r="21" spans="5:19">
      <c r="N21" s="181"/>
      <c r="O21" s="181"/>
      <c r="P21" s="181"/>
      <c r="Q21" s="181"/>
      <c r="R21" s="181"/>
      <c r="S21" s="182"/>
    </row>
    <row r="22" spans="5:19" ht="29.1">
      <c r="E22" s="117"/>
      <c r="F22" s="117"/>
      <c r="H22" s="117"/>
      <c r="I22" s="135"/>
      <c r="N22" s="181"/>
      <c r="O22" s="181"/>
      <c r="P22" s="181"/>
      <c r="Q22" s="181"/>
      <c r="R22" s="181"/>
      <c r="S22" s="182"/>
    </row>
    <row r="23" spans="5:19">
      <c r="N23" s="181"/>
      <c r="O23" s="181"/>
      <c r="P23" s="181"/>
      <c r="Q23" s="181"/>
      <c r="R23" s="181"/>
      <c r="S23" s="182"/>
    </row>
    <row r="24" spans="5:19">
      <c r="N24" s="181"/>
      <c r="O24" s="181"/>
      <c r="P24" s="181"/>
      <c r="Q24" s="181"/>
      <c r="R24" s="181"/>
      <c r="S24" s="182"/>
    </row>
  </sheetData>
  <mergeCells count="8">
    <mergeCell ref="C3:K3"/>
    <mergeCell ref="L3:P3"/>
    <mergeCell ref="C5:C15"/>
    <mergeCell ref="H11:I11"/>
    <mergeCell ref="H13:I13"/>
    <mergeCell ref="O13:P13"/>
    <mergeCell ref="H15:I15"/>
    <mergeCell ref="O15:P15"/>
  </mergeCells>
  <hyperlinks>
    <hyperlink ref="O13:P13" location="'Driving Forces brainstorm'!A1" display="Driving Forces Brainstorm" xr:uid="{39C65922-24B5-4C22-9E95-7EDA8B1E6121}"/>
    <hyperlink ref="O15:P15" location="'Segment brainstorm'!A1" display="Segment Brainstorm" xr:uid="{9E75D1AB-FD46-466A-9535-CB1E462F2D1F}"/>
    <hyperlink ref="O15" location="'Segment Brainstorm'!A1" display="Segmentation Brainstorm" xr:uid="{5C91F78A-2B38-4D00-ABD6-794E1213C97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92428-280D-4CB9-8D5B-980B97766BCA}">
  <sheetPr codeName="Sheet4"/>
  <dimension ref="A1:T40"/>
  <sheetViews>
    <sheetView tabSelected="1" topLeftCell="E1" zoomScale="109" zoomScaleNormal="90" workbookViewId="0">
      <selection activeCell="K7" sqref="K7"/>
    </sheetView>
  </sheetViews>
  <sheetFormatPr defaultColWidth="8.85546875" defaultRowHeight="15"/>
  <cols>
    <col min="1" max="1" width="8.85546875" style="118"/>
    <col min="2" max="2" width="4.42578125" style="118" customWidth="1"/>
    <col min="3" max="3" width="55.42578125" style="118" customWidth="1"/>
    <col min="4" max="4" width="2.85546875" style="118" customWidth="1"/>
    <col min="5" max="5" width="50.85546875" style="118" customWidth="1"/>
    <col min="6" max="6" width="42.85546875" style="118" customWidth="1"/>
    <col min="7" max="7" width="42.7109375" style="118" customWidth="1"/>
    <col min="8" max="8" width="19.42578125" style="118" hidden="1" customWidth="1"/>
    <col min="9" max="9" width="1.42578125" style="118" customWidth="1"/>
    <col min="10" max="10" width="7" style="118" customWidth="1"/>
    <col min="11" max="11" width="7.42578125" style="118" bestFit="1" customWidth="1"/>
    <col min="12" max="12" width="20.42578125" style="118" customWidth="1"/>
    <col min="13" max="13" width="2.42578125" style="118" customWidth="1"/>
    <col min="14" max="14" width="20.42578125" style="118" customWidth="1"/>
    <col min="15" max="15" width="18.85546875" style="117" customWidth="1"/>
    <col min="16" max="19" width="22.42578125" style="117" customWidth="1"/>
    <col min="20" max="20" width="18.85546875" style="117" customWidth="1"/>
    <col min="21" max="16384" width="8.85546875" style="118"/>
  </cols>
  <sheetData>
    <row r="1" spans="1:20" s="186" customFormat="1" ht="40.5" customHeight="1">
      <c r="A1" s="183"/>
      <c r="C1" s="185" t="s">
        <v>91</v>
      </c>
      <c r="O1" s="187"/>
      <c r="P1" s="187"/>
      <c r="Q1" s="187"/>
      <c r="R1" s="187"/>
      <c r="S1" s="187"/>
      <c r="T1" s="187"/>
    </row>
    <row r="2" spans="1:20">
      <c r="A2" s="183"/>
    </row>
    <row r="3" spans="1:20" ht="47.1" hidden="1">
      <c r="A3" s="183"/>
      <c r="B3" s="116"/>
      <c r="C3" s="11" t="s">
        <v>92</v>
      </c>
      <c r="D3" s="11"/>
      <c r="E3" s="11"/>
      <c r="F3" s="11"/>
      <c r="G3" s="11"/>
      <c r="H3" s="11"/>
      <c r="I3" s="11"/>
      <c r="J3" s="11"/>
      <c r="K3" s="11"/>
      <c r="L3" s="11"/>
      <c r="M3" s="11"/>
      <c r="N3" s="11"/>
    </row>
    <row r="4" spans="1:20" s="117" customFormat="1" ht="7.5" customHeight="1">
      <c r="A4" s="184"/>
    </row>
    <row r="5" spans="1:20" ht="28.5">
      <c r="A5" s="184"/>
      <c r="B5" s="116"/>
      <c r="C5" s="15"/>
      <c r="D5" s="116"/>
      <c r="E5" s="16" t="s">
        <v>93</v>
      </c>
      <c r="F5" s="17" t="s">
        <v>94</v>
      </c>
      <c r="G5" s="17" t="s">
        <v>95</v>
      </c>
      <c r="H5" s="62"/>
      <c r="K5" s="241" t="s">
        <v>96</v>
      </c>
      <c r="L5" s="241"/>
      <c r="M5" s="241"/>
      <c r="N5" s="241"/>
    </row>
    <row r="6" spans="1:20" ht="3" customHeight="1">
      <c r="A6" s="184"/>
      <c r="C6"/>
      <c r="D6" s="116"/>
      <c r="E6"/>
      <c r="F6"/>
      <c r="G6"/>
      <c r="H6"/>
    </row>
    <row r="7" spans="1:20" ht="26.25">
      <c r="A7" s="184"/>
      <c r="B7" s="116"/>
      <c r="C7" s="242" t="s">
        <v>97</v>
      </c>
      <c r="D7" s="116"/>
      <c r="E7" s="63" t="s">
        <v>98</v>
      </c>
      <c r="F7" s="63" t="s">
        <v>98</v>
      </c>
      <c r="G7" s="63" t="s">
        <v>99</v>
      </c>
      <c r="H7" s="64" t="str" cm="1">
        <f t="array" ref="H7">IFERROR(INDEX($G$7:$G$490, MATCH(0,COUNTIF($H$6:H6, $G$7:$G$490), 0)),"")</f>
        <v xml:space="preserve">Cały rynek </v>
      </c>
      <c r="J7" s="239">
        <v>1</v>
      </c>
      <c r="K7" s="233" t="s">
        <v>100</v>
      </c>
      <c r="L7" s="234"/>
      <c r="M7" s="234"/>
      <c r="N7" s="235"/>
    </row>
    <row r="8" spans="1:20" ht="26.25">
      <c r="A8" s="184"/>
      <c r="B8" s="116"/>
      <c r="C8" s="217"/>
      <c r="D8" s="116"/>
      <c r="E8" s="63" t="s">
        <v>101</v>
      </c>
      <c r="F8" s="63" t="s">
        <v>102</v>
      </c>
      <c r="G8" s="63" t="s">
        <v>103</v>
      </c>
      <c r="H8" s="64" t="str" cm="1">
        <f t="array" ref="H8">IFERROR(INDEX($G$7:$G$490, MATCH(0,COUNTIF($H$6:H7, $G$7:$G$490), 0)),"")</f>
        <v>Przedsiębiorstwa na taryfie C/B</v>
      </c>
      <c r="J8" s="240">
        <v>2</v>
      </c>
      <c r="K8" s="236"/>
      <c r="L8" s="237"/>
      <c r="M8" s="237"/>
      <c r="N8" s="238"/>
    </row>
    <row r="9" spans="1:20" ht="26.25">
      <c r="A9" s="183"/>
      <c r="B9" s="116"/>
      <c r="C9" s="217"/>
      <c r="D9" s="116"/>
      <c r="E9" s="63" t="s">
        <v>104</v>
      </c>
      <c r="F9" s="63" t="s">
        <v>105</v>
      </c>
      <c r="G9" s="63" t="s">
        <v>99</v>
      </c>
      <c r="H9" s="64" t="str" cm="1">
        <f t="array" ref="H9">IFERROR(INDEX($G$7:$G$490, MATCH(0,COUNTIF($H$6:H8, $G$7:$G$490), 0)),"")</f>
        <v>Przedsiębiorstwa</v>
      </c>
      <c r="J9" s="239">
        <v>2</v>
      </c>
      <c r="K9" s="233" t="s">
        <v>106</v>
      </c>
      <c r="L9" s="234"/>
      <c r="M9" s="234"/>
      <c r="N9" s="235"/>
    </row>
    <row r="10" spans="1:20" ht="26.25">
      <c r="A10" s="183"/>
      <c r="B10" s="116"/>
      <c r="C10" s="217"/>
      <c r="D10" s="116"/>
      <c r="E10" s="63" t="s">
        <v>107</v>
      </c>
      <c r="F10" s="63" t="s">
        <v>108</v>
      </c>
      <c r="G10" s="63" t="s">
        <v>99</v>
      </c>
      <c r="H10" s="64" cm="1">
        <f t="array" ref="H10">IFERROR(INDEX($G$7:$G$490, MATCH(0,COUNTIF($H$6:H9, $G$7:$G$490), 0)),"")</f>
        <v>0</v>
      </c>
      <c r="J10" s="240"/>
      <c r="K10" s="236"/>
      <c r="L10" s="237"/>
      <c r="M10" s="237"/>
      <c r="N10" s="238"/>
    </row>
    <row r="11" spans="1:20" ht="26.25">
      <c r="A11" s="183"/>
      <c r="B11" s="116"/>
      <c r="C11" s="217"/>
      <c r="D11" s="116"/>
      <c r="E11" s="63" t="s">
        <v>109</v>
      </c>
      <c r="F11" s="63" t="s">
        <v>110</v>
      </c>
      <c r="G11" s="63" t="s">
        <v>111</v>
      </c>
      <c r="H11" s="64" t="str" cm="1">
        <f t="array" ref="H11">IFERROR(INDEX($G$7:$G$490, MATCH(0,COUNTIF($H$6:H10, $G$7:$G$490), 0)),"")</f>
        <v/>
      </c>
      <c r="J11" s="239">
        <v>3</v>
      </c>
      <c r="K11" s="233" t="s">
        <v>112</v>
      </c>
      <c r="L11" s="234"/>
      <c r="M11" s="234"/>
      <c r="N11" s="235"/>
    </row>
    <row r="12" spans="1:20" ht="26.25">
      <c r="A12" s="183"/>
      <c r="B12" s="116"/>
      <c r="C12" s="217"/>
      <c r="D12" s="116"/>
      <c r="E12" s="63" t="s">
        <v>113</v>
      </c>
      <c r="F12" s="63" t="s">
        <v>114</v>
      </c>
      <c r="G12" s="63" t="s">
        <v>99</v>
      </c>
      <c r="H12" s="64" t="str" cm="1">
        <f t="array" ref="H12">IFERROR(INDEX($G$7:$G$490, MATCH(0,COUNTIF($H$6:H11, $G$7:$G$490), 0)),"")</f>
        <v/>
      </c>
      <c r="J12" s="240"/>
      <c r="K12" s="236"/>
      <c r="L12" s="237"/>
      <c r="M12" s="237"/>
      <c r="N12" s="238"/>
    </row>
    <row r="13" spans="1:20" ht="26.25">
      <c r="A13" s="183"/>
      <c r="B13" s="116"/>
      <c r="C13" s="217"/>
      <c r="D13" s="116"/>
      <c r="E13" s="63" t="s">
        <v>115</v>
      </c>
      <c r="F13" s="63" t="s">
        <v>116</v>
      </c>
      <c r="G13" s="63" t="s">
        <v>99</v>
      </c>
      <c r="H13" s="64" t="str" cm="1">
        <f t="array" ref="H13">IFERROR(INDEX($G$7:$G$490, MATCH(0,COUNTIF($H$6:H12, $G$7:$G$490), 0)),"")</f>
        <v/>
      </c>
      <c r="J13" s="239">
        <v>4</v>
      </c>
      <c r="K13" s="233" t="s">
        <v>117</v>
      </c>
      <c r="L13" s="234"/>
      <c r="M13" s="234"/>
      <c r="N13" s="235"/>
      <c r="Q13" s="117" t="s">
        <v>8</v>
      </c>
    </row>
    <row r="14" spans="1:20" ht="26.25">
      <c r="A14" s="183"/>
      <c r="B14" s="116"/>
      <c r="C14" s="217"/>
      <c r="D14" s="116"/>
      <c r="E14" s="63" t="s">
        <v>118</v>
      </c>
      <c r="F14" s="63" t="s">
        <v>119</v>
      </c>
      <c r="G14" s="63" t="s">
        <v>99</v>
      </c>
      <c r="H14" s="64" t="str" cm="1">
        <f t="array" ref="H14">IFERROR(INDEX($G$7:$G$490, MATCH(0,COUNTIF($H$6:H13, $G$7:$G$490), 0)),"")</f>
        <v/>
      </c>
      <c r="J14" s="240"/>
      <c r="K14" s="236"/>
      <c r="L14" s="237"/>
      <c r="M14" s="237"/>
      <c r="N14" s="238"/>
    </row>
    <row r="15" spans="1:20" ht="26.1" customHeight="1">
      <c r="A15" s="183"/>
      <c r="B15" s="116"/>
      <c r="C15" s="217"/>
      <c r="D15" s="116"/>
      <c r="E15" s="63" t="s">
        <v>120</v>
      </c>
      <c r="F15" s="63"/>
      <c r="G15" s="63"/>
      <c r="H15" s="64" t="str" cm="1">
        <f t="array" ref="H15">IFERROR(INDEX($G$7:$G$490, MATCH(0,COUNTIF($H$6:H14, $G$7:$G$490), 0)),"")</f>
        <v/>
      </c>
      <c r="J15" s="239">
        <v>5</v>
      </c>
      <c r="K15" s="233" t="s">
        <v>121</v>
      </c>
      <c r="L15" s="234"/>
      <c r="M15" s="234"/>
      <c r="N15" s="235"/>
    </row>
    <row r="16" spans="1:20" ht="26.1" customHeight="1">
      <c r="A16" s="183"/>
      <c r="B16" s="116"/>
      <c r="C16" s="217"/>
      <c r="D16" s="116"/>
      <c r="E16" s="63" t="s">
        <v>122</v>
      </c>
      <c r="F16" s="63"/>
      <c r="G16" s="63"/>
      <c r="H16" s="64" t="str" cm="1">
        <f t="array" ref="H16">IFERROR(INDEX($G$7:$G$490, MATCH(0,COUNTIF($H$6:H15, $G$7:$G$490), 0)),"")</f>
        <v/>
      </c>
      <c r="J16" s="240"/>
      <c r="K16" s="236"/>
      <c r="L16" s="237"/>
      <c r="M16" s="237"/>
      <c r="N16" s="238"/>
    </row>
    <row r="17" spans="1:15" ht="26.25">
      <c r="A17" s="183"/>
      <c r="B17" s="116"/>
      <c r="C17" s="217"/>
      <c r="D17" s="116"/>
      <c r="E17" s="63" t="s">
        <v>123</v>
      </c>
      <c r="F17" s="63"/>
      <c r="G17" s="63"/>
      <c r="H17" s="64" t="str" cm="1">
        <f t="array" ref="H17">IFERROR(INDEX($G$7:$G$490, MATCH(0,COUNTIF($H$6:H16, $G$7:$G$490), 0)),"")</f>
        <v/>
      </c>
      <c r="J17" s="239">
        <v>6</v>
      </c>
      <c r="K17" s="233" t="s">
        <v>124</v>
      </c>
      <c r="L17" s="234"/>
      <c r="M17" s="234"/>
      <c r="N17" s="235"/>
      <c r="O17" s="118"/>
    </row>
    <row r="18" spans="1:15" ht="26.25">
      <c r="A18" s="183"/>
      <c r="B18" s="116"/>
      <c r="C18" s="217"/>
      <c r="D18" s="116"/>
      <c r="E18" s="63" t="s">
        <v>125</v>
      </c>
      <c r="F18" s="63"/>
      <c r="G18" s="63"/>
      <c r="H18" s="64" t="str" cm="1">
        <f t="array" ref="H18">IFERROR(INDEX($G$7:$G$490, MATCH(0,COUNTIF($H$6:H17, $G$7:$G$490), 0)),"")</f>
        <v/>
      </c>
      <c r="J18" s="240"/>
      <c r="K18" s="236"/>
      <c r="L18" s="237"/>
      <c r="M18" s="237"/>
      <c r="N18" s="238"/>
    </row>
    <row r="19" spans="1:15" ht="26.1" customHeight="1">
      <c r="A19" s="183"/>
      <c r="B19" s="116"/>
      <c r="C19" s="217"/>
      <c r="D19" s="116"/>
      <c r="E19" s="63" t="s">
        <v>126</v>
      </c>
      <c r="F19" s="63"/>
      <c r="G19" s="63"/>
      <c r="H19" s="64" t="str" cm="1">
        <f t="array" ref="H19">IFERROR(INDEX($G$7:$G$490, MATCH(0,COUNTIF($H$6:H18, $G$7:$G$490), 0)),"")</f>
        <v/>
      </c>
      <c r="J19" s="239">
        <v>7</v>
      </c>
      <c r="K19" s="233"/>
      <c r="L19" s="234"/>
      <c r="M19" s="234"/>
      <c r="N19" s="235"/>
    </row>
    <row r="20" spans="1:15" ht="26.1" customHeight="1">
      <c r="A20" s="183"/>
      <c r="B20" s="116"/>
      <c r="C20" s="217"/>
      <c r="D20" s="116"/>
      <c r="E20" s="63" t="s">
        <v>119</v>
      </c>
      <c r="F20" s="63"/>
      <c r="G20" s="63"/>
      <c r="H20" s="64" t="str" cm="1">
        <f t="array" ref="H20">IFERROR(INDEX($G$7:$G$490, MATCH(0,COUNTIF($H$6:H19, $G$7:$G$490), 0)),"")</f>
        <v/>
      </c>
      <c r="J20" s="240"/>
      <c r="K20" s="236"/>
      <c r="L20" s="237"/>
      <c r="M20" s="237"/>
      <c r="N20" s="238"/>
    </row>
    <row r="21" spans="1:15" ht="26.25">
      <c r="A21" s="183"/>
      <c r="B21" s="116"/>
      <c r="C21" s="217"/>
      <c r="D21" s="116"/>
      <c r="E21" s="63"/>
      <c r="F21" s="63"/>
      <c r="G21" s="63"/>
      <c r="H21" s="64" t="str" cm="1">
        <f t="array" ref="H21">IFERROR(INDEX($G$7:$G$490, MATCH(0,COUNTIF($H$6:H20, $G$7:$G$490), 0)),"")</f>
        <v/>
      </c>
      <c r="J21" s="239">
        <v>8</v>
      </c>
      <c r="K21" s="233"/>
      <c r="L21" s="234"/>
      <c r="M21" s="234"/>
      <c r="N21" s="235"/>
    </row>
    <row r="22" spans="1:15" ht="26.1">
      <c r="A22" s="183"/>
      <c r="B22" s="116"/>
      <c r="C22" s="217"/>
      <c r="D22" s="116"/>
      <c r="E22" s="63"/>
      <c r="F22" s="63"/>
      <c r="G22" s="63"/>
      <c r="H22" s="64" t="str" cm="1">
        <f t="array" ref="H22">IFERROR(INDEX($G$7:$G$490, MATCH(0,COUNTIF($H$6:H21, $G$7:$G$490), 0)),"")</f>
        <v/>
      </c>
      <c r="J22" s="240"/>
      <c r="K22" s="236"/>
      <c r="L22" s="237"/>
      <c r="M22" s="237"/>
      <c r="N22" s="238"/>
    </row>
    <row r="23" spans="1:15" ht="26.1">
      <c r="A23" s="183"/>
      <c r="B23" s="116"/>
      <c r="C23" s="217"/>
      <c r="D23" s="116"/>
      <c r="E23" s="63"/>
      <c r="F23" s="63"/>
      <c r="G23" s="63"/>
      <c r="H23" s="64" t="str" cm="1">
        <f t="array" ref="H23">IFERROR(INDEX($G$7:$G$490, MATCH(0,COUNTIF($H$6:H22, $G$7:$G$490), 0)),"")</f>
        <v/>
      </c>
    </row>
    <row r="24" spans="1:15" ht="26.1">
      <c r="A24" s="183"/>
      <c r="B24" s="116"/>
      <c r="C24" s="217"/>
      <c r="D24" s="116"/>
      <c r="E24" s="63"/>
      <c r="F24" s="63"/>
      <c r="G24" s="63"/>
      <c r="H24" s="64" t="str" cm="1">
        <f t="array" ref="H24">IFERROR(INDEX($G$7:$G$490, MATCH(0,COUNTIF($H$6:H23, $G$7:$G$490), 0)),"")</f>
        <v/>
      </c>
      <c r="K24" s="9" t="s">
        <v>84</v>
      </c>
      <c r="L24" s="218" t="s">
        <v>85</v>
      </c>
      <c r="M24" s="218"/>
      <c r="N24" s="219"/>
    </row>
    <row r="25" spans="1:15" ht="26.1">
      <c r="A25" s="183"/>
      <c r="B25" s="116"/>
      <c r="C25" s="217"/>
      <c r="D25" s="116"/>
      <c r="E25" s="63"/>
      <c r="F25" s="63"/>
      <c r="G25" s="63"/>
      <c r="H25" s="64" t="str" cm="1">
        <f t="array" ref="H25">IFERROR(INDEX($G$7:$G$490, MATCH(0,COUNTIF($H$6:H24, $G$7:$G$490), 0)),"")</f>
        <v/>
      </c>
    </row>
    <row r="26" spans="1:15" ht="24">
      <c r="A26" s="183"/>
      <c r="B26" s="116"/>
      <c r="D26" s="116"/>
      <c r="E26" s="120"/>
      <c r="F26" s="120"/>
      <c r="G26" s="120"/>
      <c r="H26" s="120"/>
      <c r="J26" s="121"/>
      <c r="K26" s="9" t="s">
        <v>10</v>
      </c>
      <c r="L26" s="65" t="s">
        <v>127</v>
      </c>
      <c r="M26" s="65"/>
      <c r="N26" s="66"/>
    </row>
    <row r="27" spans="1:15">
      <c r="A27" s="183"/>
      <c r="D27" s="116"/>
    </row>
    <row r="28" spans="1:15">
      <c r="A28" s="183"/>
      <c r="D28" s="116"/>
    </row>
    <row r="29" spans="1:15">
      <c r="A29" s="183"/>
      <c r="D29" s="116"/>
    </row>
    <row r="30" spans="1:15">
      <c r="A30" s="183"/>
      <c r="D30" s="116"/>
    </row>
    <row r="31" spans="1:15">
      <c r="A31" s="183"/>
      <c r="D31" s="116"/>
    </row>
    <row r="32" spans="1:15">
      <c r="A32" s="183"/>
      <c r="D32" s="116"/>
    </row>
    <row r="33" spans="1:4">
      <c r="A33" s="183"/>
      <c r="D33" s="116"/>
    </row>
    <row r="34" spans="1:4">
      <c r="A34" s="183"/>
      <c r="D34" s="116"/>
    </row>
    <row r="35" spans="1:4">
      <c r="A35" s="183"/>
      <c r="D35" s="116"/>
    </row>
    <row r="36" spans="1:4">
      <c r="A36" s="183"/>
      <c r="D36" s="116"/>
    </row>
    <row r="37" spans="1:4">
      <c r="A37" s="183"/>
      <c r="D37" s="116"/>
    </row>
    <row r="38" spans="1:4">
      <c r="A38" s="183"/>
      <c r="D38" s="116"/>
    </row>
    <row r="39" spans="1:4">
      <c r="A39" s="183"/>
      <c r="D39" s="116"/>
    </row>
    <row r="40" spans="1:4">
      <c r="A40" s="183"/>
      <c r="D40" s="116"/>
    </row>
  </sheetData>
  <mergeCells count="19">
    <mergeCell ref="J15:J16"/>
    <mergeCell ref="K15:N16"/>
    <mergeCell ref="J17:J18"/>
    <mergeCell ref="K17:N18"/>
    <mergeCell ref="J19:J20"/>
    <mergeCell ref="K19:N20"/>
    <mergeCell ref="K5:N5"/>
    <mergeCell ref="C7:C25"/>
    <mergeCell ref="J7:J8"/>
    <mergeCell ref="K7:N8"/>
    <mergeCell ref="J9:J10"/>
    <mergeCell ref="K9:N10"/>
    <mergeCell ref="J11:J12"/>
    <mergeCell ref="K11:N12"/>
    <mergeCell ref="J13:J14"/>
    <mergeCell ref="K13:N14"/>
    <mergeCell ref="J21:J22"/>
    <mergeCell ref="K21:N22"/>
    <mergeCell ref="L24:N24"/>
  </mergeCells>
  <hyperlinks>
    <hyperlink ref="L24:N24" location="'Driving Forces impact'!A1" display="Driving Forces Impact" xr:uid="{7588DC2D-538F-4A05-BDAA-9A7FE6E60A45}"/>
    <hyperlink ref="L26:N26" location="'Segment Quantification'!A1" display="Segment Quantification" xr:uid="{457A63E4-575D-4E2F-9B02-EC2400157DD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31F2-CA3A-4027-82B7-D3786556E3ED}">
  <sheetPr codeName="Sheet5"/>
  <dimension ref="A1:U40"/>
  <sheetViews>
    <sheetView showGridLines="0" zoomScale="115" zoomScaleNormal="100" workbookViewId="0">
      <selection activeCell="G8" sqref="G8:N10"/>
    </sheetView>
  </sheetViews>
  <sheetFormatPr defaultColWidth="8.85546875" defaultRowHeight="15"/>
  <cols>
    <col min="2" max="2" width="4" customWidth="1"/>
    <col min="3" max="3" width="45.42578125" customWidth="1"/>
    <col min="4" max="4" width="2.42578125" customWidth="1"/>
    <col min="5" max="5" width="27.7109375" customWidth="1"/>
    <col min="6" max="6" width="11.85546875" customWidth="1"/>
    <col min="7" max="14" width="24.42578125" customWidth="1"/>
    <col min="15" max="15" width="9.42578125" style="1" customWidth="1"/>
    <col min="16" max="16" width="18.85546875" style="1" customWidth="1"/>
    <col min="17" max="20" width="22.42578125" style="1" customWidth="1"/>
    <col min="21" max="21" width="18.85546875" style="1" customWidth="1"/>
  </cols>
  <sheetData>
    <row r="1" spans="1:21" ht="44.1" customHeight="1">
      <c r="A1" s="183"/>
      <c r="B1" s="186"/>
      <c r="C1" s="185" t="s">
        <v>128</v>
      </c>
      <c r="D1" s="186"/>
      <c r="E1" s="186"/>
      <c r="F1" s="186"/>
      <c r="G1" s="186"/>
      <c r="H1" s="186"/>
      <c r="I1" s="186"/>
      <c r="J1" s="186"/>
      <c r="K1" s="186"/>
      <c r="L1" s="186"/>
      <c r="M1" s="186"/>
      <c r="N1" s="186"/>
      <c r="O1" s="187"/>
      <c r="P1" s="187"/>
      <c r="Q1" s="187"/>
      <c r="R1" s="187"/>
      <c r="S1" s="187"/>
      <c r="T1" s="187"/>
      <c r="U1" s="186"/>
    </row>
    <row r="2" spans="1:21">
      <c r="A2" s="183"/>
    </row>
    <row r="3" spans="1:21" ht="47.1" hidden="1">
      <c r="A3" s="183"/>
      <c r="C3" s="243" t="s">
        <v>127</v>
      </c>
      <c r="D3" s="243"/>
      <c r="E3" s="243"/>
      <c r="F3" s="243"/>
      <c r="G3" s="243"/>
      <c r="H3" s="243"/>
      <c r="I3" s="243"/>
      <c r="J3" s="243"/>
      <c r="K3" s="243"/>
      <c r="L3" s="243"/>
      <c r="M3" s="243"/>
      <c r="N3" s="67"/>
    </row>
    <row r="4" spans="1:21" s="1" customFormat="1" ht="8.25" customHeight="1">
      <c r="A4" s="184"/>
    </row>
    <row r="5" spans="1:21" s="1" customFormat="1" ht="26.1">
      <c r="A5" s="184"/>
      <c r="C5" s="212" t="s">
        <v>129</v>
      </c>
      <c r="E5" s="68" t="s">
        <v>130</v>
      </c>
      <c r="F5" s="69"/>
      <c r="G5" s="69"/>
      <c r="H5" s="69"/>
      <c r="I5" s="69"/>
      <c r="J5" s="69"/>
      <c r="K5" s="69"/>
      <c r="L5" s="69"/>
      <c r="M5" s="69"/>
      <c r="N5" s="69"/>
    </row>
    <row r="6" spans="1:21" s="1" customFormat="1" ht="8.25" customHeight="1">
      <c r="A6" s="184"/>
      <c r="C6" s="212"/>
    </row>
    <row r="7" spans="1:21" s="1" customFormat="1" ht="50.25" customHeight="1">
      <c r="A7" s="184"/>
      <c r="C7" s="212"/>
      <c r="G7" s="70" t="str">
        <f>'Segment brainstorm'!K7</f>
        <v>Gospodarstwa rolne</v>
      </c>
      <c r="H7" s="70" t="str">
        <f>'Segment brainstorm'!K9</f>
        <v>Gospodarstwa domowe</v>
      </c>
      <c r="I7" s="70" t="str">
        <f>'Segment brainstorm'!K11</f>
        <v>Gminy/Samorządy</v>
      </c>
      <c r="J7" s="70" t="str">
        <f>'Segment brainstorm'!K13</f>
        <v>Obiekty na taryfie C</v>
      </c>
      <c r="K7" s="70" t="str">
        <f>'Segment brainstorm'!K15</f>
        <v>Obiekty na taryfie B</v>
      </c>
      <c r="L7" s="70" t="str">
        <f>'Segment brainstorm'!K17</f>
        <v xml:space="preserve">Farmy </v>
      </c>
      <c r="M7" s="70">
        <f>'Segment brainstorm'!K19</f>
        <v>0</v>
      </c>
      <c r="N7" s="70">
        <f>'Segment brainstorm'!K21</f>
        <v>0</v>
      </c>
      <c r="O7" s="71" t="s">
        <v>131</v>
      </c>
    </row>
    <row r="8" spans="1:21" s="1" customFormat="1" ht="25.5">
      <c r="A8" s="184"/>
      <c r="C8" s="212"/>
      <c r="E8" s="4" t="s">
        <v>132</v>
      </c>
      <c r="F8" s="4"/>
      <c r="G8" s="112">
        <v>0.15</v>
      </c>
      <c r="H8" s="31">
        <v>0.55000000000000004</v>
      </c>
      <c r="I8" s="31">
        <v>0.05</v>
      </c>
      <c r="J8" s="31">
        <v>0.09</v>
      </c>
      <c r="K8" s="31">
        <v>0.01</v>
      </c>
      <c r="L8" s="31">
        <v>0.15</v>
      </c>
      <c r="M8" s="31"/>
      <c r="N8" s="31"/>
      <c r="O8" s="72">
        <f>SUM(G8:N8)</f>
        <v>1</v>
      </c>
    </row>
    <row r="9" spans="1:21" s="1" customFormat="1" ht="26.1">
      <c r="A9" s="183"/>
      <c r="C9" s="212"/>
      <c r="E9" s="4" t="s">
        <v>133</v>
      </c>
      <c r="F9" s="4"/>
      <c r="G9" s="31">
        <v>0.15</v>
      </c>
      <c r="H9" s="31">
        <v>0.55000000000000004</v>
      </c>
      <c r="I9" s="31">
        <v>0.05</v>
      </c>
      <c r="J9" s="31">
        <v>0.09</v>
      </c>
      <c r="K9" s="31">
        <v>0.01</v>
      </c>
      <c r="L9" s="31">
        <v>0.15</v>
      </c>
      <c r="M9" s="31"/>
      <c r="N9" s="31"/>
      <c r="O9" s="72">
        <f>SUM(G9:N9)</f>
        <v>1</v>
      </c>
    </row>
    <row r="10" spans="1:21" s="1" customFormat="1" ht="26.1">
      <c r="A10" s="183"/>
      <c r="C10" s="212"/>
      <c r="E10" s="4" t="s">
        <v>134</v>
      </c>
      <c r="F10" s="4"/>
      <c r="G10" s="31">
        <v>0.15</v>
      </c>
      <c r="H10" s="31">
        <v>0.55000000000000004</v>
      </c>
      <c r="I10" s="31">
        <v>0.05</v>
      </c>
      <c r="J10" s="31">
        <v>0.09</v>
      </c>
      <c r="K10" s="31">
        <v>0.01</v>
      </c>
      <c r="L10" s="31">
        <v>0.15</v>
      </c>
      <c r="M10" s="31"/>
      <c r="N10" s="31"/>
      <c r="O10" s="72">
        <f>SUM(G10:N10)</f>
        <v>1</v>
      </c>
    </row>
    <row r="11" spans="1:21" s="1" customFormat="1" ht="18.75" customHeight="1">
      <c r="A11" s="183"/>
      <c r="C11" s="212"/>
    </row>
    <row r="12" spans="1:21" s="1" customFormat="1" ht="26.1">
      <c r="A12" s="183"/>
      <c r="C12" s="212"/>
      <c r="E12" s="68" t="s">
        <v>135</v>
      </c>
      <c r="F12" s="69"/>
      <c r="G12" s="69"/>
      <c r="H12" s="69"/>
      <c r="I12" s="69"/>
      <c r="J12" s="69"/>
      <c r="K12" s="69"/>
      <c r="L12" s="69"/>
      <c r="M12" s="69"/>
      <c r="N12" s="69"/>
    </row>
    <row r="13" spans="1:21" s="1" customFormat="1" ht="8.25" customHeight="1">
      <c r="A13" s="183"/>
      <c r="C13" s="212"/>
    </row>
    <row r="14" spans="1:21" s="1" customFormat="1" ht="34.5" customHeight="1">
      <c r="A14" s="183"/>
      <c r="C14" s="212"/>
      <c r="G14" s="70" t="str">
        <f t="shared" ref="G14:N14" si="0">G7</f>
        <v>Gospodarstwa rolne</v>
      </c>
      <c r="H14" s="70" t="str">
        <f t="shared" si="0"/>
        <v>Gospodarstwa domowe</v>
      </c>
      <c r="I14" s="70" t="str">
        <f t="shared" si="0"/>
        <v>Gminy/Samorządy</v>
      </c>
      <c r="J14" s="70" t="str">
        <f t="shared" si="0"/>
        <v>Obiekty na taryfie C</v>
      </c>
      <c r="K14" s="70" t="str">
        <f t="shared" si="0"/>
        <v>Obiekty na taryfie B</v>
      </c>
      <c r="L14" s="70" t="str">
        <f t="shared" si="0"/>
        <v xml:space="preserve">Farmy </v>
      </c>
      <c r="M14" s="70">
        <f t="shared" si="0"/>
        <v>0</v>
      </c>
      <c r="N14" s="70">
        <f t="shared" si="0"/>
        <v>0</v>
      </c>
      <c r="R14" s="1" t="s">
        <v>8</v>
      </c>
    </row>
    <row r="15" spans="1:21" s="1" customFormat="1" ht="26.1">
      <c r="A15" s="183"/>
      <c r="C15" s="212"/>
      <c r="E15" s="4" t="s">
        <v>136</v>
      </c>
      <c r="F15" s="4"/>
      <c r="G15" s="73">
        <f>G8*'Driving Forces impact'!$Q$6</f>
        <v>35640</v>
      </c>
      <c r="H15" s="73">
        <f>H8*'Driving Forces impact'!$Q$6</f>
        <v>130680.00000000001</v>
      </c>
      <c r="I15" s="73">
        <f>I8*'Driving Forces impact'!$Q$6</f>
        <v>11880</v>
      </c>
      <c r="J15" s="73">
        <f>J8*'Driving Forces impact'!$Q$6</f>
        <v>21384</v>
      </c>
      <c r="K15" s="73">
        <f>K8*'Driving Forces impact'!$Q$6</f>
        <v>2376</v>
      </c>
      <c r="L15" s="73">
        <f>L8*'Driving Forces impact'!$Q$6</f>
        <v>35640</v>
      </c>
      <c r="M15" s="73">
        <f>M8*'Driving Forces impact'!$Q$6</f>
        <v>0</v>
      </c>
      <c r="N15" s="73">
        <f>N8*'Driving Forces impact'!$Q$6</f>
        <v>0</v>
      </c>
    </row>
    <row r="16" spans="1:21" s="1" customFormat="1" ht="26.1">
      <c r="A16" s="183"/>
      <c r="C16" s="212"/>
      <c r="E16" s="4" t="s">
        <v>137</v>
      </c>
      <c r="F16" s="4"/>
      <c r="G16" s="74">
        <f>G9*'Driving Forces impact'!$H$13</f>
        <v>970548480</v>
      </c>
      <c r="H16" s="74">
        <f>H9*'Driving Forces impact'!$H$13</f>
        <v>3558677760.0000005</v>
      </c>
      <c r="I16" s="74">
        <f>I9*'Driving Forces impact'!$H$13</f>
        <v>323516160</v>
      </c>
      <c r="J16" s="74">
        <f>J9*'Driving Forces impact'!$H$13</f>
        <v>582329088</v>
      </c>
      <c r="K16" s="74">
        <f>K9*'Driving Forces impact'!$H$13</f>
        <v>64703232</v>
      </c>
      <c r="L16" s="74">
        <f>L9*'Driving Forces impact'!$H$13</f>
        <v>970548480</v>
      </c>
      <c r="M16" s="74">
        <f>M9*'Driving Forces impact'!$H$13</f>
        <v>0</v>
      </c>
      <c r="N16" s="74">
        <f>N9*'Driving Forces impact'!$H$13</f>
        <v>0</v>
      </c>
    </row>
    <row r="17" spans="1:16" s="1" customFormat="1" ht="26.1">
      <c r="A17" s="183"/>
      <c r="C17" s="212"/>
      <c r="E17" s="4" t="s">
        <v>138</v>
      </c>
      <c r="F17" s="4"/>
      <c r="G17" s="74">
        <f>G10*'Driving Forces impact'!$H$15</f>
        <v>242637120</v>
      </c>
      <c r="H17" s="74">
        <f>H10*'Driving Forces impact'!$H$15</f>
        <v>889669440.00000012</v>
      </c>
      <c r="I17" s="74">
        <f>I10*'Driving Forces impact'!$H$15</f>
        <v>80879040</v>
      </c>
      <c r="J17" s="74">
        <f>J10*'Driving Forces impact'!$H$15</f>
        <v>145582272</v>
      </c>
      <c r="K17" s="74">
        <f>K10*'Driving Forces impact'!$H$15</f>
        <v>16175808</v>
      </c>
      <c r="L17" s="74">
        <f>L10*'Driving Forces impact'!$H$15</f>
        <v>242637120</v>
      </c>
      <c r="M17" s="74">
        <f>M10*'Driving Forces impact'!$H$15</f>
        <v>0</v>
      </c>
      <c r="N17" s="74">
        <f>N10*'Driving Forces impact'!$H$15</f>
        <v>0</v>
      </c>
    </row>
    <row r="18" spans="1:16">
      <c r="A18" s="183"/>
      <c r="C18" s="212"/>
      <c r="O18"/>
      <c r="P18"/>
    </row>
    <row r="19" spans="1:16" ht="24">
      <c r="A19" s="183"/>
      <c r="C19" s="212"/>
      <c r="K19" s="9" t="s">
        <v>84</v>
      </c>
      <c r="L19" s="244" t="s">
        <v>90</v>
      </c>
      <c r="M19" s="244"/>
      <c r="N19" s="75"/>
    </row>
    <row r="20" spans="1:16">
      <c r="A20" s="183"/>
      <c r="C20" s="212"/>
    </row>
    <row r="21" spans="1:16" ht="24">
      <c r="A21" s="183"/>
      <c r="C21" s="212"/>
      <c r="K21" s="9" t="s">
        <v>10</v>
      </c>
      <c r="L21" s="245" t="s">
        <v>139</v>
      </c>
      <c r="M21" s="245"/>
      <c r="N21" s="76"/>
    </row>
    <row r="22" spans="1:16">
      <c r="A22" s="183"/>
    </row>
    <row r="23" spans="1:16">
      <c r="A23" s="183"/>
    </row>
    <row r="24" spans="1:16">
      <c r="A24" s="183"/>
      <c r="G24" s="77"/>
      <c r="H24" s="77"/>
      <c r="I24" s="77"/>
      <c r="J24" s="77"/>
      <c r="K24" s="77"/>
      <c r="L24" s="77"/>
      <c r="M24" s="77"/>
      <c r="N24" s="77"/>
    </row>
    <row r="25" spans="1:16">
      <c r="A25" s="183"/>
      <c r="G25" s="77"/>
    </row>
    <row r="26" spans="1:16">
      <c r="A26" s="183"/>
      <c r="G26" s="77"/>
    </row>
    <row r="27" spans="1:16">
      <c r="A27" s="183"/>
    </row>
    <row r="28" spans="1:16">
      <c r="A28" s="183"/>
    </row>
    <row r="29" spans="1:16">
      <c r="A29" s="183"/>
    </row>
    <row r="30" spans="1:16">
      <c r="A30" s="183"/>
    </row>
    <row r="31" spans="1:16">
      <c r="A31" s="183"/>
    </row>
    <row r="32" spans="1:16">
      <c r="A32" s="183"/>
    </row>
    <row r="33" spans="1:1">
      <c r="A33" s="183"/>
    </row>
    <row r="34" spans="1:1">
      <c r="A34" s="183"/>
    </row>
    <row r="35" spans="1:1">
      <c r="A35" s="183"/>
    </row>
    <row r="36" spans="1:1">
      <c r="A36" s="183"/>
    </row>
    <row r="37" spans="1:1">
      <c r="A37" s="183"/>
    </row>
    <row r="38" spans="1:1">
      <c r="A38" s="183"/>
    </row>
    <row r="39" spans="1:1">
      <c r="A39" s="183"/>
    </row>
    <row r="40" spans="1:1">
      <c r="A40" s="183"/>
    </row>
  </sheetData>
  <mergeCells count="4">
    <mergeCell ref="C3:M3"/>
    <mergeCell ref="C5:C21"/>
    <mergeCell ref="L19:M19"/>
    <mergeCell ref="L21:M21"/>
  </mergeCells>
  <conditionalFormatting sqref="O8:O10">
    <cfRule type="cellIs" dxfId="3" priority="1" operator="equal">
      <formula>1</formula>
    </cfRule>
    <cfRule type="cellIs" dxfId="2" priority="2" operator="notEqual">
      <formula>1</formula>
    </cfRule>
  </conditionalFormatting>
  <hyperlinks>
    <hyperlink ref="L19:M19" location="'Segment Brainstorm'!A1" display="Segment Brainstorm" xr:uid="{B1E51127-54DC-4B08-9F64-1541B8BA2FCE}"/>
    <hyperlink ref="L21:M21" location="'Segment Ranking'!A1" display="Segmentation Brainstorm" xr:uid="{C1D9C078-D478-4E16-BDEA-AC3C9478753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1AD0-A1ED-4EA0-A6BB-DFA494CD7859}">
  <sheetPr codeName="Sheet6"/>
  <dimension ref="A1:U48"/>
  <sheetViews>
    <sheetView zoomScale="125" zoomScaleNormal="70" workbookViewId="0">
      <selection activeCell="H15" sqref="H15:M18"/>
    </sheetView>
  </sheetViews>
  <sheetFormatPr defaultColWidth="8.85546875" defaultRowHeight="15"/>
  <cols>
    <col min="1" max="1" width="8.85546875" style="183"/>
    <col min="2" max="2" width="4.85546875" style="118" customWidth="1"/>
    <col min="3" max="3" width="51.42578125" style="118" customWidth="1"/>
    <col min="4" max="4" width="2.42578125" style="118" customWidth="1"/>
    <col min="5" max="5" width="39.7109375" style="118" customWidth="1"/>
    <col min="6" max="7" width="6.140625" style="118" customWidth="1"/>
    <col min="8" max="14" width="18.140625" style="118" customWidth="1"/>
    <col min="15" max="15" width="18.85546875" style="117" customWidth="1"/>
    <col min="16" max="16" width="27" style="117" customWidth="1"/>
    <col min="17" max="19" width="22.42578125" style="117" customWidth="1"/>
    <col min="20" max="20" width="18.85546875" style="117" customWidth="1"/>
    <col min="21" max="16384" width="8.85546875" style="118"/>
  </cols>
  <sheetData>
    <row r="1" spans="1:21" ht="44.1" customHeight="1">
      <c r="B1" s="186"/>
      <c r="C1" s="185" t="s">
        <v>140</v>
      </c>
      <c r="D1" s="186"/>
      <c r="E1" s="186"/>
      <c r="F1" s="186"/>
      <c r="G1" s="186"/>
      <c r="H1" s="186"/>
      <c r="I1" s="186"/>
      <c r="J1" s="186"/>
      <c r="K1" s="186"/>
      <c r="L1" s="186"/>
      <c r="M1" s="186"/>
      <c r="N1" s="186"/>
      <c r="O1" s="187"/>
      <c r="P1" s="187"/>
      <c r="Q1" s="187"/>
      <c r="R1" s="187"/>
      <c r="S1" s="187"/>
      <c r="T1" s="187"/>
      <c r="U1" s="186"/>
    </row>
    <row r="3" spans="1:21" ht="47.1" hidden="1">
      <c r="C3" s="243" t="s">
        <v>139</v>
      </c>
      <c r="D3" s="243"/>
      <c r="E3" s="243"/>
      <c r="F3" s="243"/>
      <c r="G3" s="243"/>
      <c r="H3" s="243"/>
      <c r="I3" s="243"/>
      <c r="J3" s="243"/>
      <c r="K3" s="243"/>
      <c r="L3" s="243"/>
      <c r="M3" s="243"/>
      <c r="N3" s="243"/>
      <c r="O3" s="154"/>
    </row>
    <row r="4" spans="1:21" s="117" customFormat="1" ht="8.25" customHeight="1">
      <c r="A4" s="184"/>
    </row>
    <row r="5" spans="1:21" s="117" customFormat="1" ht="26.1">
      <c r="A5" s="184"/>
      <c r="C5" s="212" t="s">
        <v>141</v>
      </c>
      <c r="E5" s="68" t="s">
        <v>142</v>
      </c>
      <c r="F5" s="68"/>
      <c r="G5" s="68"/>
      <c r="H5" s="69"/>
      <c r="I5" s="118"/>
      <c r="J5" s="118"/>
      <c r="K5" s="118"/>
      <c r="L5" s="118"/>
      <c r="M5" s="118"/>
      <c r="N5" s="118"/>
    </row>
    <row r="6" spans="1:21" ht="29.1">
      <c r="A6" s="184"/>
      <c r="C6" s="212"/>
      <c r="E6" s="127" t="s">
        <v>7</v>
      </c>
      <c r="F6" s="127"/>
      <c r="G6" s="127"/>
      <c r="H6" s="79">
        <v>4</v>
      </c>
    </row>
    <row r="7" spans="1:21" ht="29.1">
      <c r="A7" s="184"/>
      <c r="C7" s="212"/>
      <c r="E7" s="127" t="s">
        <v>9</v>
      </c>
      <c r="F7" s="127"/>
      <c r="G7" s="127"/>
      <c r="H7" s="79">
        <v>5</v>
      </c>
    </row>
    <row r="8" spans="1:21" ht="29.1">
      <c r="A8" s="184"/>
      <c r="C8" s="212"/>
      <c r="E8" s="127" t="s">
        <v>125</v>
      </c>
      <c r="F8" s="127"/>
      <c r="G8" s="127"/>
      <c r="H8" s="79">
        <v>4</v>
      </c>
    </row>
    <row r="9" spans="1:21" ht="29.1">
      <c r="C9" s="212"/>
      <c r="E9" s="127" t="s">
        <v>143</v>
      </c>
      <c r="F9" s="127"/>
      <c r="G9" s="127"/>
      <c r="H9" s="79">
        <v>3</v>
      </c>
    </row>
    <row r="10" spans="1:21" ht="29.1">
      <c r="C10" s="212"/>
      <c r="E10" s="82"/>
      <c r="F10" s="128"/>
      <c r="G10" s="128"/>
      <c r="H10" s="79"/>
    </row>
    <row r="11" spans="1:21">
      <c r="C11" s="212"/>
    </row>
    <row r="12" spans="1:21" s="117" customFormat="1" ht="26.1">
      <c r="A12" s="183"/>
      <c r="C12" s="212"/>
      <c r="E12" s="68" t="s">
        <v>144</v>
      </c>
      <c r="F12" s="68"/>
      <c r="G12" s="68"/>
      <c r="H12" s="69"/>
      <c r="I12" s="69"/>
      <c r="J12" s="69"/>
      <c r="K12" s="69"/>
      <c r="L12" s="69"/>
      <c r="M12" s="69"/>
      <c r="N12" s="69"/>
      <c r="O12" s="69"/>
    </row>
    <row r="13" spans="1:21" s="117" customFormat="1" ht="8.25" customHeight="1">
      <c r="A13" s="183"/>
      <c r="C13" s="212"/>
    </row>
    <row r="14" spans="1:21" s="117" customFormat="1" ht="42.75" customHeight="1">
      <c r="A14" s="183"/>
      <c r="C14" s="212"/>
      <c r="E14" s="126" t="s">
        <v>145</v>
      </c>
      <c r="F14" s="126"/>
      <c r="G14" s="126"/>
      <c r="H14" s="70" t="str">
        <f>'Segment quantification'!G7</f>
        <v>Gospodarstwa rolne</v>
      </c>
      <c r="I14" s="70" t="str">
        <f>'Segment quantification'!H7</f>
        <v>Gospodarstwa domowe</v>
      </c>
      <c r="J14" s="70" t="str">
        <f>'Segment quantification'!I7</f>
        <v>Gminy/Samorządy</v>
      </c>
      <c r="K14" s="70" t="str">
        <f>'Segment quantification'!J7</f>
        <v>Obiekty na taryfie C</v>
      </c>
      <c r="L14" s="70" t="str">
        <f>'Segment quantification'!K7</f>
        <v>Obiekty na taryfie B</v>
      </c>
      <c r="M14" s="70" t="str">
        <f>'Segment quantification'!L7</f>
        <v xml:space="preserve">Farmy </v>
      </c>
      <c r="N14" s="70">
        <f>'Segment quantification'!M7</f>
        <v>0</v>
      </c>
      <c r="O14" s="70">
        <f>'Segment quantification'!N7</f>
        <v>0</v>
      </c>
    </row>
    <row r="15" spans="1:21" s="117" customFormat="1" ht="29.1">
      <c r="A15" s="183"/>
      <c r="C15" s="212"/>
      <c r="E15" s="127" t="s">
        <v>7</v>
      </c>
      <c r="F15" s="127"/>
      <c r="G15" s="127"/>
      <c r="H15" s="79">
        <v>2</v>
      </c>
      <c r="I15" s="79">
        <v>5</v>
      </c>
      <c r="J15" s="79">
        <v>2</v>
      </c>
      <c r="K15" s="79">
        <v>3</v>
      </c>
      <c r="L15" s="79">
        <v>1</v>
      </c>
      <c r="M15" s="79">
        <v>1</v>
      </c>
      <c r="N15" s="79"/>
      <c r="O15" s="79"/>
    </row>
    <row r="16" spans="1:21" s="117" customFormat="1" ht="29.1">
      <c r="A16" s="183"/>
      <c r="C16" s="212"/>
      <c r="E16" s="127" t="s">
        <v>9</v>
      </c>
      <c r="F16" s="127"/>
      <c r="G16" s="127"/>
      <c r="H16" s="79">
        <v>2</v>
      </c>
      <c r="I16" s="79">
        <v>2</v>
      </c>
      <c r="J16" s="79">
        <v>4</v>
      </c>
      <c r="K16" s="79">
        <v>3</v>
      </c>
      <c r="L16" s="79">
        <v>3</v>
      </c>
      <c r="M16" s="79">
        <v>2</v>
      </c>
      <c r="N16" s="79"/>
      <c r="O16" s="79"/>
    </row>
    <row r="17" spans="1:15" s="117" customFormat="1" ht="29.1">
      <c r="A17" s="183"/>
      <c r="C17" s="212"/>
      <c r="E17" s="127" t="s">
        <v>125</v>
      </c>
      <c r="F17" s="127"/>
      <c r="G17" s="127"/>
      <c r="H17" s="79">
        <v>4</v>
      </c>
      <c r="I17" s="79">
        <v>2</v>
      </c>
      <c r="J17" s="79">
        <v>4</v>
      </c>
      <c r="K17" s="79">
        <v>3</v>
      </c>
      <c r="L17" s="79">
        <v>4</v>
      </c>
      <c r="M17" s="79">
        <v>1</v>
      </c>
      <c r="N17" s="79"/>
      <c r="O17" s="79"/>
    </row>
    <row r="18" spans="1:15" ht="29.1">
      <c r="C18" s="212"/>
      <c r="D18" s="117"/>
      <c r="E18" s="127" t="s">
        <v>143</v>
      </c>
      <c r="F18" s="127"/>
      <c r="G18" s="127"/>
      <c r="H18" s="79">
        <v>4</v>
      </c>
      <c r="I18" s="79">
        <v>2</v>
      </c>
      <c r="J18" s="79">
        <v>4</v>
      </c>
      <c r="K18" s="79">
        <v>4</v>
      </c>
      <c r="L18" s="79">
        <v>4</v>
      </c>
      <c r="M18" s="79">
        <v>1</v>
      </c>
      <c r="N18" s="79"/>
      <c r="O18" s="79"/>
    </row>
    <row r="19" spans="1:15" s="117" customFormat="1" ht="28.5">
      <c r="A19" s="183"/>
      <c r="C19" s="212"/>
      <c r="E19" s="83"/>
      <c r="F19" s="128"/>
      <c r="G19" s="128"/>
      <c r="H19" s="79"/>
      <c r="I19" s="79"/>
      <c r="J19" s="79"/>
      <c r="K19" s="79"/>
      <c r="L19" s="79"/>
      <c r="M19" s="79"/>
      <c r="N19" s="79"/>
      <c r="O19" s="79"/>
    </row>
    <row r="20" spans="1:15" ht="15" hidden="1" customHeight="1">
      <c r="C20" s="212"/>
      <c r="E20" s="1" t="s">
        <v>146</v>
      </c>
      <c r="F20" s="117"/>
      <c r="G20" s="117"/>
      <c r="H20">
        <f t="shared" ref="H20:O20" si="0">SUMPRODUCT($H$6:$H$10,H15:H19)</f>
        <v>46</v>
      </c>
      <c r="I20">
        <f t="shared" si="0"/>
        <v>44</v>
      </c>
      <c r="J20">
        <f t="shared" si="0"/>
        <v>56</v>
      </c>
      <c r="K20">
        <f t="shared" si="0"/>
        <v>51</v>
      </c>
      <c r="L20">
        <f t="shared" si="0"/>
        <v>47</v>
      </c>
      <c r="M20">
        <f t="shared" si="0"/>
        <v>21</v>
      </c>
      <c r="N20">
        <f t="shared" si="0"/>
        <v>0</v>
      </c>
      <c r="O20">
        <f t="shared" si="0"/>
        <v>0</v>
      </c>
    </row>
    <row r="21" spans="1:15" ht="15" hidden="1" customHeight="1">
      <c r="C21" s="212"/>
      <c r="E21" s="1" t="s">
        <v>147</v>
      </c>
      <c r="F21" s="117"/>
      <c r="G21" s="117"/>
      <c r="H21">
        <f>COUNTIF($H20:H$20,H20)</f>
        <v>1</v>
      </c>
      <c r="I21">
        <f>COUNTIF($H20:I$20,I20)</f>
        <v>1</v>
      </c>
      <c r="J21">
        <f>COUNTIF($H20:J$20,J20)</f>
        <v>1</v>
      </c>
      <c r="K21">
        <f>COUNTIF($H20:K$20,K20)</f>
        <v>1</v>
      </c>
      <c r="L21">
        <f>COUNTIF($H20:L$20,L20)</f>
        <v>1</v>
      </c>
      <c r="M21">
        <f>COUNTIF($H20:M$20,M20)</f>
        <v>1</v>
      </c>
      <c r="N21">
        <f>COUNTIF($H20:N$20,N20)</f>
        <v>1</v>
      </c>
      <c r="O21">
        <f>COUNTIF($H20:O$20,O20)</f>
        <v>2</v>
      </c>
    </row>
    <row r="22" spans="1:15" ht="15" hidden="1" customHeight="1">
      <c r="C22" s="212"/>
      <c r="E22" s="1" t="s">
        <v>148</v>
      </c>
      <c r="F22" s="117"/>
      <c r="G22" s="117"/>
      <c r="H22">
        <f>RANK(H20,$H$20:$O$20,0)</f>
        <v>4</v>
      </c>
      <c r="I22">
        <f t="shared" ref="I22:N22" si="1">RANK(I20,$H$20:$O$20,0)</f>
        <v>5</v>
      </c>
      <c r="J22">
        <f t="shared" si="1"/>
        <v>1</v>
      </c>
      <c r="K22">
        <f t="shared" si="1"/>
        <v>2</v>
      </c>
      <c r="L22">
        <f t="shared" si="1"/>
        <v>3</v>
      </c>
      <c r="M22">
        <f t="shared" si="1"/>
        <v>6</v>
      </c>
      <c r="N22">
        <f t="shared" si="1"/>
        <v>7</v>
      </c>
      <c r="O22">
        <f>RANK(O20,$H$20:$O$20,0)</f>
        <v>7</v>
      </c>
    </row>
    <row r="23" spans="1:15" ht="15" hidden="1" customHeight="1">
      <c r="C23" s="212"/>
      <c r="E23" s="80" t="s">
        <v>149</v>
      </c>
      <c r="F23" s="129"/>
      <c r="G23" s="129"/>
      <c r="H23" s="81">
        <f>H21+H22-1</f>
        <v>4</v>
      </c>
      <c r="I23" s="81">
        <f t="shared" ref="I23:N23" si="2">I21+I22-1</f>
        <v>5</v>
      </c>
      <c r="J23" s="81">
        <f t="shared" si="2"/>
        <v>1</v>
      </c>
      <c r="K23" s="81">
        <f t="shared" si="2"/>
        <v>2</v>
      </c>
      <c r="L23" s="81">
        <f t="shared" si="2"/>
        <v>3</v>
      </c>
      <c r="M23" s="81">
        <f t="shared" si="2"/>
        <v>6</v>
      </c>
      <c r="N23" s="81">
        <f t="shared" si="2"/>
        <v>7</v>
      </c>
      <c r="O23" s="81">
        <f>O21+O22-1</f>
        <v>8</v>
      </c>
    </row>
    <row r="24" spans="1:15" ht="15" hidden="1" customHeight="1">
      <c r="C24" s="212"/>
      <c r="E24"/>
      <c r="H24"/>
      <c r="I24"/>
      <c r="J24"/>
      <c r="K24"/>
      <c r="L24"/>
      <c r="M24"/>
      <c r="N24"/>
      <c r="O24" s="1"/>
    </row>
    <row r="25" spans="1:15">
      <c r="C25" s="212"/>
    </row>
    <row r="26" spans="1:15" ht="24">
      <c r="C26" s="212"/>
      <c r="L26" s="9" t="s">
        <v>84</v>
      </c>
      <c r="M26" s="244" t="s">
        <v>127</v>
      </c>
      <c r="N26" s="244"/>
      <c r="O26" s="1"/>
    </row>
    <row r="27" spans="1:15" ht="15" customHeight="1">
      <c r="C27" s="212"/>
    </row>
    <row r="28" spans="1:15" ht="24">
      <c r="C28" s="212"/>
      <c r="L28" s="9" t="s">
        <v>150</v>
      </c>
      <c r="M28" s="246" t="s">
        <v>151</v>
      </c>
      <c r="N28" s="246"/>
      <c r="O28" s="1"/>
    </row>
    <row r="41" spans="1:3" s="117" customFormat="1">
      <c r="A41" s="183"/>
      <c r="C41" s="118"/>
    </row>
    <row r="42" spans="1:3" s="117" customFormat="1">
      <c r="A42" s="183"/>
      <c r="C42" s="118"/>
    </row>
    <row r="43" spans="1:3" s="117" customFormat="1">
      <c r="A43" s="183"/>
      <c r="C43" s="118"/>
    </row>
    <row r="44" spans="1:3" s="117" customFormat="1">
      <c r="A44" s="183"/>
      <c r="C44" s="118"/>
    </row>
    <row r="45" spans="1:3" s="117" customFormat="1" ht="5.25" customHeight="1">
      <c r="A45" s="183"/>
      <c r="C45" s="118"/>
    </row>
    <row r="46" spans="1:3" s="117" customFormat="1">
      <c r="A46" s="183"/>
      <c r="C46" s="118"/>
    </row>
    <row r="47" spans="1:3" s="117" customFormat="1">
      <c r="A47" s="183"/>
      <c r="C47" s="118"/>
    </row>
    <row r="48" spans="1:3" s="117" customFormat="1">
      <c r="A48" s="183"/>
      <c r="C48" s="118"/>
    </row>
  </sheetData>
  <mergeCells count="4">
    <mergeCell ref="C3:N3"/>
    <mergeCell ref="C5:C28"/>
    <mergeCell ref="M26:N26"/>
    <mergeCell ref="M28:N28"/>
  </mergeCells>
  <hyperlinks>
    <hyperlink ref="M26:N26" location="'Segment Quantification'!A1" display="Segment Quantification" xr:uid="{4356728D-5F8F-408B-A85B-F4C271AE519A}"/>
    <hyperlink ref="M28:N28" location="'Segmentation Summary'!A1" display="Target Summary" xr:uid="{CA8C07F6-ED54-4201-BA47-9C20B6BEC6F5}"/>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8429-C333-42C0-B220-6B5C1DB2461F}">
  <sheetPr codeName="Sheet7"/>
  <dimension ref="A1:U59"/>
  <sheetViews>
    <sheetView showGridLines="0" topLeftCell="A33" zoomScale="113" zoomScaleNormal="55" workbookViewId="0">
      <selection activeCell="F51" sqref="F51:G51"/>
    </sheetView>
  </sheetViews>
  <sheetFormatPr defaultColWidth="8.85546875" defaultRowHeight="15"/>
  <cols>
    <col min="1" max="1" width="8.85546875" style="190"/>
    <col min="2" max="2" width="6.140625" customWidth="1"/>
    <col min="3" max="3" width="40" style="1" customWidth="1"/>
    <col min="4" max="4" width="13.85546875" style="1" customWidth="1"/>
    <col min="5" max="5" width="6.42578125" style="1" customWidth="1"/>
    <col min="6" max="7" width="21.42578125" style="1" customWidth="1"/>
    <col min="8" max="8" width="2.42578125" style="1" customWidth="1"/>
    <col min="9" max="9" width="20" customWidth="1"/>
    <col min="10" max="10" width="44.140625" customWidth="1"/>
    <col min="11" max="11" width="18.85546875" style="1" customWidth="1"/>
    <col min="12" max="15" width="22.42578125" style="1" customWidth="1"/>
    <col min="16" max="16" width="18.85546875" style="1" customWidth="1"/>
  </cols>
  <sheetData>
    <row r="1" spans="1:21" ht="41.1" customHeight="1">
      <c r="A1" s="188"/>
      <c r="B1" s="186"/>
      <c r="C1" s="185" t="s">
        <v>152</v>
      </c>
      <c r="D1" s="186"/>
      <c r="E1" s="186"/>
      <c r="F1" s="186"/>
      <c r="G1" s="186"/>
      <c r="H1" s="186"/>
      <c r="I1" s="186"/>
      <c r="J1" s="186"/>
      <c r="K1" s="186"/>
      <c r="L1" s="186"/>
      <c r="M1" s="186"/>
      <c r="N1" s="186"/>
      <c r="O1" s="187"/>
      <c r="P1" s="187"/>
      <c r="Q1" s="187"/>
      <c r="R1" s="187"/>
      <c r="S1" s="187"/>
      <c r="T1" s="187"/>
      <c r="U1" s="186"/>
    </row>
    <row r="2" spans="1:21">
      <c r="A2" s="188"/>
      <c r="C2"/>
      <c r="D2"/>
      <c r="E2"/>
      <c r="F2"/>
      <c r="G2"/>
      <c r="H2"/>
    </row>
    <row r="3" spans="1:21" ht="47.1">
      <c r="A3" s="188"/>
      <c r="C3" s="243" t="s">
        <v>153</v>
      </c>
      <c r="D3" s="243"/>
      <c r="E3" s="11"/>
      <c r="F3" s="11"/>
      <c r="G3" s="11"/>
      <c r="H3" s="11"/>
      <c r="I3" s="11"/>
      <c r="J3" s="11"/>
    </row>
    <row r="4" spans="1:21" s="1" customFormat="1" ht="8.25" customHeight="1">
      <c r="A4" s="189"/>
      <c r="C4" s="295"/>
      <c r="D4" s="295"/>
      <c r="J4"/>
    </row>
    <row r="5" spans="1:21" s="1" customFormat="1" ht="30.95">
      <c r="A5" s="189"/>
      <c r="C5" s="84" t="s">
        <v>154</v>
      </c>
      <c r="D5" s="84"/>
      <c r="E5" s="85"/>
      <c r="F5" s="252">
        <f ca="1">YEAR(TODAY())</f>
        <v>2025</v>
      </c>
      <c r="G5" s="252"/>
      <c r="H5" s="85"/>
      <c r="I5" s="85"/>
      <c r="J5" s="86" t="s">
        <v>155</v>
      </c>
    </row>
    <row r="6" spans="1:21" ht="6" customHeight="1">
      <c r="A6" s="189"/>
      <c r="C6" s="295"/>
      <c r="D6" s="295"/>
      <c r="J6" s="87"/>
    </row>
    <row r="7" spans="1:21" ht="29.1">
      <c r="A7" s="189"/>
      <c r="C7" s="250" t="s">
        <v>7</v>
      </c>
      <c r="D7" s="250"/>
      <c r="E7" s="88"/>
      <c r="F7" s="251">
        <f>'Market size'!I12</f>
        <v>1689600000</v>
      </c>
      <c r="G7" s="251"/>
      <c r="J7" s="89" t="s">
        <v>7</v>
      </c>
    </row>
    <row r="8" spans="1:21" ht="6" customHeight="1">
      <c r="A8" s="189"/>
      <c r="C8" s="296"/>
      <c r="D8" s="296"/>
      <c r="E8" s="88"/>
      <c r="F8" s="88"/>
      <c r="G8" s="88"/>
      <c r="J8" s="87"/>
    </row>
    <row r="9" spans="1:21" ht="29.1">
      <c r="A9" s="188"/>
      <c r="C9" s="250" t="s">
        <v>9</v>
      </c>
      <c r="D9" s="250"/>
      <c r="E9" s="88"/>
      <c r="F9" s="251">
        <f>'Market size'!I14</f>
        <v>337920000</v>
      </c>
      <c r="G9" s="251"/>
      <c r="J9" s="89" t="s">
        <v>11</v>
      </c>
    </row>
    <row r="10" spans="1:21" ht="6" customHeight="1">
      <c r="A10" s="188"/>
      <c r="C10" s="296"/>
      <c r="D10" s="296"/>
      <c r="E10" s="88"/>
      <c r="F10" s="88"/>
      <c r="G10" s="88"/>
      <c r="J10" s="87"/>
    </row>
    <row r="11" spans="1:21" ht="29.1">
      <c r="A11" s="188"/>
      <c r="C11" s="250" t="s">
        <v>136</v>
      </c>
      <c r="D11" s="250"/>
      <c r="E11" s="88"/>
      <c r="F11" s="253">
        <f>'Market size'!K6</f>
        <v>132000</v>
      </c>
      <c r="G11" s="253"/>
      <c r="J11" s="89" t="s">
        <v>85</v>
      </c>
    </row>
    <row r="12" spans="1:21" ht="14.25" customHeight="1">
      <c r="A12" s="188"/>
      <c r="C12" s="295"/>
      <c r="D12" s="295"/>
      <c r="J12" s="87"/>
    </row>
    <row r="13" spans="1:21" s="1" customFormat="1" ht="30.95">
      <c r="A13" s="188"/>
      <c r="C13" s="84" t="s">
        <v>154</v>
      </c>
      <c r="D13" s="84"/>
      <c r="E13" s="85"/>
      <c r="F13" s="252">
        <f ca="1">YEAR(TODAY())+3</f>
        <v>2028</v>
      </c>
      <c r="G13" s="252"/>
      <c r="J13" s="90"/>
      <c r="M13" s="1" t="s">
        <v>8</v>
      </c>
    </row>
    <row r="14" spans="1:21" ht="6" customHeight="1">
      <c r="A14" s="188"/>
      <c r="C14" s="295"/>
      <c r="D14" s="295"/>
      <c r="J14" s="87"/>
    </row>
    <row r="15" spans="1:21" ht="29.1">
      <c r="A15" s="188"/>
      <c r="C15" s="250" t="s">
        <v>7</v>
      </c>
      <c r="D15" s="250"/>
      <c r="E15" s="88"/>
      <c r="F15" s="251">
        <f>'Driving Forces impact'!H13</f>
        <v>6470323200</v>
      </c>
      <c r="G15" s="251"/>
      <c r="J15" s="87"/>
    </row>
    <row r="16" spans="1:21" ht="6" customHeight="1">
      <c r="A16" s="188"/>
      <c r="C16" s="296"/>
      <c r="D16" s="296"/>
      <c r="E16" s="88"/>
      <c r="F16" s="88"/>
      <c r="G16" s="88"/>
      <c r="J16" s="87"/>
    </row>
    <row r="17" spans="1:12" s="1" customFormat="1" ht="29.1">
      <c r="A17" s="188"/>
      <c r="C17" s="250" t="s">
        <v>9</v>
      </c>
      <c r="D17" s="250"/>
      <c r="E17" s="91"/>
      <c r="F17" s="251">
        <f>'Driving Forces impact'!H15</f>
        <v>1617580800</v>
      </c>
      <c r="G17" s="251"/>
      <c r="J17" s="92"/>
      <c r="K17"/>
    </row>
    <row r="18" spans="1:12" ht="6" customHeight="1">
      <c r="A18" s="188"/>
      <c r="C18" s="296"/>
      <c r="D18" s="296"/>
      <c r="E18" s="88"/>
      <c r="F18" s="88"/>
      <c r="G18" s="88"/>
      <c r="J18" s="87"/>
    </row>
    <row r="19" spans="1:12" s="1" customFormat="1" ht="29.1">
      <c r="A19" s="188"/>
      <c r="C19" s="250" t="s">
        <v>136</v>
      </c>
      <c r="D19" s="250"/>
      <c r="E19" s="91"/>
      <c r="F19" s="253">
        <f>'Driving Forces impact'!Q6</f>
        <v>237600</v>
      </c>
      <c r="G19" s="253"/>
      <c r="J19" s="92"/>
    </row>
    <row r="20" spans="1:12" ht="9.75" customHeight="1">
      <c r="A20" s="188"/>
      <c r="C20" s="295"/>
      <c r="D20" s="295"/>
      <c r="J20" s="87"/>
    </row>
    <row r="21" spans="1:12" ht="47.1">
      <c r="A21" s="188"/>
      <c r="C21" s="243" t="s">
        <v>156</v>
      </c>
      <c r="D21" s="243"/>
      <c r="E21" s="243"/>
      <c r="F21" s="243"/>
      <c r="G21" s="243"/>
      <c r="H21" s="243"/>
      <c r="I21" s="243"/>
      <c r="J21" s="243"/>
    </row>
    <row r="22" spans="1:12" s="1" customFormat="1" ht="8.25" customHeight="1">
      <c r="A22" s="188"/>
      <c r="C22" s="295"/>
      <c r="D22" s="295"/>
      <c r="J22"/>
    </row>
    <row r="23" spans="1:12" s="1" customFormat="1" ht="30.95">
      <c r="A23" s="188"/>
      <c r="C23" s="84" t="s">
        <v>157</v>
      </c>
      <c r="D23" s="84"/>
      <c r="E23" s="85"/>
      <c r="F23" s="252" t="str">
        <f>INDEX('Segment ranking'!E12:O23, 3, MATCH(SMALL('Segment ranking'!H23:O23,1),'Segment ranking'!E23:O23,0))</f>
        <v>Gminy/Samorządy</v>
      </c>
      <c r="G23" s="252"/>
      <c r="J23" s="86" t="s">
        <v>155</v>
      </c>
      <c r="L23" s="93"/>
    </row>
    <row r="24" spans="1:12" ht="6" customHeight="1">
      <c r="A24" s="188"/>
      <c r="C24" s="295"/>
      <c r="D24" s="295"/>
      <c r="J24" s="87"/>
    </row>
    <row r="25" spans="1:12" s="1" customFormat="1" ht="29.1">
      <c r="A25" s="188"/>
      <c r="C25" s="250" t="s">
        <v>7</v>
      </c>
      <c r="D25" s="250"/>
      <c r="E25" s="91"/>
      <c r="F25" s="251">
        <f>INDEX('Segment quantification'!$E$14:$N$17,3,MATCH('Segment summary'!F23,'Segment quantification'!$E$14:$N$14,0))</f>
        <v>323516160</v>
      </c>
      <c r="G25" s="251"/>
      <c r="J25" s="89" t="s">
        <v>90</v>
      </c>
    </row>
    <row r="26" spans="1:12" ht="6" customHeight="1">
      <c r="A26" s="188"/>
      <c r="C26" s="296"/>
      <c r="D26" s="296"/>
      <c r="E26" s="88"/>
      <c r="F26" s="88"/>
      <c r="G26" s="88"/>
      <c r="J26" s="87"/>
    </row>
    <row r="27" spans="1:12" ht="29.1">
      <c r="A27" s="188"/>
      <c r="C27" s="250" t="s">
        <v>9</v>
      </c>
      <c r="D27" s="250"/>
      <c r="E27" s="91"/>
      <c r="F27" s="251">
        <f>INDEX('Segment quantification'!$E$14:$N$17,4,MATCH('Segment summary'!F23,'Segment quantification'!$E$14:$N$14,0))</f>
        <v>80879040</v>
      </c>
      <c r="G27" s="251"/>
      <c r="J27" s="89" t="s">
        <v>127</v>
      </c>
    </row>
    <row r="28" spans="1:12" ht="6" customHeight="1">
      <c r="A28" s="188"/>
      <c r="C28" s="296"/>
      <c r="D28" s="296"/>
      <c r="E28" s="88"/>
      <c r="F28" s="88"/>
      <c r="G28" s="88"/>
      <c r="J28" s="87"/>
    </row>
    <row r="29" spans="1:12" ht="29.1">
      <c r="A29" s="188"/>
      <c r="C29" s="250" t="s">
        <v>136</v>
      </c>
      <c r="D29" s="250"/>
      <c r="E29" s="91"/>
      <c r="F29" s="253">
        <f>INDEX('Segment quantification'!$E$14:$N$17,2,MATCH('Segment summary'!F23,'Segment quantification'!$E$14:$N$14,0))</f>
        <v>11880</v>
      </c>
      <c r="G29" s="253"/>
      <c r="J29" s="89" t="s">
        <v>139</v>
      </c>
    </row>
    <row r="30" spans="1:12" ht="13.5" customHeight="1">
      <c r="A30" s="188"/>
      <c r="C30" s="295"/>
      <c r="D30" s="295"/>
      <c r="J30" s="87"/>
    </row>
    <row r="31" spans="1:12" ht="30.95">
      <c r="A31" s="188"/>
      <c r="C31" s="84" t="s">
        <v>158</v>
      </c>
      <c r="D31" s="84"/>
      <c r="E31" s="85"/>
      <c r="F31" s="252" t="str">
        <f>INDEX('Segment ranking'!E12:O23, 3, MATCH(SMALL('Segment ranking'!H23:O23,2),'Segment ranking'!E23:O23,0))</f>
        <v>Obiekty na taryfie C</v>
      </c>
      <c r="G31" s="252"/>
    </row>
    <row r="32" spans="1:12" ht="6" customHeight="1">
      <c r="A32" s="188"/>
      <c r="C32" s="295"/>
      <c r="D32" s="295"/>
    </row>
    <row r="33" spans="1:10" ht="29.1">
      <c r="A33" s="188"/>
      <c r="C33" s="250" t="s">
        <v>7</v>
      </c>
      <c r="D33" s="250"/>
      <c r="E33" s="91"/>
      <c r="F33" s="251">
        <f>INDEX('Segment quantification'!$E$14:$N$17,3,MATCH('Segment summary'!F31,'Segment quantification'!$E$14:$M$14,0))</f>
        <v>582329088</v>
      </c>
      <c r="G33" s="251"/>
    </row>
    <row r="34" spans="1:10" ht="6" customHeight="1">
      <c r="A34" s="188"/>
      <c r="C34" s="296"/>
      <c r="D34" s="296"/>
      <c r="E34" s="88"/>
      <c r="F34" s="88"/>
      <c r="G34" s="88"/>
    </row>
    <row r="35" spans="1:10" ht="29.1">
      <c r="A35" s="188"/>
      <c r="C35" s="250" t="s">
        <v>9</v>
      </c>
      <c r="D35" s="250"/>
      <c r="E35" s="91"/>
      <c r="F35" s="251">
        <f>INDEX('Segment quantification'!$E$14:$N$17,4,MATCH('Segment summary'!F31,'Segment quantification'!$E$14:$M$14,0))</f>
        <v>145582272</v>
      </c>
      <c r="G35" s="251"/>
    </row>
    <row r="36" spans="1:10" ht="6" customHeight="1">
      <c r="A36" s="188"/>
      <c r="C36" s="296"/>
      <c r="D36" s="296"/>
      <c r="E36" s="88"/>
      <c r="F36" s="88"/>
      <c r="G36" s="88"/>
    </row>
    <row r="37" spans="1:10" ht="29.1">
      <c r="A37" s="188"/>
      <c r="C37" s="250" t="s">
        <v>136</v>
      </c>
      <c r="D37" s="250"/>
      <c r="E37" s="91"/>
      <c r="F37" s="253">
        <f>INDEX('Segment quantification'!$E$14:$N$17,2,MATCH('Segment summary'!F31,'Segment quantification'!$E$14:$M$14,0))</f>
        <v>21384</v>
      </c>
      <c r="G37" s="253"/>
    </row>
    <row r="38" spans="1:10" ht="7.5" customHeight="1">
      <c r="A38" s="188"/>
    </row>
    <row r="39" spans="1:10" ht="47.1">
      <c r="A39" s="188"/>
      <c r="C39" s="243" t="s">
        <v>159</v>
      </c>
      <c r="D39" s="243"/>
      <c r="E39" s="243"/>
      <c r="F39" s="243"/>
      <c r="G39" s="243"/>
      <c r="H39" s="243"/>
      <c r="I39" s="243"/>
      <c r="J39" s="243"/>
    </row>
    <row r="40" spans="1:10" ht="6" customHeight="1">
      <c r="A40" s="188"/>
      <c r="C40" s="295"/>
      <c r="D40" s="295"/>
      <c r="J40" s="1"/>
    </row>
    <row r="41" spans="1:10" s="1" customFormat="1" ht="30.95">
      <c r="A41" s="190"/>
      <c r="C41" s="250" t="s">
        <v>7</v>
      </c>
      <c r="D41" s="250"/>
      <c r="E41" s="91"/>
      <c r="F41" s="251">
        <f>F33+F25</f>
        <v>905845248</v>
      </c>
      <c r="G41" s="251"/>
      <c r="J41" s="86" t="s">
        <v>155</v>
      </c>
    </row>
    <row r="42" spans="1:10" ht="6" customHeight="1">
      <c r="C42" s="296"/>
      <c r="D42" s="296"/>
      <c r="E42" s="88"/>
      <c r="F42" s="88"/>
      <c r="G42" s="88"/>
      <c r="J42" s="87"/>
    </row>
    <row r="43" spans="1:10" ht="28.5" customHeight="1">
      <c r="C43" s="250" t="s">
        <v>9</v>
      </c>
      <c r="D43" s="250"/>
      <c r="E43" s="91"/>
      <c r="F43" s="251">
        <f>F35+F27</f>
        <v>226461312</v>
      </c>
      <c r="G43" s="251"/>
      <c r="J43" s="89" t="s">
        <v>160</v>
      </c>
    </row>
    <row r="44" spans="1:10" ht="6" customHeight="1">
      <c r="C44" s="296"/>
      <c r="D44" s="296"/>
      <c r="E44" s="88"/>
      <c r="F44" s="88"/>
      <c r="G44" s="88"/>
      <c r="J44" s="87"/>
    </row>
    <row r="45" spans="1:10" ht="28.5" customHeight="1">
      <c r="C45" s="250" t="s">
        <v>136</v>
      </c>
      <c r="D45" s="250"/>
      <c r="E45" s="91"/>
      <c r="F45" s="253">
        <f>F37+F29</f>
        <v>33264</v>
      </c>
      <c r="G45" s="253"/>
    </row>
    <row r="47" spans="1:10" ht="47.1">
      <c r="C47" s="243" t="s">
        <v>161</v>
      </c>
      <c r="D47" s="243"/>
      <c r="E47" s="243"/>
      <c r="F47" s="243"/>
      <c r="G47" s="243"/>
      <c r="H47" s="243"/>
      <c r="I47" s="243"/>
      <c r="J47" s="243"/>
    </row>
    <row r="48" spans="1:10" s="1" customFormat="1" ht="8.25" customHeight="1">
      <c r="A48" s="190"/>
      <c r="C48" s="295"/>
      <c r="D48" s="295"/>
      <c r="J48"/>
    </row>
    <row r="49" spans="1:21" s="1" customFormat="1" ht="30.95">
      <c r="A49" s="188"/>
      <c r="C49" s="84" t="s">
        <v>162</v>
      </c>
      <c r="D49" s="84"/>
      <c r="E49" s="85"/>
      <c r="F49" s="252"/>
      <c r="G49" s="252"/>
    </row>
    <row r="50" spans="1:21" ht="6" customHeight="1">
      <c r="A50" s="188"/>
      <c r="C50" s="295"/>
      <c r="D50" s="295"/>
    </row>
    <row r="51" spans="1:21" s="1" customFormat="1" ht="29.1">
      <c r="A51" s="188"/>
      <c r="C51" s="250" t="s">
        <v>163</v>
      </c>
      <c r="D51" s="250"/>
      <c r="E51" s="91"/>
      <c r="F51" s="251">
        <f>'Target setting'!L19</f>
        <v>61468070.400000006</v>
      </c>
      <c r="G51" s="251"/>
    </row>
    <row r="52" spans="1:21" ht="6" customHeight="1">
      <c r="C52" s="296"/>
      <c r="D52" s="296"/>
      <c r="E52" s="88"/>
      <c r="F52" s="88"/>
      <c r="G52" s="88"/>
      <c r="U52" s="1"/>
    </row>
    <row r="53" spans="1:21" ht="29.1">
      <c r="C53" s="250" t="s">
        <v>164</v>
      </c>
      <c r="D53" s="250"/>
      <c r="E53" s="91"/>
      <c r="F53" s="251">
        <f>'Target setting'!L21</f>
        <v>15367017.600000001</v>
      </c>
      <c r="G53" s="251"/>
    </row>
    <row r="54" spans="1:21" ht="13.5" customHeight="1">
      <c r="C54" s="295"/>
      <c r="D54" s="295"/>
      <c r="J54" s="87"/>
    </row>
    <row r="55" spans="1:21" ht="30.95">
      <c r="C55" s="84" t="s">
        <v>165</v>
      </c>
      <c r="D55" s="84"/>
      <c r="E55" s="85"/>
      <c r="F55" s="252"/>
      <c r="G55" s="252"/>
      <c r="J55" s="86" t="s">
        <v>166</v>
      </c>
    </row>
    <row r="56" spans="1:21" ht="6" customHeight="1">
      <c r="C56" s="295"/>
      <c r="D56" s="295"/>
      <c r="J56" s="1"/>
    </row>
    <row r="57" spans="1:21" ht="29.1">
      <c r="C57" s="250" t="s">
        <v>163</v>
      </c>
      <c r="D57" s="250"/>
      <c r="E57" s="91"/>
      <c r="F57" s="251">
        <f>'Target setting'!L25</f>
        <v>90584524.800000012</v>
      </c>
      <c r="G57" s="251"/>
      <c r="J57" s="247" t="s">
        <v>167</v>
      </c>
    </row>
    <row r="58" spans="1:21" ht="6" customHeight="1">
      <c r="C58" s="296"/>
      <c r="D58" s="296"/>
      <c r="E58" s="88"/>
      <c r="F58" s="88"/>
      <c r="G58" s="88"/>
      <c r="J58" s="248"/>
    </row>
    <row r="59" spans="1:21" ht="29.1">
      <c r="C59" s="250" t="s">
        <v>164</v>
      </c>
      <c r="D59" s="250"/>
      <c r="E59" s="91"/>
      <c r="F59" s="251">
        <f>'Target setting'!L27</f>
        <v>22646131.200000003</v>
      </c>
      <c r="G59" s="251"/>
      <c r="J59" s="249"/>
    </row>
  </sheetData>
  <mergeCells count="75">
    <mergeCell ref="C3:D3"/>
    <mergeCell ref="C4:D4"/>
    <mergeCell ref="F5:G5"/>
    <mergeCell ref="C6:D6"/>
    <mergeCell ref="C7:D7"/>
    <mergeCell ref="F7:G7"/>
    <mergeCell ref="C8:D8"/>
    <mergeCell ref="C9:D9"/>
    <mergeCell ref="F9:G9"/>
    <mergeCell ref="C10:D10"/>
    <mergeCell ref="C11:D11"/>
    <mergeCell ref="F11:G11"/>
    <mergeCell ref="C20:D20"/>
    <mergeCell ref="C12:D12"/>
    <mergeCell ref="F13:G13"/>
    <mergeCell ref="C14:D14"/>
    <mergeCell ref="C15:D15"/>
    <mergeCell ref="F15:G15"/>
    <mergeCell ref="C16:D16"/>
    <mergeCell ref="C17:D17"/>
    <mergeCell ref="F17:G17"/>
    <mergeCell ref="C18:D18"/>
    <mergeCell ref="C19:D19"/>
    <mergeCell ref="F19:G19"/>
    <mergeCell ref="C21:J21"/>
    <mergeCell ref="C22:D22"/>
    <mergeCell ref="F23:G23"/>
    <mergeCell ref="C24:D24"/>
    <mergeCell ref="C25:D25"/>
    <mergeCell ref="F25:G25"/>
    <mergeCell ref="C26:D26"/>
    <mergeCell ref="C27:D27"/>
    <mergeCell ref="F27:G27"/>
    <mergeCell ref="C28:D28"/>
    <mergeCell ref="C29:D29"/>
    <mergeCell ref="F29:G29"/>
    <mergeCell ref="C39:J39"/>
    <mergeCell ref="C30:D30"/>
    <mergeCell ref="F31:G31"/>
    <mergeCell ref="C32:D32"/>
    <mergeCell ref="C33:D33"/>
    <mergeCell ref="F33:G33"/>
    <mergeCell ref="C34:D34"/>
    <mergeCell ref="C35:D35"/>
    <mergeCell ref="F35:G35"/>
    <mergeCell ref="C36:D36"/>
    <mergeCell ref="C37:D37"/>
    <mergeCell ref="F37:G37"/>
    <mergeCell ref="F49:G49"/>
    <mergeCell ref="C40:D40"/>
    <mergeCell ref="C41:D41"/>
    <mergeCell ref="F41:G41"/>
    <mergeCell ref="C42:D42"/>
    <mergeCell ref="C43:D43"/>
    <mergeCell ref="F43:G43"/>
    <mergeCell ref="C44:D44"/>
    <mergeCell ref="C45:D45"/>
    <mergeCell ref="F45:G45"/>
    <mergeCell ref="C47:J47"/>
    <mergeCell ref="C48:D48"/>
    <mergeCell ref="J57:J59"/>
    <mergeCell ref="C58:D58"/>
    <mergeCell ref="C59:D59"/>
    <mergeCell ref="F59:G59"/>
    <mergeCell ref="C50:D50"/>
    <mergeCell ref="C51:D51"/>
    <mergeCell ref="F51:G51"/>
    <mergeCell ref="C52:D52"/>
    <mergeCell ref="C53:D53"/>
    <mergeCell ref="F53:G53"/>
    <mergeCell ref="C54:D54"/>
    <mergeCell ref="F55:G55"/>
    <mergeCell ref="C56:D56"/>
    <mergeCell ref="C57:D57"/>
    <mergeCell ref="F57:G57"/>
  </mergeCells>
  <hyperlinks>
    <hyperlink ref="J7:J8" location="'FULL MARKET SEGMENTATION'!A1" display="TOP DRIVING FORCES" xr:uid="{B75E8F11-410F-42D4-84F5-7EC6C93CAC56}"/>
    <hyperlink ref="J7" location="'Market Size'!A1" display="Market Size" xr:uid="{AA6CABCF-2B41-4699-BE8D-8ECCB2D7F315}"/>
    <hyperlink ref="J9" location="'Driving Forces Brainstorm'!A1" display="Driving Forces Brainstorm" xr:uid="{217E778A-EF05-40E8-A797-76557BEC4270}"/>
    <hyperlink ref="J25" location="'Segment Brainstorm'!A1" display="Segment Brainstorm" xr:uid="{234170E4-AC49-41DD-A6E5-639680A20550}"/>
    <hyperlink ref="J27" location="'Segment Quantification'!A1" display="Segmentation Quantification" xr:uid="{C7A52654-6972-4294-B794-7A2C61C64293}"/>
    <hyperlink ref="J11" location="'Driving Forces Impact'!A1" display="Driving Forces Impact" xr:uid="{1A03D1FC-E480-4AEB-9FAA-5EBDC137C9D6}"/>
    <hyperlink ref="J29" location="'Segment Ranking'!A1" display="Segmentation Quantification" xr:uid="{BFABDF1F-3B7E-4C58-8AA8-CCDD20357C68}"/>
    <hyperlink ref="J57" location="'Segment Ranking'!A1" display="Segmentation Quantification" xr:uid="{913D22C2-A051-4E64-A85E-CD24CD0EE647}"/>
    <hyperlink ref="J57:J59" location="'Core Segment Needs'!A1" display="Segment Needs" xr:uid="{0E298466-EA66-4D0C-AE95-9DACE6AD0096}"/>
    <hyperlink ref="J43" location="'Target Setting'!A1" display="Target Setting" xr:uid="{45DD57D0-4496-4C0C-B528-DBC70D84A14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7700-2881-49DA-9557-05AEFF4B79A4}">
  <sheetPr codeName="Sheet8"/>
  <dimension ref="A1:AF51"/>
  <sheetViews>
    <sheetView showGridLines="0" zoomScaleNormal="100" workbookViewId="0">
      <selection activeCell="I29" sqref="I29:Q29"/>
    </sheetView>
  </sheetViews>
  <sheetFormatPr defaultColWidth="9.140625" defaultRowHeight="15"/>
  <cols>
    <col min="1" max="1" width="8.42578125" style="190" customWidth="1"/>
    <col min="2" max="2" width="4" style="1" customWidth="1"/>
    <col min="3" max="3" width="56.28515625" style="1" customWidth="1"/>
    <col min="4" max="4" width="6.42578125" customWidth="1"/>
    <col min="5" max="5" width="2.42578125" customWidth="1"/>
    <col min="6" max="6" width="8.85546875" style="1" customWidth="1"/>
    <col min="7" max="7" width="37.42578125" style="1" customWidth="1"/>
    <col min="8" max="8" width="6" style="1" customWidth="1"/>
    <col min="9" max="9" width="9.42578125" style="1" customWidth="1"/>
    <col min="10" max="10" width="8.42578125" style="1" customWidth="1"/>
    <col min="11" max="11" width="3.140625" style="1" customWidth="1"/>
    <col min="12" max="12" width="9.42578125" style="1" customWidth="1"/>
    <col min="13" max="13" width="3" style="1" customWidth="1"/>
    <col min="14" max="14" width="9.42578125" style="1" customWidth="1"/>
    <col min="15" max="15" width="8.42578125" style="1" customWidth="1"/>
    <col min="16" max="16" width="3.140625" style="1" customWidth="1"/>
    <col min="17" max="17" width="9.42578125" style="1" customWidth="1"/>
    <col min="18" max="18" width="3.42578125" style="1" customWidth="1"/>
    <col min="19" max="20" width="18.85546875" style="1" customWidth="1"/>
    <col min="21" max="21" width="14.28515625" style="1" bestFit="1" customWidth="1"/>
    <col min="22" max="27" width="9.140625" style="1"/>
    <col min="28" max="28" width="3.42578125" style="1" customWidth="1"/>
    <col min="29" max="16384" width="9.140625" style="1"/>
  </cols>
  <sheetData>
    <row r="1" spans="1:32" customFormat="1" ht="41.1" customHeight="1">
      <c r="A1" s="188"/>
      <c r="B1" s="186"/>
      <c r="C1" s="185" t="s">
        <v>168</v>
      </c>
      <c r="D1" s="186"/>
      <c r="E1" s="186"/>
      <c r="F1" s="186"/>
      <c r="G1" s="186"/>
      <c r="H1" s="186"/>
      <c r="I1" s="186"/>
      <c r="J1" s="186"/>
      <c r="K1" s="186"/>
      <c r="L1" s="186"/>
      <c r="M1" s="186"/>
      <c r="N1" s="186"/>
      <c r="O1" s="187"/>
      <c r="P1" s="187"/>
      <c r="Q1" s="187"/>
      <c r="R1" s="187"/>
      <c r="S1" s="187"/>
      <c r="T1" s="187"/>
      <c r="U1" s="186"/>
    </row>
    <row r="2" spans="1:32">
      <c r="A2" s="188"/>
    </row>
    <row r="3" spans="1:32" s="118" customFormat="1" ht="35.1" customHeight="1">
      <c r="A3" s="183"/>
      <c r="C3" s="210" t="s">
        <v>169</v>
      </c>
      <c r="D3" s="210"/>
      <c r="E3" s="210"/>
      <c r="F3" s="210"/>
      <c r="G3" s="210"/>
      <c r="H3" s="210"/>
      <c r="I3" s="210"/>
      <c r="J3" s="210"/>
      <c r="K3" s="210"/>
      <c r="L3" s="210"/>
      <c r="M3" s="210"/>
      <c r="N3" s="210"/>
      <c r="O3" s="210"/>
      <c r="P3" s="210"/>
      <c r="Q3" s="11"/>
      <c r="S3" s="117"/>
      <c r="T3" s="117"/>
      <c r="U3" s="117"/>
      <c r="V3" s="117"/>
      <c r="W3" s="117"/>
      <c r="X3" s="117"/>
    </row>
    <row r="4" spans="1:32">
      <c r="A4" s="188"/>
    </row>
    <row r="5" spans="1:32">
      <c r="A5" s="189"/>
      <c r="I5" s="267" t="s">
        <v>157</v>
      </c>
      <c r="J5" s="267"/>
      <c r="K5" s="267"/>
      <c r="L5" s="267"/>
      <c r="N5" s="267" t="s">
        <v>158</v>
      </c>
      <c r="O5" s="267"/>
      <c r="P5" s="267"/>
      <c r="Q5" s="267"/>
    </row>
    <row r="6" spans="1:32" ht="26.25" customHeight="1">
      <c r="A6" s="189"/>
      <c r="C6" s="272" t="s">
        <v>170</v>
      </c>
      <c r="D6" s="1"/>
      <c r="E6" s="193"/>
      <c r="F6" s="94" t="s">
        <v>171</v>
      </c>
      <c r="G6" s="95"/>
      <c r="H6" s="95"/>
      <c r="I6" s="270" t="str">
        <f>'Segment summary'!F23</f>
        <v>Gminy/Samorządy</v>
      </c>
      <c r="J6" s="270"/>
      <c r="K6" s="270"/>
      <c r="L6" s="270"/>
      <c r="N6" s="270" t="str">
        <f>'Segment summary'!F31</f>
        <v>Obiekty na taryfie C</v>
      </c>
      <c r="O6" s="270"/>
      <c r="P6" s="270"/>
      <c r="Q6" s="270"/>
    </row>
    <row r="7" spans="1:32" ht="9" customHeight="1">
      <c r="A7" s="189"/>
      <c r="C7" s="273"/>
      <c r="D7" s="1"/>
      <c r="E7" s="157"/>
    </row>
    <row r="8" spans="1:32" ht="26.1">
      <c r="A8" s="189"/>
      <c r="C8" s="273"/>
      <c r="E8" s="193"/>
      <c r="F8" s="94" t="s">
        <v>7</v>
      </c>
      <c r="G8" s="95"/>
      <c r="H8" s="95"/>
      <c r="I8" s="271">
        <f>'Segment summary'!F25</f>
        <v>323516160</v>
      </c>
      <c r="J8" s="271"/>
      <c r="K8" s="271"/>
      <c r="L8" s="271"/>
      <c r="M8" s="96"/>
      <c r="N8" s="271">
        <f>'Segment summary'!F33</f>
        <v>582329088</v>
      </c>
      <c r="O8" s="271"/>
      <c r="P8" s="271"/>
      <c r="Q8" s="271"/>
    </row>
    <row r="9" spans="1:32" ht="26.1">
      <c r="A9" s="188"/>
      <c r="C9" s="273"/>
      <c r="E9" s="194"/>
      <c r="F9" s="94" t="s">
        <v>9</v>
      </c>
      <c r="G9" s="95"/>
      <c r="H9" s="95"/>
      <c r="I9" s="271">
        <f>'Segment summary'!F27</f>
        <v>80879040</v>
      </c>
      <c r="J9" s="271"/>
      <c r="K9" s="271"/>
      <c r="L9" s="271"/>
      <c r="M9" s="96"/>
      <c r="N9" s="271">
        <f>'Segment summary'!F35</f>
        <v>145582272</v>
      </c>
      <c r="O9" s="271"/>
      <c r="P9" s="271"/>
      <c r="Q9" s="271"/>
    </row>
    <row r="10" spans="1:32" ht="26.1">
      <c r="A10" s="188"/>
      <c r="C10" s="273"/>
      <c r="E10" s="194"/>
      <c r="F10" s="94" t="s">
        <v>89</v>
      </c>
      <c r="G10" s="95"/>
      <c r="H10" s="95"/>
      <c r="I10" s="275">
        <f>'Segment summary'!F29</f>
        <v>11880</v>
      </c>
      <c r="J10" s="275"/>
      <c r="K10" s="275"/>
      <c r="L10" s="275"/>
      <c r="M10" s="97"/>
      <c r="N10" s="275">
        <f>'Segment summary'!F37</f>
        <v>21384</v>
      </c>
      <c r="O10" s="275"/>
      <c r="P10" s="275"/>
      <c r="Q10" s="275"/>
      <c r="AA10" s="78"/>
      <c r="AB10" s="78"/>
      <c r="AF10" s="78"/>
    </row>
    <row r="11" spans="1:32" ht="26.1">
      <c r="A11" s="188"/>
      <c r="C11" s="273"/>
      <c r="E11" s="193"/>
      <c r="F11" s="94" t="s">
        <v>172</v>
      </c>
      <c r="G11" s="93"/>
      <c r="H11" s="93"/>
      <c r="I11" s="276">
        <f>IFERROR(I8/I10,"")</f>
        <v>27232</v>
      </c>
      <c r="J11" s="276"/>
      <c r="K11" s="276"/>
      <c r="L11" s="276"/>
      <c r="M11" s="98"/>
      <c r="N11" s="276">
        <f>IFERROR(N8/N10,"")</f>
        <v>27232</v>
      </c>
      <c r="O11" s="276"/>
      <c r="P11" s="276"/>
      <c r="Q11" s="276"/>
    </row>
    <row r="12" spans="1:32" ht="18.75" customHeight="1">
      <c r="A12" s="188"/>
      <c r="C12" s="273"/>
      <c r="E12" s="195"/>
    </row>
    <row r="13" spans="1:32" ht="26.1">
      <c r="A13" s="188"/>
      <c r="C13" s="273"/>
      <c r="E13" s="196"/>
      <c r="T13" s="78"/>
    </row>
    <row r="14" spans="1:32" ht="30.95">
      <c r="A14" s="188"/>
      <c r="C14" s="273"/>
      <c r="E14" s="194"/>
      <c r="F14" s="191" t="s">
        <v>173</v>
      </c>
      <c r="G14" s="100"/>
      <c r="H14" s="4"/>
      <c r="I14" s="268">
        <v>0.1</v>
      </c>
      <c r="J14" s="269"/>
      <c r="K14" s="269"/>
      <c r="L14" s="269"/>
      <c r="M14" s="101"/>
      <c r="N14" s="268">
        <v>0.05</v>
      </c>
      <c r="O14" s="269"/>
      <c r="P14" s="269"/>
      <c r="Q14" s="269"/>
      <c r="T14" s="102"/>
      <c r="U14" s="102"/>
    </row>
    <row r="15" spans="1:32" ht="30.95" customHeight="1">
      <c r="A15" s="188"/>
      <c r="C15" s="273"/>
      <c r="E15" s="193"/>
      <c r="F15" s="192" t="s">
        <v>174</v>
      </c>
      <c r="G15" s="103"/>
      <c r="H15" s="2"/>
      <c r="I15" s="268">
        <v>0.1</v>
      </c>
      <c r="J15" s="269"/>
      <c r="K15" s="269"/>
      <c r="L15" s="269"/>
      <c r="M15" s="101"/>
      <c r="N15" s="268">
        <v>0.05</v>
      </c>
      <c r="O15" s="269"/>
      <c r="P15" s="269"/>
      <c r="Q15" s="269"/>
      <c r="T15" s="104"/>
    </row>
    <row r="16" spans="1:32" ht="30.95" customHeight="1">
      <c r="A16" s="188"/>
      <c r="C16"/>
      <c r="E16" s="193"/>
      <c r="F16" s="114"/>
      <c r="G16" s="88"/>
      <c r="H16" s="78"/>
      <c r="I16" s="115"/>
      <c r="J16" s="115"/>
      <c r="K16" s="115"/>
      <c r="L16" s="115"/>
      <c r="M16" s="101"/>
      <c r="N16" s="115"/>
      <c r="O16" s="115"/>
      <c r="P16" s="115"/>
      <c r="Q16" s="115"/>
      <c r="T16" s="104"/>
    </row>
    <row r="17" spans="1:17">
      <c r="A17" s="188"/>
      <c r="E17" s="157"/>
    </row>
    <row r="18" spans="1:17" ht="26.25" customHeight="1">
      <c r="A18" s="188"/>
      <c r="C18" s="274" t="s">
        <v>175</v>
      </c>
      <c r="E18" s="197" t="s">
        <v>176</v>
      </c>
      <c r="J18" s="105"/>
      <c r="Q18" s="105"/>
    </row>
    <row r="19" spans="1:17" ht="33.950000000000003">
      <c r="A19" s="188"/>
      <c r="C19" s="274"/>
      <c r="E19" s="195"/>
      <c r="F19" s="99" t="s">
        <v>177</v>
      </c>
      <c r="G19" s="4"/>
      <c r="H19" s="4"/>
      <c r="I19" s="262">
        <f>IFERROR(L19/'Segment summary'!F41,"")</f>
        <v>6.7857142857142866E-2</v>
      </c>
      <c r="J19" s="263"/>
      <c r="L19" s="277">
        <f>'Target setting'!I8*'Target setting'!I14+'Target setting'!N8*'Target setting'!N14</f>
        <v>61468070.400000006</v>
      </c>
      <c r="M19" s="277"/>
      <c r="N19" s="277"/>
      <c r="O19" s="277"/>
      <c r="P19" s="277"/>
      <c r="Q19" s="277"/>
    </row>
    <row r="20" spans="1:17" ht="33.950000000000003">
      <c r="A20" s="188"/>
      <c r="C20" s="274"/>
      <c r="E20" s="198"/>
      <c r="F20" s="111"/>
      <c r="I20" s="106"/>
      <c r="J20" s="106"/>
      <c r="L20" s="261"/>
      <c r="M20" s="261"/>
      <c r="N20" s="261"/>
      <c r="O20" s="261"/>
      <c r="P20" s="261"/>
      <c r="Q20" s="261"/>
    </row>
    <row r="21" spans="1:17" ht="33.950000000000003">
      <c r="A21" s="188"/>
      <c r="C21" s="274"/>
      <c r="E21" s="195"/>
      <c r="F21" s="99" t="s">
        <v>178</v>
      </c>
      <c r="G21" s="4"/>
      <c r="H21" s="4"/>
      <c r="I21" s="262">
        <f>IFERROR(L21/'Segment summary'!F43,"")</f>
        <v>6.7857142857142866E-2</v>
      </c>
      <c r="J21" s="263"/>
      <c r="L21" s="264">
        <f>'Target setting'!I9*'Target setting'!I15+'Target setting'!N9*'Target setting'!N15</f>
        <v>15367017.600000001</v>
      </c>
      <c r="M21" s="264"/>
      <c r="N21" s="264"/>
      <c r="O21" s="264"/>
      <c r="P21" s="264"/>
      <c r="Q21" s="264"/>
    </row>
    <row r="22" spans="1:17" ht="24">
      <c r="A22" s="188"/>
      <c r="C22" s="274"/>
      <c r="E22" s="197" t="s">
        <v>179</v>
      </c>
    </row>
    <row r="23" spans="1:17" ht="29.1">
      <c r="A23" s="188"/>
      <c r="C23" s="274"/>
      <c r="E23" s="193"/>
      <c r="I23" s="107"/>
      <c r="J23" s="105" t="s">
        <v>180</v>
      </c>
      <c r="Q23" s="105" t="s">
        <v>181</v>
      </c>
    </row>
    <row r="24" spans="1:17">
      <c r="A24" s="188"/>
      <c r="C24" s="274"/>
      <c r="E24" s="196"/>
      <c r="L24" s="295"/>
      <c r="M24" s="295"/>
      <c r="N24" s="295"/>
      <c r="O24" s="295"/>
      <c r="P24" s="295"/>
      <c r="Q24" s="295"/>
    </row>
    <row r="25" spans="1:17" ht="29.1">
      <c r="A25" s="188"/>
      <c r="C25" s="274"/>
      <c r="E25" s="193"/>
      <c r="F25" s="297" t="s">
        <v>182</v>
      </c>
      <c r="G25" s="297"/>
      <c r="H25" s="4"/>
      <c r="I25" s="265">
        <v>0.1</v>
      </c>
      <c r="J25" s="266"/>
      <c r="K25" s="108"/>
      <c r="L25" s="260">
        <f>I25*(I8+N8)</f>
        <v>90584524.800000012</v>
      </c>
      <c r="M25" s="260"/>
      <c r="N25" s="260"/>
      <c r="O25" s="260"/>
      <c r="P25" s="260"/>
      <c r="Q25" s="260"/>
    </row>
    <row r="26" spans="1:17">
      <c r="A26" s="188"/>
      <c r="C26" s="274"/>
      <c r="E26" s="199"/>
      <c r="L26" s="298"/>
      <c r="M26" s="298"/>
      <c r="N26" s="298"/>
      <c r="O26" s="298"/>
      <c r="P26" s="298"/>
      <c r="Q26" s="298"/>
    </row>
    <row r="27" spans="1:17" ht="29.1">
      <c r="A27" s="188"/>
      <c r="C27" s="274"/>
      <c r="E27" s="193"/>
      <c r="F27" s="299" t="s">
        <v>183</v>
      </c>
      <c r="G27" s="299"/>
      <c r="H27" s="94"/>
      <c r="I27" s="259">
        <v>0.1</v>
      </c>
      <c r="J27" s="259"/>
      <c r="K27" s="108"/>
      <c r="L27" s="260">
        <f>I27*(I9+N9)</f>
        <v>22646131.200000003</v>
      </c>
      <c r="M27" s="260"/>
      <c r="N27" s="260"/>
      <c r="O27" s="260"/>
      <c r="P27" s="260"/>
      <c r="Q27" s="260"/>
    </row>
    <row r="28" spans="1:17">
      <c r="A28" s="188"/>
      <c r="C28" s="274"/>
      <c r="E28" s="199"/>
      <c r="L28" s="298"/>
      <c r="M28" s="298"/>
      <c r="N28" s="298"/>
      <c r="O28" s="298"/>
      <c r="P28" s="298"/>
      <c r="Q28" s="298"/>
    </row>
    <row r="29" spans="1:17" ht="28.5" customHeight="1">
      <c r="A29" s="188"/>
      <c r="C29" s="274"/>
      <c r="E29" s="193"/>
      <c r="F29" s="300" t="s">
        <v>184</v>
      </c>
      <c r="G29" s="300"/>
      <c r="H29" s="94"/>
      <c r="I29" s="258" t="s">
        <v>185</v>
      </c>
      <c r="J29" s="258"/>
      <c r="K29" s="258"/>
      <c r="L29" s="258"/>
      <c r="M29" s="258"/>
      <c r="N29" s="258"/>
      <c r="O29" s="258"/>
      <c r="P29" s="258"/>
      <c r="Q29" s="258"/>
    </row>
    <row r="30" spans="1:17">
      <c r="A30" s="188"/>
      <c r="C30" s="274"/>
      <c r="E30" s="199"/>
      <c r="I30" s="113"/>
      <c r="J30" s="101"/>
      <c r="K30" s="101"/>
      <c r="L30" s="257"/>
      <c r="M30" s="257"/>
      <c r="N30" s="257"/>
      <c r="O30" s="257"/>
      <c r="P30" s="257"/>
      <c r="Q30" s="257"/>
    </row>
    <row r="31" spans="1:17" ht="26.1">
      <c r="A31" s="188"/>
      <c r="C31" s="274"/>
      <c r="E31" s="193"/>
      <c r="F31" s="300" t="s">
        <v>184</v>
      </c>
      <c r="G31" s="300"/>
      <c r="H31" s="94"/>
      <c r="I31" s="258" t="s">
        <v>185</v>
      </c>
      <c r="J31" s="258"/>
      <c r="K31" s="258"/>
      <c r="L31" s="258"/>
      <c r="M31" s="258"/>
      <c r="N31" s="258"/>
      <c r="O31" s="258"/>
      <c r="P31" s="258"/>
      <c r="Q31" s="258"/>
    </row>
    <row r="32" spans="1:17">
      <c r="A32" s="188"/>
      <c r="C32" s="274"/>
      <c r="E32" s="199"/>
      <c r="I32" s="113"/>
      <c r="J32" s="101"/>
      <c r="K32" s="101"/>
      <c r="L32" s="257"/>
      <c r="M32" s="257"/>
      <c r="N32" s="257"/>
      <c r="O32" s="257"/>
      <c r="P32" s="257"/>
      <c r="Q32" s="257"/>
    </row>
    <row r="33" spans="1:17" ht="26.1">
      <c r="A33" s="188"/>
      <c r="C33" s="274"/>
      <c r="E33" s="193"/>
      <c r="F33" s="300" t="s">
        <v>184</v>
      </c>
      <c r="G33" s="300"/>
      <c r="H33" s="94"/>
      <c r="I33" s="258" t="s">
        <v>185</v>
      </c>
      <c r="J33" s="258"/>
      <c r="K33" s="258"/>
      <c r="L33" s="258"/>
      <c r="M33" s="258"/>
      <c r="N33" s="258"/>
      <c r="O33" s="258"/>
      <c r="P33" s="258"/>
      <c r="Q33" s="258"/>
    </row>
    <row r="34" spans="1:17">
      <c r="A34" s="188"/>
      <c r="C34" s="274"/>
      <c r="E34" s="199"/>
      <c r="I34" s="113"/>
      <c r="J34" s="101"/>
      <c r="K34" s="101"/>
      <c r="L34" s="257"/>
      <c r="M34" s="257"/>
      <c r="N34" s="257"/>
      <c r="O34" s="257"/>
      <c r="P34" s="257"/>
      <c r="Q34" s="257"/>
    </row>
    <row r="35" spans="1:17" ht="26.1">
      <c r="A35" s="188"/>
      <c r="C35" s="274"/>
      <c r="E35" s="193"/>
      <c r="F35" s="300" t="s">
        <v>184</v>
      </c>
      <c r="G35" s="300"/>
      <c r="H35" s="94"/>
      <c r="I35" s="258" t="s">
        <v>185</v>
      </c>
      <c r="J35" s="258"/>
      <c r="K35" s="258"/>
      <c r="L35" s="258"/>
      <c r="M35" s="258"/>
      <c r="N35" s="258"/>
      <c r="O35" s="258"/>
      <c r="P35" s="258"/>
      <c r="Q35" s="258"/>
    </row>
    <row r="36" spans="1:17">
      <c r="A36" s="188"/>
      <c r="C36" s="274"/>
      <c r="E36" s="199"/>
      <c r="I36" s="113"/>
      <c r="J36" s="101"/>
      <c r="K36" s="101"/>
      <c r="L36" s="257"/>
      <c r="M36" s="257"/>
      <c r="N36" s="257"/>
      <c r="O36" s="257"/>
      <c r="P36" s="257"/>
      <c r="Q36" s="257"/>
    </row>
    <row r="37" spans="1:17" ht="26.1">
      <c r="A37" s="188"/>
      <c r="C37" s="274"/>
      <c r="E37" s="193"/>
      <c r="F37" s="300" t="s">
        <v>184</v>
      </c>
      <c r="G37" s="300"/>
      <c r="H37" s="94"/>
      <c r="I37" s="258" t="s">
        <v>185</v>
      </c>
      <c r="J37" s="258"/>
      <c r="K37" s="258"/>
      <c r="L37" s="258"/>
      <c r="M37" s="258"/>
      <c r="N37" s="258"/>
      <c r="O37" s="258"/>
      <c r="P37" s="258"/>
      <c r="Q37" s="258"/>
    </row>
    <row r="38" spans="1:17" ht="26.1" customHeight="1">
      <c r="A38" s="188"/>
      <c r="E38" s="193"/>
    </row>
    <row r="39" spans="1:17" ht="24">
      <c r="A39" s="188"/>
      <c r="E39" s="193"/>
      <c r="L39" s="9" t="s">
        <v>84</v>
      </c>
      <c r="M39" s="254" t="s">
        <v>139</v>
      </c>
      <c r="N39" s="254"/>
      <c r="O39" s="254"/>
      <c r="P39" s="254"/>
      <c r="Q39" s="254"/>
    </row>
    <row r="40" spans="1:17" ht="26.1" customHeight="1">
      <c r="A40" s="188"/>
      <c r="L40"/>
      <c r="M40" s="255"/>
      <c r="N40" s="255"/>
      <c r="O40" s="255"/>
      <c r="P40" s="255"/>
      <c r="Q40" s="255"/>
    </row>
    <row r="41" spans="1:17" ht="24">
      <c r="L41" s="9" t="s">
        <v>10</v>
      </c>
      <c r="M41" s="256" t="s">
        <v>186</v>
      </c>
      <c r="N41" s="256"/>
      <c r="O41" s="256"/>
      <c r="P41" s="256"/>
      <c r="Q41" s="256"/>
    </row>
    <row r="49" spans="1:1">
      <c r="A49" s="188"/>
    </row>
    <row r="50" spans="1:1">
      <c r="A50" s="188"/>
    </row>
    <row r="51" spans="1:1">
      <c r="A51" s="188"/>
    </row>
  </sheetData>
  <mergeCells count="51">
    <mergeCell ref="C18:C37"/>
    <mergeCell ref="N5:Q5"/>
    <mergeCell ref="I29:Q29"/>
    <mergeCell ref="I31:Q31"/>
    <mergeCell ref="I33:Q33"/>
    <mergeCell ref="I35:Q35"/>
    <mergeCell ref="I9:L9"/>
    <mergeCell ref="N9:Q9"/>
    <mergeCell ref="I10:L10"/>
    <mergeCell ref="N10:Q10"/>
    <mergeCell ref="I11:L11"/>
    <mergeCell ref="N11:Q11"/>
    <mergeCell ref="I14:L14"/>
    <mergeCell ref="N14:Q14"/>
    <mergeCell ref="I19:J19"/>
    <mergeCell ref="L19:Q19"/>
    <mergeCell ref="I5:L5"/>
    <mergeCell ref="I15:L15"/>
    <mergeCell ref="N15:Q15"/>
    <mergeCell ref="C3:K3"/>
    <mergeCell ref="L3:P3"/>
    <mergeCell ref="I6:L6"/>
    <mergeCell ref="N6:Q6"/>
    <mergeCell ref="I8:L8"/>
    <mergeCell ref="N8:Q8"/>
    <mergeCell ref="C6:C15"/>
    <mergeCell ref="L20:Q20"/>
    <mergeCell ref="I21:J21"/>
    <mergeCell ref="L21:Q21"/>
    <mergeCell ref="L24:Q24"/>
    <mergeCell ref="F25:G25"/>
    <mergeCell ref="I25:J25"/>
    <mergeCell ref="L25:Q25"/>
    <mergeCell ref="F33:G33"/>
    <mergeCell ref="L26:Q26"/>
    <mergeCell ref="F27:G27"/>
    <mergeCell ref="I27:J27"/>
    <mergeCell ref="L27:Q27"/>
    <mergeCell ref="L28:Q28"/>
    <mergeCell ref="F29:G29"/>
    <mergeCell ref="L30:Q30"/>
    <mergeCell ref="F31:G31"/>
    <mergeCell ref="L32:Q32"/>
    <mergeCell ref="M39:Q39"/>
    <mergeCell ref="M40:Q40"/>
    <mergeCell ref="M41:Q41"/>
    <mergeCell ref="L34:Q34"/>
    <mergeCell ref="F35:G35"/>
    <mergeCell ref="L36:Q36"/>
    <mergeCell ref="F37:G37"/>
    <mergeCell ref="I37:Q37"/>
  </mergeCells>
  <conditionalFormatting sqref="L25">
    <cfRule type="expression" dxfId="1" priority="1">
      <formula>L25&gt;#REF!</formula>
    </cfRule>
  </conditionalFormatting>
  <conditionalFormatting sqref="L27">
    <cfRule type="expression" dxfId="0" priority="2">
      <formula>L27&gt;#REF!</formula>
    </cfRule>
  </conditionalFormatting>
  <hyperlinks>
    <hyperlink ref="M39:O39" location="'Market Size'!A1" display="Market Size" xr:uid="{A8FDFAF9-4B64-4A25-9293-98ABBE767AEC}"/>
    <hyperlink ref="M41:O41" location="'Driving Forces Impact'!A1" display="Driving Forces Impact" xr:uid="{7E2E9CCF-FB3F-46C3-9AC6-9EB289824726}"/>
    <hyperlink ref="M39:Q39" location="'Segment Ranking'!A1" display="Segment Ranking" xr:uid="{80FD69B1-6161-42D7-838A-6D451140996B}"/>
    <hyperlink ref="M41:Q41" location="'Segmentation Summary'!A1" display="Core Segment Needs" xr:uid="{1A5975AB-054C-4360-8B19-429B70D669AD}"/>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0DB-ACD3-42EB-915B-E9513377D0A9}">
  <sheetPr codeName="Sheet9"/>
  <dimension ref="A2:W28"/>
  <sheetViews>
    <sheetView showGridLines="0" topLeftCell="D1" zoomScale="70" zoomScaleNormal="70"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0"/>
      <c r="B2" s="10"/>
      <c r="C2" s="10"/>
      <c r="D2" s="10"/>
      <c r="E2" s="11" t="s">
        <v>187</v>
      </c>
      <c r="F2" s="11"/>
      <c r="G2" s="11"/>
      <c r="H2" s="11"/>
      <c r="I2" s="11"/>
      <c r="J2" s="11"/>
      <c r="K2" s="11"/>
      <c r="L2" s="11"/>
      <c r="M2" s="11"/>
      <c r="N2" s="11"/>
      <c r="O2" s="11"/>
      <c r="P2" s="11"/>
    </row>
    <row r="3" spans="1:20" s="1" customFormat="1" ht="7.5" customHeight="1"/>
    <row r="4" spans="1:20" s="1" customFormat="1" ht="26.1">
      <c r="E4" s="280" t="s">
        <v>188</v>
      </c>
      <c r="G4" s="281" t="s">
        <v>189</v>
      </c>
      <c r="H4" s="282"/>
      <c r="I4" s="282"/>
      <c r="J4" s="282"/>
      <c r="K4" s="282"/>
      <c r="L4" s="282"/>
      <c r="M4" s="282"/>
      <c r="N4" s="282"/>
      <c r="O4" s="282"/>
      <c r="P4" s="282"/>
    </row>
    <row r="5" spans="1:20" s="1" customFormat="1" ht="39.950000000000003" customHeight="1">
      <c r="E5" s="280"/>
      <c r="G5" s="283"/>
      <c r="H5" s="284"/>
      <c r="I5" s="284"/>
      <c r="J5" s="284"/>
      <c r="K5" s="284"/>
      <c r="L5" s="284"/>
      <c r="M5" s="284"/>
      <c r="N5" s="284"/>
      <c r="O5" s="284"/>
      <c r="P5" s="284"/>
    </row>
    <row r="6" spans="1:20" s="1" customFormat="1" ht="15.95" thickBot="1"/>
    <row r="7" spans="1:20" s="1" customFormat="1" ht="47.1">
      <c r="A7" s="12"/>
      <c r="B7" s="13"/>
      <c r="C7" s="14" t="s">
        <v>61</v>
      </c>
      <c r="D7" s="10"/>
      <c r="E7" s="217" t="s">
        <v>190</v>
      </c>
      <c r="F7" s="10"/>
      <c r="G7" s="155" t="s">
        <v>191</v>
      </c>
      <c r="H7" s="156" t="s">
        <v>192</v>
      </c>
      <c r="I7" s="17" t="s">
        <v>193</v>
      </c>
      <c r="J7" s="18" t="s">
        <v>66</v>
      </c>
      <c r="K7"/>
      <c r="L7"/>
      <c r="M7" s="285" t="s">
        <v>194</v>
      </c>
      <c r="N7" s="285"/>
      <c r="O7" s="285"/>
      <c r="P7" s="285"/>
      <c r="Q7"/>
    </row>
    <row r="8" spans="1:20" s="1" customFormat="1" ht="15.95" thickBot="1">
      <c r="A8"/>
      <c r="B8"/>
      <c r="C8"/>
      <c r="D8"/>
      <c r="E8" s="217"/>
      <c r="F8" s="10"/>
      <c r="G8"/>
      <c r="H8"/>
      <c r="I8"/>
      <c r="J8"/>
      <c r="K8"/>
      <c r="L8"/>
      <c r="M8"/>
      <c r="N8"/>
      <c r="O8"/>
      <c r="P8"/>
      <c r="Q8"/>
    </row>
    <row r="9" spans="1:20" s="1" customFormat="1" ht="26.1">
      <c r="A9" s="19" t="str">
        <f>IF(G9&lt;&gt;"",COUNTIF($J9:J$9,J9),"")</f>
        <v/>
      </c>
      <c r="B9" s="10" t="str">
        <f t="shared" ref="B9:B27" si="0">IF(G9&lt;&gt;"",IFERROR(RANK(J9,$J$9:$J$27,0),1),"")</f>
        <v/>
      </c>
      <c r="C9" s="20" t="str">
        <f t="shared" ref="C9:C27" si="1">IF(ISNUMBER(B9),B9+A9-1,"")</f>
        <v/>
      </c>
      <c r="D9" s="10"/>
      <c r="E9" s="217"/>
      <c r="F9" s="10"/>
      <c r="G9" s="21"/>
      <c r="H9" s="21"/>
      <c r="I9" s="21"/>
      <c r="J9" t="str">
        <f t="shared" ref="J9:J27" si="2">IF(G9&lt;&gt;"",(2*H9+I9),"")</f>
        <v/>
      </c>
      <c r="K9"/>
      <c r="L9" s="23">
        <v>1</v>
      </c>
      <c r="M9" s="229" t="str">
        <f>IFERROR(INDEX($A$7:$I$1048576,MATCH($L9,$C$7:$C$27,0),MATCH($G$7,$7:$7,0)),"")</f>
        <v/>
      </c>
      <c r="N9" s="229"/>
      <c r="O9" s="229"/>
      <c r="P9" s="229"/>
      <c r="Q9"/>
    </row>
    <row r="10" spans="1:20" s="1" customFormat="1" ht="26.1">
      <c r="A10" s="19" t="str">
        <f>IF(G10&lt;&gt;"",COUNTIF($J$9:J10,J10),"")</f>
        <v/>
      </c>
      <c r="B10" s="10" t="str">
        <f t="shared" si="0"/>
        <v/>
      </c>
      <c r="C10" s="22" t="str">
        <f t="shared" si="1"/>
        <v/>
      </c>
      <c r="D10" s="10"/>
      <c r="E10" s="217"/>
      <c r="F10" s="10"/>
      <c r="G10" s="21"/>
      <c r="H10" s="21"/>
      <c r="I10" s="21"/>
      <c r="J10" t="str">
        <f t="shared" si="2"/>
        <v/>
      </c>
      <c r="K10"/>
      <c r="L10" s="23">
        <v>2</v>
      </c>
      <c r="M10" s="229" t="str">
        <f>IFERROR(INDEX($A$7:$I$1048576,MATCH($L10,$C$7:$C$27,0),MATCH($G$7,$7:$7,0)),"")</f>
        <v/>
      </c>
      <c r="N10" s="229"/>
      <c r="O10" s="229"/>
      <c r="P10" s="229"/>
      <c r="Q10"/>
    </row>
    <row r="11" spans="1:20" s="1" customFormat="1" ht="26.1">
      <c r="A11" s="19" t="str">
        <f>IF(G11&lt;&gt;"",COUNTIF($J$9:J11,J11),"")</f>
        <v/>
      </c>
      <c r="B11" s="10" t="str">
        <f t="shared" si="0"/>
        <v/>
      </c>
      <c r="C11" s="22" t="str">
        <f>IF(ISNUMBER(B11),B11+A11-1,"")</f>
        <v/>
      </c>
      <c r="D11" s="10"/>
      <c r="E11" s="217"/>
      <c r="F11" s="10"/>
      <c r="G11" s="21"/>
      <c r="H11" s="21"/>
      <c r="I11" s="21"/>
      <c r="J11" t="str">
        <f t="shared" si="2"/>
        <v/>
      </c>
      <c r="K11"/>
      <c r="L11" s="23">
        <v>3</v>
      </c>
      <c r="M11" s="229" t="str">
        <f>IFERROR(INDEX($A$7:$I$1048576,MATCH($L11,$C$7:$C$27,0),MATCH($G$7,$7:$7,0)),"")</f>
        <v/>
      </c>
      <c r="N11" s="229"/>
      <c r="O11" s="229"/>
      <c r="P11" s="229"/>
      <c r="Q11"/>
    </row>
    <row r="12" spans="1:20" s="1" customFormat="1" ht="26.1">
      <c r="A12" s="19" t="str">
        <f>IF(G12&lt;&gt;"",COUNTIF($J$9:J12,J12),"")</f>
        <v/>
      </c>
      <c r="B12" s="10" t="str">
        <f t="shared" si="0"/>
        <v/>
      </c>
      <c r="C12" s="22" t="str">
        <f t="shared" si="1"/>
        <v/>
      </c>
      <c r="D12" s="10"/>
      <c r="E12" s="217"/>
      <c r="F12" s="10"/>
      <c r="G12" s="21"/>
      <c r="H12" s="21"/>
      <c r="I12" s="21"/>
      <c r="J12" t="str">
        <f t="shared" si="2"/>
        <v/>
      </c>
      <c r="K12"/>
      <c r="Q12"/>
    </row>
    <row r="13" spans="1:20" s="1" customFormat="1" ht="26.1">
      <c r="A13" s="19" t="str">
        <f>IF(G13&lt;&gt;"",COUNTIF($J$9:J13,J13),"")</f>
        <v/>
      </c>
      <c r="B13" s="10" t="str">
        <f t="shared" si="0"/>
        <v/>
      </c>
      <c r="C13" s="22" t="str">
        <f t="shared" si="1"/>
        <v/>
      </c>
      <c r="D13" s="10"/>
      <c r="E13" s="217"/>
      <c r="F13" s="10"/>
      <c r="G13" s="21"/>
      <c r="H13" s="21"/>
      <c r="I13" s="21"/>
      <c r="J13" t="str">
        <f t="shared" si="2"/>
        <v/>
      </c>
      <c r="K13"/>
      <c r="L13" s="109">
        <v>4</v>
      </c>
      <c r="M13" s="286" t="str">
        <f t="shared" ref="M13:M19" si="3">IFERROR(INDEX($A$7:$I$1048576,MATCH($L13,$C$7:$C$27,0),MATCH($G$7,$7:$7,0)),"")</f>
        <v/>
      </c>
      <c r="N13" s="286"/>
      <c r="O13" s="286"/>
      <c r="P13" s="286"/>
      <c r="Q13"/>
    </row>
    <row r="14" spans="1:20" s="1" customFormat="1" ht="26.1">
      <c r="A14" s="19" t="str">
        <f>IF(G14&lt;&gt;"",COUNTIF($J$9:J14,J14),"")</f>
        <v/>
      </c>
      <c r="B14" s="10" t="str">
        <f t="shared" si="0"/>
        <v/>
      </c>
      <c r="C14" s="22" t="str">
        <f t="shared" si="1"/>
        <v/>
      </c>
      <c r="D14" s="10"/>
      <c r="E14" s="217"/>
      <c r="F14" s="10"/>
      <c r="G14" s="21"/>
      <c r="H14" s="21"/>
      <c r="I14" s="21"/>
      <c r="J14" t="str">
        <f t="shared" si="2"/>
        <v/>
      </c>
      <c r="K14"/>
      <c r="L14" s="109">
        <v>5</v>
      </c>
      <c r="M14" s="286" t="str">
        <f t="shared" si="3"/>
        <v/>
      </c>
      <c r="N14" s="286"/>
      <c r="O14" s="286"/>
      <c r="P14" s="286"/>
      <c r="Q14"/>
    </row>
    <row r="15" spans="1:20" s="1" customFormat="1" ht="26.1">
      <c r="A15" s="19" t="str">
        <f>IF(G15&lt;&gt;"",COUNTIF($J$9:J15,J15),"")</f>
        <v/>
      </c>
      <c r="B15" s="10" t="str">
        <f t="shared" si="0"/>
        <v/>
      </c>
      <c r="C15" s="22" t="str">
        <f t="shared" si="1"/>
        <v/>
      </c>
      <c r="D15" s="10"/>
      <c r="E15" s="217"/>
      <c r="F15" s="10"/>
      <c r="G15" s="21"/>
      <c r="H15" s="21"/>
      <c r="I15" s="21"/>
      <c r="J15" t="str">
        <f t="shared" si="2"/>
        <v/>
      </c>
      <c r="K15"/>
      <c r="L15" s="109">
        <v>6</v>
      </c>
      <c r="M15" s="286" t="str">
        <f t="shared" si="3"/>
        <v/>
      </c>
      <c r="N15" s="286"/>
      <c r="O15" s="286"/>
      <c r="P15" s="286"/>
      <c r="Q15"/>
      <c r="T15" s="1" t="s">
        <v>8</v>
      </c>
    </row>
    <row r="16" spans="1:20" s="1" customFormat="1" ht="26.1">
      <c r="A16" s="19" t="str">
        <f>IF(G16&lt;&gt;"",COUNTIF($J$9:J16,J16),"")</f>
        <v/>
      </c>
      <c r="B16" s="10" t="str">
        <f t="shared" si="0"/>
        <v/>
      </c>
      <c r="C16" s="22" t="str">
        <f t="shared" si="1"/>
        <v/>
      </c>
      <c r="D16" s="10"/>
      <c r="E16" s="217"/>
      <c r="F16" s="10"/>
      <c r="G16" s="21"/>
      <c r="H16" s="21"/>
      <c r="I16" s="21"/>
      <c r="J16" t="str">
        <f t="shared" si="2"/>
        <v/>
      </c>
      <c r="K16"/>
      <c r="L16" s="109">
        <v>7</v>
      </c>
      <c r="M16" s="286" t="str">
        <f t="shared" si="3"/>
        <v/>
      </c>
      <c r="N16" s="286"/>
      <c r="O16" s="286"/>
      <c r="P16" s="286"/>
      <c r="Q16"/>
    </row>
    <row r="17" spans="1:17" s="1" customFormat="1" ht="26.1">
      <c r="A17" s="19" t="str">
        <f>IF(G17&lt;&gt;"",COUNTIF($J$9:J17,J17),"")</f>
        <v/>
      </c>
      <c r="B17" s="10" t="str">
        <f t="shared" si="0"/>
        <v/>
      </c>
      <c r="C17" s="22" t="str">
        <f>IF(ISNUMBER(B17),B17+A17-1,"")</f>
        <v/>
      </c>
      <c r="D17" s="10"/>
      <c r="E17" s="217"/>
      <c r="F17" s="10"/>
      <c r="G17" s="21"/>
      <c r="H17" s="21"/>
      <c r="I17" s="21"/>
      <c r="J17" t="str">
        <f t="shared" si="2"/>
        <v/>
      </c>
      <c r="K17"/>
      <c r="L17" s="109">
        <v>8</v>
      </c>
      <c r="M17" s="286" t="str">
        <f t="shared" si="3"/>
        <v/>
      </c>
      <c r="N17" s="286"/>
      <c r="O17" s="286"/>
      <c r="P17" s="286"/>
      <c r="Q17"/>
    </row>
    <row r="18" spans="1:17" s="1" customFormat="1" ht="26.1">
      <c r="A18" s="19" t="str">
        <f>IF(G18&lt;&gt;"",COUNTIF($J$9:J18,J18),"")</f>
        <v/>
      </c>
      <c r="B18" s="10" t="str">
        <f t="shared" si="0"/>
        <v/>
      </c>
      <c r="C18" s="22" t="str">
        <f t="shared" si="1"/>
        <v/>
      </c>
      <c r="D18" s="10"/>
      <c r="E18" s="217"/>
      <c r="F18" s="10"/>
      <c r="G18" s="21"/>
      <c r="H18" s="21"/>
      <c r="I18" s="21"/>
      <c r="J18" t="str">
        <f t="shared" si="2"/>
        <v/>
      </c>
      <c r="K18"/>
      <c r="L18" s="109">
        <v>9</v>
      </c>
      <c r="M18" s="286" t="str">
        <f t="shared" si="3"/>
        <v/>
      </c>
      <c r="N18" s="286"/>
      <c r="O18" s="286"/>
      <c r="P18" s="286"/>
      <c r="Q18"/>
    </row>
    <row r="19" spans="1:17" s="1" customFormat="1" ht="26.1">
      <c r="A19" s="19" t="str">
        <f>IF(G19&lt;&gt;"",COUNTIF($J$9:J19,J19),"")</f>
        <v/>
      </c>
      <c r="B19" s="10" t="str">
        <f t="shared" si="0"/>
        <v/>
      </c>
      <c r="C19" s="22" t="str">
        <f t="shared" si="1"/>
        <v/>
      </c>
      <c r="D19" s="10"/>
      <c r="E19" s="217"/>
      <c r="F19" s="10"/>
      <c r="G19" s="21"/>
      <c r="H19" s="21"/>
      <c r="I19" s="21"/>
      <c r="J19" t="str">
        <f t="shared" si="2"/>
        <v/>
      </c>
      <c r="K19"/>
      <c r="L19" s="109">
        <v>10</v>
      </c>
      <c r="M19" s="286" t="str">
        <f t="shared" si="3"/>
        <v/>
      </c>
      <c r="N19" s="286"/>
      <c r="O19" s="286"/>
      <c r="P19" s="286"/>
      <c r="Q19"/>
    </row>
    <row r="20" spans="1:17" ht="26.1">
      <c r="A20" s="19" t="str">
        <f>IF(G20&lt;&gt;"",COUNTIF($J$9:J20,J20),"")</f>
        <v/>
      </c>
      <c r="B20" s="10" t="str">
        <f t="shared" si="0"/>
        <v/>
      </c>
      <c r="C20" s="22" t="str">
        <f t="shared" si="1"/>
        <v/>
      </c>
      <c r="D20" s="10"/>
      <c r="E20" s="217"/>
      <c r="F20" s="10"/>
      <c r="G20" s="21"/>
      <c r="H20" s="21"/>
      <c r="I20" s="21"/>
      <c r="J20" t="str">
        <f t="shared" si="2"/>
        <v/>
      </c>
    </row>
    <row r="21" spans="1:17" ht="26.1">
      <c r="A21" s="19" t="str">
        <f>IF(G21&lt;&gt;"",COUNTIF($J$9:J21,J21),"")</f>
        <v/>
      </c>
      <c r="B21" s="10" t="str">
        <f t="shared" si="0"/>
        <v/>
      </c>
      <c r="C21" s="22" t="str">
        <f t="shared" si="1"/>
        <v/>
      </c>
      <c r="D21" s="10"/>
      <c r="E21" s="217"/>
      <c r="F21" s="10"/>
      <c r="G21" s="21"/>
      <c r="H21" s="21"/>
      <c r="I21" s="21"/>
      <c r="J21" t="str">
        <f t="shared" si="2"/>
        <v/>
      </c>
    </row>
    <row r="22" spans="1:17" ht="26.1">
      <c r="A22" s="19" t="str">
        <f>IF(G22&lt;&gt;"",COUNTIF($J$9:J22,J22),"")</f>
        <v/>
      </c>
      <c r="B22" s="10" t="str">
        <f t="shared" si="0"/>
        <v/>
      </c>
      <c r="C22" s="22" t="str">
        <f t="shared" si="1"/>
        <v/>
      </c>
      <c r="D22" s="10"/>
      <c r="E22" s="217"/>
      <c r="F22" s="10"/>
      <c r="G22" s="21"/>
      <c r="H22" s="21"/>
      <c r="I22" s="21"/>
      <c r="J22" t="str">
        <f t="shared" si="2"/>
        <v/>
      </c>
    </row>
    <row r="23" spans="1:17" ht="26.1">
      <c r="A23" s="19" t="str">
        <f>IF(G23&lt;&gt;"",COUNTIF($J$9:J23,J23),"")</f>
        <v/>
      </c>
      <c r="B23" s="10" t="str">
        <f t="shared" si="0"/>
        <v/>
      </c>
      <c r="C23" s="22" t="str">
        <f t="shared" si="1"/>
        <v/>
      </c>
      <c r="D23" s="10"/>
      <c r="E23" s="217"/>
      <c r="F23" s="10"/>
      <c r="G23" s="21"/>
      <c r="H23" s="21"/>
      <c r="I23" s="21"/>
      <c r="J23" t="str">
        <f t="shared" si="2"/>
        <v/>
      </c>
    </row>
    <row r="24" spans="1:17" ht="26.1">
      <c r="A24" s="19" t="str">
        <f>IF(G24&lt;&gt;"",COUNTIF($J$9:J24,J24),"")</f>
        <v/>
      </c>
      <c r="B24" s="10" t="str">
        <f t="shared" si="0"/>
        <v/>
      </c>
      <c r="C24" s="22" t="str">
        <f t="shared" si="1"/>
        <v/>
      </c>
      <c r="D24" s="10"/>
      <c r="E24" s="217"/>
      <c r="F24" s="10"/>
      <c r="G24" s="21"/>
      <c r="H24" s="21"/>
      <c r="I24" s="21"/>
      <c r="J24" t="str">
        <f t="shared" si="2"/>
        <v/>
      </c>
    </row>
    <row r="25" spans="1:17" ht="26.1">
      <c r="A25" s="19" t="str">
        <f>IF(G25&lt;&gt;"",COUNTIF($J$9:J25,J25),"")</f>
        <v/>
      </c>
      <c r="B25" s="10" t="str">
        <f t="shared" si="0"/>
        <v/>
      </c>
      <c r="C25" s="22" t="str">
        <f t="shared" si="1"/>
        <v/>
      </c>
      <c r="D25" s="10"/>
      <c r="E25" s="217"/>
      <c r="F25" s="10"/>
      <c r="G25" s="21"/>
      <c r="H25" s="21"/>
      <c r="I25" s="21"/>
      <c r="J25" t="str">
        <f t="shared" si="2"/>
        <v/>
      </c>
      <c r="M25" s="9" t="s">
        <v>84</v>
      </c>
      <c r="N25" s="278" t="s">
        <v>151</v>
      </c>
      <c r="O25" s="278"/>
      <c r="P25" s="279"/>
    </row>
    <row r="26" spans="1:17" ht="26.1">
      <c r="A26" s="19" t="str">
        <f>IF(G26&lt;&gt;"",COUNTIF($J$9:J26,J26),"")</f>
        <v/>
      </c>
      <c r="B26" s="10" t="str">
        <f t="shared" si="0"/>
        <v/>
      </c>
      <c r="C26" s="22" t="str">
        <f t="shared" si="1"/>
        <v/>
      </c>
      <c r="D26" s="10"/>
      <c r="E26" s="217"/>
      <c r="F26" s="10"/>
      <c r="G26" s="21"/>
      <c r="H26" s="21"/>
      <c r="I26" s="21"/>
      <c r="J26" t="str">
        <f t="shared" si="2"/>
        <v/>
      </c>
    </row>
    <row r="27" spans="1:17" ht="26.1">
      <c r="A27" s="19" t="str">
        <f>IF(G27&lt;&gt;"",COUNTIF($J$9:J27,J27),"")</f>
        <v/>
      </c>
      <c r="B27" s="10" t="str">
        <f t="shared" si="0"/>
        <v/>
      </c>
      <c r="C27" s="22" t="str">
        <f t="shared" si="1"/>
        <v/>
      </c>
      <c r="D27" s="10"/>
      <c r="E27" s="217"/>
      <c r="F27" s="10"/>
      <c r="G27" s="21"/>
      <c r="H27" s="21"/>
      <c r="I27" s="21"/>
      <c r="J27" t="str">
        <f t="shared" si="2"/>
        <v/>
      </c>
      <c r="M27" s="9" t="s">
        <v>10</v>
      </c>
      <c r="N27" s="287" t="s">
        <v>195</v>
      </c>
      <c r="O27" s="287"/>
      <c r="P27" s="288"/>
    </row>
    <row r="28" spans="1:17" ht="26.1">
      <c r="A28" s="19"/>
      <c r="B28" s="10"/>
      <c r="C28" s="24"/>
      <c r="D28" s="1"/>
      <c r="E28" s="1"/>
      <c r="G28" s="25"/>
      <c r="H28" s="25"/>
      <c r="I28" s="25"/>
      <c r="L28" s="26"/>
      <c r="M28" s="27"/>
      <c r="N28" s="27"/>
      <c r="O28" s="27"/>
      <c r="P28" s="27"/>
    </row>
  </sheetData>
  <mergeCells count="17">
    <mergeCell ref="M19:P19"/>
    <mergeCell ref="N25:P25"/>
    <mergeCell ref="E4:E5"/>
    <mergeCell ref="G4:P4"/>
    <mergeCell ref="G5:P5"/>
    <mergeCell ref="E7:E27"/>
    <mergeCell ref="M7:P7"/>
    <mergeCell ref="M9:P9"/>
    <mergeCell ref="M10:P10"/>
    <mergeCell ref="M11:P11"/>
    <mergeCell ref="M13:P13"/>
    <mergeCell ref="M14:P14"/>
    <mergeCell ref="N27:P27"/>
    <mergeCell ref="M15:P15"/>
    <mergeCell ref="M16:P16"/>
    <mergeCell ref="M17:P17"/>
    <mergeCell ref="M18:P18"/>
  </mergeCells>
  <hyperlinks>
    <hyperlink ref="M21:M22" location="'FULL MARKET SEGMENTATION'!A1" display="TOP DRIVING FORCES" xr:uid="{06C29C74-4D3A-482A-B846-21147619AE57}"/>
    <hyperlink ref="N25:P25" location="'Segmentation Summary'!A1" display="Segmentation Summary" xr:uid="{ED760BE5-83F3-42C4-B729-4D05417FF1AE}"/>
    <hyperlink ref="N27:P27" location="'Secondary Segment Needs'!A1" display="Secondary Segment Needs" xr:uid="{212E2016-E132-4A9E-8590-569DEDA344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943B-8FBE-4356-852E-DCA946BD7B6A}">
  <dimension ref="A2:W28"/>
  <sheetViews>
    <sheetView showGridLines="0" topLeftCell="D1" zoomScale="85" zoomScaleNormal="85"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0"/>
      <c r="B2" s="10"/>
      <c r="C2" s="10"/>
      <c r="D2" s="10"/>
      <c r="E2" s="11" t="s">
        <v>196</v>
      </c>
      <c r="F2" s="11"/>
      <c r="G2" s="11"/>
      <c r="H2" s="11"/>
      <c r="I2" s="11"/>
      <c r="J2" s="11"/>
      <c r="K2" s="11"/>
      <c r="L2" s="11"/>
      <c r="M2" s="11"/>
      <c r="N2" s="11"/>
      <c r="O2" s="11"/>
      <c r="P2" s="11"/>
    </row>
    <row r="3" spans="1:20" s="1" customFormat="1" ht="7.5" customHeight="1"/>
    <row r="4" spans="1:20" s="1" customFormat="1" ht="26.1" customHeight="1">
      <c r="E4" s="280" t="s">
        <v>197</v>
      </c>
      <c r="G4" s="281" t="s">
        <v>189</v>
      </c>
      <c r="H4" s="282"/>
      <c r="I4" s="282"/>
      <c r="J4" s="282"/>
      <c r="K4" s="282"/>
      <c r="L4" s="282"/>
      <c r="M4" s="282"/>
      <c r="N4" s="282"/>
      <c r="O4" s="282"/>
      <c r="P4" s="282"/>
    </row>
    <row r="5" spans="1:20" s="1" customFormat="1" ht="39.950000000000003" customHeight="1">
      <c r="E5" s="280"/>
      <c r="G5" s="283"/>
      <c r="H5" s="284"/>
      <c r="I5" s="284"/>
      <c r="J5" s="284"/>
      <c r="K5" s="284"/>
      <c r="L5" s="284"/>
      <c r="M5" s="284"/>
      <c r="N5" s="284"/>
      <c r="O5" s="284"/>
      <c r="P5" s="284"/>
    </row>
    <row r="6" spans="1:20" s="1" customFormat="1" ht="15.95" thickBot="1"/>
    <row r="7" spans="1:20" s="1" customFormat="1" ht="47.1">
      <c r="A7" s="12"/>
      <c r="B7" s="13"/>
      <c r="C7" s="14" t="s">
        <v>61</v>
      </c>
      <c r="D7" s="10"/>
      <c r="E7" s="217" t="s">
        <v>198</v>
      </c>
      <c r="F7" s="10"/>
      <c r="G7" s="155" t="s">
        <v>191</v>
      </c>
      <c r="H7" s="156" t="s">
        <v>192</v>
      </c>
      <c r="I7" s="17" t="s">
        <v>193</v>
      </c>
      <c r="J7" s="18" t="s">
        <v>66</v>
      </c>
      <c r="K7"/>
      <c r="L7"/>
      <c r="M7" s="285" t="s">
        <v>194</v>
      </c>
      <c r="N7" s="285"/>
      <c r="O7" s="285"/>
      <c r="P7" s="285"/>
      <c r="Q7"/>
    </row>
    <row r="8" spans="1:20" s="1" customFormat="1" ht="15.95" thickBot="1">
      <c r="A8"/>
      <c r="B8"/>
      <c r="C8"/>
      <c r="D8"/>
      <c r="E8" s="217"/>
      <c r="F8" s="10"/>
      <c r="G8"/>
      <c r="H8"/>
      <c r="I8"/>
      <c r="J8"/>
      <c r="K8"/>
      <c r="L8"/>
      <c r="M8"/>
      <c r="N8"/>
      <c r="O8"/>
      <c r="P8"/>
      <c r="Q8"/>
    </row>
    <row r="9" spans="1:20" s="1" customFormat="1" ht="26.1">
      <c r="A9" s="19" t="str">
        <f>IF(G9&lt;&gt;"",COUNTIF($J9:J$9,J9),"")</f>
        <v/>
      </c>
      <c r="B9" s="10" t="str">
        <f t="shared" ref="B9:B27" si="0">IF(G9&lt;&gt;"",IFERROR(RANK(J9,$J$9:$J$27,0),1),"")</f>
        <v/>
      </c>
      <c r="C9" s="20" t="str">
        <f t="shared" ref="C9:C27" si="1">IF(ISNUMBER(B9),B9+A9-1,"")</f>
        <v/>
      </c>
      <c r="D9" s="10"/>
      <c r="E9" s="217"/>
      <c r="F9" s="10"/>
      <c r="G9" s="21"/>
      <c r="H9" s="21"/>
      <c r="I9" s="21"/>
      <c r="J9" t="str">
        <f t="shared" ref="J9:J27" si="2">IF(G9&lt;&gt;"",(2*H9+I9),"")</f>
        <v/>
      </c>
      <c r="K9"/>
      <c r="L9" s="23">
        <v>1</v>
      </c>
      <c r="M9" s="229" t="str">
        <f>IFERROR(INDEX($A$7:$I$1048576,MATCH($L9,$C$7:$C$27,0),MATCH($G$7,$7:$7,0)),"")</f>
        <v/>
      </c>
      <c r="N9" s="229"/>
      <c r="O9" s="229"/>
      <c r="P9" s="229"/>
      <c r="Q9"/>
    </row>
    <row r="10" spans="1:20" s="1" customFormat="1" ht="26.1">
      <c r="A10" s="19" t="str">
        <f>IF(G10&lt;&gt;"",COUNTIF($J$9:J10,J10),"")</f>
        <v/>
      </c>
      <c r="B10" s="10" t="str">
        <f t="shared" si="0"/>
        <v/>
      </c>
      <c r="C10" s="22" t="str">
        <f t="shared" si="1"/>
        <v/>
      </c>
      <c r="D10" s="10"/>
      <c r="E10" s="217"/>
      <c r="F10" s="10"/>
      <c r="G10" s="21"/>
      <c r="H10" s="21"/>
      <c r="I10" s="21"/>
      <c r="J10" t="str">
        <f t="shared" si="2"/>
        <v/>
      </c>
      <c r="K10"/>
      <c r="L10" s="23">
        <v>2</v>
      </c>
      <c r="M10" s="229" t="str">
        <f>IFERROR(INDEX($A$7:$I$1048576,MATCH($L10,$C$7:$C$27,0),MATCH($G$7,$7:$7,0)),"")</f>
        <v/>
      </c>
      <c r="N10" s="229"/>
      <c r="O10" s="229"/>
      <c r="P10" s="229"/>
      <c r="Q10"/>
    </row>
    <row r="11" spans="1:20" s="1" customFormat="1" ht="26.1">
      <c r="A11" s="19" t="str">
        <f>IF(G11&lt;&gt;"",COUNTIF($J$9:J11,J11),"")</f>
        <v/>
      </c>
      <c r="B11" s="10" t="str">
        <f t="shared" si="0"/>
        <v/>
      </c>
      <c r="C11" s="22" t="str">
        <f>IF(ISNUMBER(B11),B11+A11-1,"")</f>
        <v/>
      </c>
      <c r="D11" s="10"/>
      <c r="E11" s="217"/>
      <c r="F11" s="10"/>
      <c r="G11" s="21"/>
      <c r="H11" s="21"/>
      <c r="I11" s="21"/>
      <c r="J11" t="str">
        <f t="shared" si="2"/>
        <v/>
      </c>
      <c r="K11"/>
      <c r="L11" s="23">
        <v>3</v>
      </c>
      <c r="M11" s="229" t="str">
        <f>IFERROR(INDEX($A$7:$I$1048576,MATCH($L11,$C$7:$C$27,0),MATCH($G$7,$7:$7,0)),"")</f>
        <v/>
      </c>
      <c r="N11" s="229"/>
      <c r="O11" s="229"/>
      <c r="P11" s="229"/>
      <c r="Q11"/>
    </row>
    <row r="12" spans="1:20" s="1" customFormat="1" ht="26.1">
      <c r="A12" s="19" t="str">
        <f>IF(G12&lt;&gt;"",COUNTIF($J$9:J12,J12),"")</f>
        <v/>
      </c>
      <c r="B12" s="10" t="str">
        <f t="shared" si="0"/>
        <v/>
      </c>
      <c r="C12" s="22" t="str">
        <f t="shared" si="1"/>
        <v/>
      </c>
      <c r="D12" s="10"/>
      <c r="E12" s="217"/>
      <c r="F12" s="10"/>
      <c r="G12" s="21"/>
      <c r="H12" s="21"/>
      <c r="I12" s="21"/>
      <c r="J12" t="str">
        <f t="shared" si="2"/>
        <v/>
      </c>
      <c r="K12"/>
      <c r="Q12"/>
    </row>
    <row r="13" spans="1:20" s="1" customFormat="1" ht="26.1">
      <c r="A13" s="19" t="str">
        <f>IF(G13&lt;&gt;"",COUNTIF($J$9:J13,J13),"")</f>
        <v/>
      </c>
      <c r="B13" s="10" t="str">
        <f t="shared" si="0"/>
        <v/>
      </c>
      <c r="C13" s="22" t="str">
        <f t="shared" si="1"/>
        <v/>
      </c>
      <c r="D13" s="10"/>
      <c r="E13" s="217"/>
      <c r="F13" s="10"/>
      <c r="G13" s="21"/>
      <c r="H13" s="21"/>
      <c r="I13" s="21"/>
      <c r="J13" t="str">
        <f t="shared" si="2"/>
        <v/>
      </c>
      <c r="K13"/>
      <c r="L13" s="109">
        <v>4</v>
      </c>
      <c r="M13" s="286" t="str">
        <f t="shared" ref="M13:M19" si="3">IFERROR(INDEX($A$7:$I$1048576,MATCH($L13,$C$7:$C$27,0),MATCH($G$7,$7:$7,0)),"")</f>
        <v/>
      </c>
      <c r="N13" s="286"/>
      <c r="O13" s="286"/>
      <c r="P13" s="286"/>
      <c r="Q13"/>
    </row>
    <row r="14" spans="1:20" s="1" customFormat="1" ht="26.1">
      <c r="A14" s="19" t="str">
        <f>IF(G14&lt;&gt;"",COUNTIF($J$9:J14,J14),"")</f>
        <v/>
      </c>
      <c r="B14" s="10" t="str">
        <f t="shared" si="0"/>
        <v/>
      </c>
      <c r="C14" s="22" t="str">
        <f t="shared" si="1"/>
        <v/>
      </c>
      <c r="D14" s="10"/>
      <c r="E14" s="217"/>
      <c r="F14" s="10"/>
      <c r="G14" s="21"/>
      <c r="H14" s="21"/>
      <c r="I14" s="21"/>
      <c r="J14" t="str">
        <f t="shared" si="2"/>
        <v/>
      </c>
      <c r="K14"/>
      <c r="L14" s="109">
        <v>5</v>
      </c>
      <c r="M14" s="286" t="str">
        <f t="shared" si="3"/>
        <v/>
      </c>
      <c r="N14" s="286"/>
      <c r="O14" s="286"/>
      <c r="P14" s="286"/>
      <c r="Q14"/>
    </row>
    <row r="15" spans="1:20" s="1" customFormat="1" ht="26.1">
      <c r="A15" s="19" t="str">
        <f>IF(G15&lt;&gt;"",COUNTIF($J$9:J15,J15),"")</f>
        <v/>
      </c>
      <c r="B15" s="10" t="str">
        <f t="shared" si="0"/>
        <v/>
      </c>
      <c r="C15" s="22" t="str">
        <f t="shared" si="1"/>
        <v/>
      </c>
      <c r="D15" s="10"/>
      <c r="E15" s="217"/>
      <c r="F15" s="10"/>
      <c r="G15" s="21"/>
      <c r="H15" s="21"/>
      <c r="I15" s="21"/>
      <c r="J15" t="str">
        <f t="shared" si="2"/>
        <v/>
      </c>
      <c r="K15"/>
      <c r="L15" s="109">
        <v>6</v>
      </c>
      <c r="M15" s="286" t="str">
        <f t="shared" si="3"/>
        <v/>
      </c>
      <c r="N15" s="286"/>
      <c r="O15" s="286"/>
      <c r="P15" s="286"/>
      <c r="Q15"/>
      <c r="T15" s="1" t="s">
        <v>8</v>
      </c>
    </row>
    <row r="16" spans="1:20" s="1" customFormat="1" ht="26.1">
      <c r="A16" s="19" t="str">
        <f>IF(G16&lt;&gt;"",COUNTIF($J$9:J16,J16),"")</f>
        <v/>
      </c>
      <c r="B16" s="10" t="str">
        <f t="shared" si="0"/>
        <v/>
      </c>
      <c r="C16" s="22" t="str">
        <f t="shared" si="1"/>
        <v/>
      </c>
      <c r="D16" s="10"/>
      <c r="E16" s="217"/>
      <c r="F16" s="10"/>
      <c r="G16" s="21"/>
      <c r="H16" s="21"/>
      <c r="I16" s="21"/>
      <c r="J16" t="str">
        <f t="shared" si="2"/>
        <v/>
      </c>
      <c r="K16"/>
      <c r="L16" s="109">
        <v>7</v>
      </c>
      <c r="M16" s="286" t="str">
        <f t="shared" si="3"/>
        <v/>
      </c>
      <c r="N16" s="286"/>
      <c r="O16" s="286"/>
      <c r="P16" s="286"/>
      <c r="Q16"/>
    </row>
    <row r="17" spans="1:17" s="1" customFormat="1" ht="26.1">
      <c r="A17" s="19" t="str">
        <f>IF(G17&lt;&gt;"",COUNTIF($J$9:J17,J17),"")</f>
        <v/>
      </c>
      <c r="B17" s="10" t="str">
        <f t="shared" si="0"/>
        <v/>
      </c>
      <c r="C17" s="22" t="str">
        <f>IF(ISNUMBER(B17),B17+A17-1,"")</f>
        <v/>
      </c>
      <c r="D17" s="10"/>
      <c r="E17" s="217"/>
      <c r="F17" s="10"/>
      <c r="G17" s="21"/>
      <c r="H17" s="21"/>
      <c r="I17" s="21"/>
      <c r="J17" t="str">
        <f t="shared" si="2"/>
        <v/>
      </c>
      <c r="K17"/>
      <c r="L17" s="109">
        <v>8</v>
      </c>
      <c r="M17" s="286" t="str">
        <f t="shared" si="3"/>
        <v/>
      </c>
      <c r="N17" s="286"/>
      <c r="O17" s="286"/>
      <c r="P17" s="286"/>
      <c r="Q17"/>
    </row>
    <row r="18" spans="1:17" s="1" customFormat="1" ht="26.1">
      <c r="A18" s="19" t="str">
        <f>IF(G18&lt;&gt;"",COUNTIF($J$9:J18,J18),"")</f>
        <v/>
      </c>
      <c r="B18" s="10" t="str">
        <f t="shared" si="0"/>
        <v/>
      </c>
      <c r="C18" s="22" t="str">
        <f t="shared" si="1"/>
        <v/>
      </c>
      <c r="D18" s="10"/>
      <c r="E18" s="217"/>
      <c r="F18" s="10"/>
      <c r="G18" s="21"/>
      <c r="H18" s="21"/>
      <c r="I18" s="21"/>
      <c r="J18" t="str">
        <f t="shared" si="2"/>
        <v/>
      </c>
      <c r="K18"/>
      <c r="L18" s="109">
        <v>9</v>
      </c>
      <c r="M18" s="286" t="str">
        <f t="shared" si="3"/>
        <v/>
      </c>
      <c r="N18" s="286"/>
      <c r="O18" s="286"/>
      <c r="P18" s="286"/>
      <c r="Q18"/>
    </row>
    <row r="19" spans="1:17" s="1" customFormat="1" ht="26.1">
      <c r="A19" s="19" t="str">
        <f>IF(G19&lt;&gt;"",COUNTIF($J$9:J19,J19),"")</f>
        <v/>
      </c>
      <c r="B19" s="10" t="str">
        <f t="shared" si="0"/>
        <v/>
      </c>
      <c r="C19" s="22" t="str">
        <f t="shared" si="1"/>
        <v/>
      </c>
      <c r="D19" s="10"/>
      <c r="E19" s="217"/>
      <c r="F19" s="10"/>
      <c r="G19" s="21"/>
      <c r="H19" s="21"/>
      <c r="I19" s="21"/>
      <c r="J19" t="str">
        <f t="shared" si="2"/>
        <v/>
      </c>
      <c r="K19"/>
      <c r="L19" s="109">
        <v>10</v>
      </c>
      <c r="M19" s="286" t="str">
        <f t="shared" si="3"/>
        <v/>
      </c>
      <c r="N19" s="286"/>
      <c r="O19" s="286"/>
      <c r="P19" s="286"/>
      <c r="Q19"/>
    </row>
    <row r="20" spans="1:17" ht="26.1">
      <c r="A20" s="19" t="str">
        <f>IF(G20&lt;&gt;"",COUNTIF($J$9:J20,J20),"")</f>
        <v/>
      </c>
      <c r="B20" s="10" t="str">
        <f t="shared" si="0"/>
        <v/>
      </c>
      <c r="C20" s="22" t="str">
        <f t="shared" si="1"/>
        <v/>
      </c>
      <c r="D20" s="10"/>
      <c r="E20" s="217"/>
      <c r="F20" s="10"/>
      <c r="G20" s="21"/>
      <c r="H20" s="21"/>
      <c r="I20" s="21"/>
      <c r="J20" t="str">
        <f t="shared" si="2"/>
        <v/>
      </c>
    </row>
    <row r="21" spans="1:17" ht="26.1">
      <c r="A21" s="19" t="str">
        <f>IF(G21&lt;&gt;"",COUNTIF($J$9:J21,J21),"")</f>
        <v/>
      </c>
      <c r="B21" s="10" t="str">
        <f t="shared" si="0"/>
        <v/>
      </c>
      <c r="C21" s="22" t="str">
        <f t="shared" si="1"/>
        <v/>
      </c>
      <c r="D21" s="10"/>
      <c r="E21" s="217"/>
      <c r="F21" s="10"/>
      <c r="G21" s="21"/>
      <c r="H21" s="21"/>
      <c r="I21" s="21"/>
      <c r="J21" t="str">
        <f t="shared" si="2"/>
        <v/>
      </c>
    </row>
    <row r="22" spans="1:17" ht="26.1">
      <c r="A22" s="19" t="str">
        <f>IF(G22&lt;&gt;"",COUNTIF($J$9:J22,J22),"")</f>
        <v/>
      </c>
      <c r="B22" s="10" t="str">
        <f t="shared" si="0"/>
        <v/>
      </c>
      <c r="C22" s="22" t="str">
        <f t="shared" si="1"/>
        <v/>
      </c>
      <c r="D22" s="10"/>
      <c r="E22" s="217"/>
      <c r="F22" s="10"/>
      <c r="G22" s="21"/>
      <c r="H22" s="21"/>
      <c r="I22" s="21"/>
      <c r="J22" t="str">
        <f t="shared" si="2"/>
        <v/>
      </c>
    </row>
    <row r="23" spans="1:17" ht="26.1">
      <c r="A23" s="19" t="str">
        <f>IF(G23&lt;&gt;"",COUNTIF($J$9:J23,J23),"")</f>
        <v/>
      </c>
      <c r="B23" s="10" t="str">
        <f t="shared" si="0"/>
        <v/>
      </c>
      <c r="C23" s="22" t="str">
        <f t="shared" si="1"/>
        <v/>
      </c>
      <c r="D23" s="10"/>
      <c r="E23" s="217"/>
      <c r="F23" s="10"/>
      <c r="G23" s="21"/>
      <c r="H23" s="21"/>
      <c r="I23" s="21"/>
      <c r="J23" t="str">
        <f t="shared" si="2"/>
        <v/>
      </c>
    </row>
    <row r="24" spans="1:17" ht="26.1">
      <c r="A24" s="19" t="str">
        <f>IF(G24&lt;&gt;"",COUNTIF($J$9:J24,J24),"")</f>
        <v/>
      </c>
      <c r="B24" s="10" t="str">
        <f t="shared" si="0"/>
        <v/>
      </c>
      <c r="C24" s="22" t="str">
        <f t="shared" si="1"/>
        <v/>
      </c>
      <c r="D24" s="10"/>
      <c r="E24" s="217"/>
      <c r="F24" s="10"/>
      <c r="G24" s="21"/>
      <c r="H24" s="21"/>
      <c r="I24" s="21"/>
      <c r="J24" t="str">
        <f t="shared" si="2"/>
        <v/>
      </c>
    </row>
    <row r="25" spans="1:17" ht="26.1">
      <c r="A25" s="19" t="str">
        <f>IF(G25&lt;&gt;"",COUNTIF($J$9:J25,J25),"")</f>
        <v/>
      </c>
      <c r="B25" s="10" t="str">
        <f t="shared" si="0"/>
        <v/>
      </c>
      <c r="C25" s="22" t="str">
        <f t="shared" si="1"/>
        <v/>
      </c>
      <c r="D25" s="10"/>
      <c r="E25" s="217"/>
      <c r="F25" s="10"/>
      <c r="G25" s="21"/>
      <c r="H25" s="21"/>
      <c r="I25" s="21"/>
      <c r="J25" t="str">
        <f t="shared" si="2"/>
        <v/>
      </c>
      <c r="M25" s="9" t="s">
        <v>84</v>
      </c>
      <c r="N25" s="278" t="s">
        <v>186</v>
      </c>
      <c r="O25" s="278"/>
      <c r="P25" s="279"/>
    </row>
    <row r="26" spans="1:17" ht="26.1">
      <c r="A26" s="19" t="str">
        <f>IF(G26&lt;&gt;"",COUNTIF($J$9:J26,J26),"")</f>
        <v/>
      </c>
      <c r="B26" s="10" t="str">
        <f t="shared" si="0"/>
        <v/>
      </c>
      <c r="C26" s="22" t="str">
        <f t="shared" si="1"/>
        <v/>
      </c>
      <c r="D26" s="10"/>
      <c r="E26" s="217"/>
      <c r="F26" s="10"/>
      <c r="G26" s="21"/>
      <c r="H26" s="21"/>
      <c r="I26" s="21"/>
      <c r="J26" t="str">
        <f t="shared" si="2"/>
        <v/>
      </c>
    </row>
    <row r="27" spans="1:17" ht="26.1">
      <c r="A27" s="19" t="str">
        <f>IF(G27&lt;&gt;"",COUNTIF($J$9:J27,J27),"")</f>
        <v/>
      </c>
      <c r="B27" s="10" t="str">
        <f t="shared" si="0"/>
        <v/>
      </c>
      <c r="C27" s="22" t="str">
        <f t="shared" si="1"/>
        <v/>
      </c>
      <c r="D27" s="10"/>
      <c r="E27" s="217"/>
      <c r="F27" s="10"/>
      <c r="G27" s="21"/>
      <c r="H27" s="21"/>
      <c r="I27" s="21"/>
      <c r="J27" t="str">
        <f t="shared" si="2"/>
        <v/>
      </c>
      <c r="M27" s="9" t="s">
        <v>10</v>
      </c>
      <c r="N27" s="245" t="s">
        <v>199</v>
      </c>
      <c r="O27" s="245"/>
      <c r="P27" s="289"/>
    </row>
    <row r="28" spans="1:17" ht="26.1">
      <c r="A28" s="19"/>
      <c r="B28" s="10"/>
      <c r="C28" s="24"/>
      <c r="D28" s="1"/>
      <c r="E28" s="1"/>
      <c r="G28" s="25"/>
      <c r="H28" s="25"/>
      <c r="I28" s="25"/>
      <c r="L28" s="26"/>
      <c r="M28" s="27"/>
      <c r="N28" s="27"/>
      <c r="O28" s="27"/>
      <c r="P28" s="27"/>
    </row>
  </sheetData>
  <mergeCells count="17">
    <mergeCell ref="M19:P19"/>
    <mergeCell ref="N25:P25"/>
    <mergeCell ref="E4:E5"/>
    <mergeCell ref="G4:P4"/>
    <mergeCell ref="G5:P5"/>
    <mergeCell ref="E7:E27"/>
    <mergeCell ref="M7:P7"/>
    <mergeCell ref="M9:P9"/>
    <mergeCell ref="M10:P10"/>
    <mergeCell ref="M11:P11"/>
    <mergeCell ref="M13:P13"/>
    <mergeCell ref="M14:P14"/>
    <mergeCell ref="N27:P27"/>
    <mergeCell ref="M15:P15"/>
    <mergeCell ref="M16:P16"/>
    <mergeCell ref="M17:P17"/>
    <mergeCell ref="M18:P18"/>
  </mergeCells>
  <hyperlinks>
    <hyperlink ref="M21:M22" location="'FULL MARKET SEGMENTATION'!A1" display="TOP DRIVING FORCES" xr:uid="{A63B2F4C-56C0-46CC-A1F3-E647AD9C442C}"/>
    <hyperlink ref="N25:P25" location="'Core Segment Needs'!A1" display="Core Segment Needs" xr:uid="{8E3318F5-3EFE-4EF5-9955-1B8DB5F3E43A}"/>
    <hyperlink ref="N27:P27" location="'Driving Forces Impact'!A1" display="Driving Forces Impact" xr:uid="{B06E88CE-5AC9-4322-8D4C-81FD92E3CC1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6652-D1A6-4134-9A38-29AFBF0AF708}">
  <dimension ref="A1:N31"/>
  <sheetViews>
    <sheetView showGridLines="0" zoomScale="70" zoomScaleNormal="70" workbookViewId="0"/>
  </sheetViews>
  <sheetFormatPr defaultColWidth="8.85546875" defaultRowHeight="15"/>
  <cols>
    <col min="1" max="1" width="5.85546875" customWidth="1"/>
    <col min="2" max="2" width="29.42578125" style="1" customWidth="1"/>
    <col min="3" max="3" width="24.140625" style="1" customWidth="1"/>
    <col min="4" max="4" width="6" style="29" customWidth="1"/>
    <col min="5" max="5" width="21.42578125" style="1" customWidth="1"/>
    <col min="6" max="6" width="46.42578125" style="1" customWidth="1"/>
    <col min="7" max="7" width="10.140625" style="1" customWidth="1"/>
    <col min="8" max="8" width="44.140625" customWidth="1"/>
    <col min="9" max="9" width="18.85546875" style="1" customWidth="1"/>
    <col min="10" max="13" width="22.42578125" style="1" customWidth="1"/>
    <col min="14" max="14" width="18.85546875" style="1" customWidth="1"/>
  </cols>
  <sheetData>
    <row r="1" spans="1:8">
      <c r="B1"/>
      <c r="C1"/>
      <c r="D1" s="28"/>
      <c r="E1"/>
      <c r="F1"/>
      <c r="G1"/>
    </row>
    <row r="2" spans="1:8" ht="47.1">
      <c r="B2" s="243" t="s">
        <v>200</v>
      </c>
      <c r="C2" s="243"/>
      <c r="D2" s="243"/>
      <c r="E2" s="243"/>
      <c r="F2" s="243"/>
      <c r="G2" s="243"/>
      <c r="H2" s="243"/>
    </row>
    <row r="3" spans="1:8" s="1" customFormat="1" ht="8.25" customHeight="1">
      <c r="B3" s="295"/>
      <c r="C3" s="295"/>
      <c r="D3" s="29"/>
      <c r="H3"/>
    </row>
    <row r="4" spans="1:8" s="1" customFormat="1" ht="30.95">
      <c r="B4" s="84" t="s">
        <v>186</v>
      </c>
      <c r="C4" s="84"/>
      <c r="D4" s="110"/>
      <c r="E4" s="252" t="s">
        <v>201</v>
      </c>
      <c r="F4" s="252"/>
      <c r="G4" s="85"/>
      <c r="H4" s="86" t="s">
        <v>155</v>
      </c>
    </row>
    <row r="5" spans="1:8" s="1" customFormat="1" ht="6" customHeight="1">
      <c r="A5"/>
      <c r="B5" s="295"/>
      <c r="C5" s="295"/>
      <c r="D5" s="29"/>
      <c r="H5" s="87"/>
    </row>
    <row r="6" spans="1:8" s="1" customFormat="1" ht="29.1">
      <c r="A6"/>
      <c r="B6" s="291"/>
      <c r="C6" s="291"/>
      <c r="D6" s="23">
        <v>1</v>
      </c>
      <c r="E6" s="294" t="s">
        <v>201</v>
      </c>
      <c r="F6" s="294"/>
      <c r="H6" s="89" t="s">
        <v>186</v>
      </c>
    </row>
    <row r="7" spans="1:8" s="1" customFormat="1" ht="30.95">
      <c r="A7"/>
      <c r="B7" s="296"/>
      <c r="C7" s="296"/>
      <c r="D7" s="111"/>
      <c r="E7" s="111"/>
      <c r="F7" s="111"/>
      <c r="H7" s="90"/>
    </row>
    <row r="8" spans="1:8" s="1" customFormat="1" ht="30.95">
      <c r="A8"/>
      <c r="B8" s="291"/>
      <c r="C8" s="291"/>
      <c r="D8" s="23">
        <v>2</v>
      </c>
      <c r="E8" s="294" t="s">
        <v>201</v>
      </c>
      <c r="F8" s="294"/>
      <c r="H8" s="90"/>
    </row>
    <row r="9" spans="1:8" s="1" customFormat="1" ht="30.95">
      <c r="A9"/>
      <c r="B9" s="296"/>
      <c r="C9" s="296"/>
      <c r="D9" s="111"/>
      <c r="E9" s="111"/>
      <c r="F9" s="111"/>
      <c r="H9" s="90"/>
    </row>
    <row r="10" spans="1:8" s="1" customFormat="1" ht="30.95">
      <c r="A10"/>
      <c r="B10" s="291"/>
      <c r="C10" s="291"/>
      <c r="D10" s="23">
        <v>3</v>
      </c>
      <c r="E10" s="292" t="s">
        <v>201</v>
      </c>
      <c r="F10" s="292"/>
      <c r="H10" s="90"/>
    </row>
    <row r="11" spans="1:8" s="1" customFormat="1" ht="30.95">
      <c r="A11"/>
      <c r="B11" s="295"/>
      <c r="C11" s="295"/>
      <c r="D11" s="29"/>
      <c r="E11" s="29"/>
      <c r="F11" s="29"/>
      <c r="H11" s="90"/>
    </row>
    <row r="12" spans="1:8" s="1" customFormat="1" ht="30.95">
      <c r="A12"/>
      <c r="B12" s="291"/>
      <c r="C12" s="291"/>
      <c r="D12" s="23">
        <v>4</v>
      </c>
      <c r="E12" s="293" t="s">
        <v>201</v>
      </c>
      <c r="F12" s="293"/>
      <c r="H12" s="90"/>
    </row>
    <row r="13" spans="1:8" s="1" customFormat="1" ht="30.95">
      <c r="A13"/>
      <c r="B13" s="296"/>
      <c r="C13" s="296"/>
      <c r="D13" s="111"/>
      <c r="E13" s="111"/>
      <c r="F13" s="111"/>
      <c r="H13" s="90"/>
    </row>
    <row r="14" spans="1:8" s="1" customFormat="1" ht="30.95">
      <c r="A14"/>
      <c r="B14" s="291"/>
      <c r="C14" s="291"/>
      <c r="D14" s="23">
        <v>5</v>
      </c>
      <c r="E14" s="293" t="s">
        <v>201</v>
      </c>
      <c r="F14" s="293"/>
      <c r="H14" s="90"/>
    </row>
    <row r="15" spans="1:8" s="1" customFormat="1" ht="30.95">
      <c r="A15"/>
      <c r="B15" s="296"/>
      <c r="C15" s="296"/>
      <c r="D15" s="111"/>
      <c r="E15" s="111"/>
      <c r="F15" s="111"/>
      <c r="H15" s="90"/>
    </row>
    <row r="16" spans="1:8" s="1" customFormat="1" ht="30.95">
      <c r="A16"/>
      <c r="B16" s="291"/>
      <c r="C16" s="291"/>
      <c r="D16" s="23">
        <v>6</v>
      </c>
      <c r="E16" s="290" t="s">
        <v>201</v>
      </c>
      <c r="F16" s="290"/>
      <c r="H16" s="90"/>
    </row>
    <row r="17" spans="1:11" s="1" customFormat="1" ht="30.95">
      <c r="A17"/>
      <c r="B17" s="295"/>
      <c r="C17" s="295"/>
      <c r="D17" s="29"/>
      <c r="E17" s="29"/>
      <c r="F17" s="29"/>
      <c r="H17" s="90"/>
    </row>
    <row r="18" spans="1:11" s="1" customFormat="1" ht="30.95">
      <c r="B18" s="84" t="s">
        <v>195</v>
      </c>
      <c r="C18" s="84"/>
      <c r="D18" s="110"/>
      <c r="E18" s="252" t="s">
        <v>201</v>
      </c>
      <c r="F18" s="252"/>
      <c r="H18" s="86" t="s">
        <v>155</v>
      </c>
      <c r="K18" s="1" t="s">
        <v>8</v>
      </c>
    </row>
    <row r="19" spans="1:11" s="1" customFormat="1" ht="6" customHeight="1">
      <c r="A19"/>
      <c r="B19" s="295"/>
      <c r="C19" s="295"/>
      <c r="D19" s="29"/>
      <c r="E19" s="29"/>
      <c r="F19" s="29"/>
      <c r="H19" s="87"/>
    </row>
    <row r="20" spans="1:11" s="1" customFormat="1" ht="29.1">
      <c r="A20"/>
      <c r="B20" s="291"/>
      <c r="C20" s="291"/>
      <c r="D20" s="23">
        <v>1</v>
      </c>
      <c r="E20" s="294" t="s">
        <v>201</v>
      </c>
      <c r="F20" s="294"/>
      <c r="H20" s="89" t="s">
        <v>195</v>
      </c>
    </row>
    <row r="21" spans="1:11" s="1" customFormat="1" ht="30.95">
      <c r="A21"/>
      <c r="B21" s="296"/>
      <c r="C21" s="296"/>
      <c r="D21" s="111"/>
      <c r="E21" s="111"/>
      <c r="F21" s="111"/>
      <c r="H21" s="90"/>
    </row>
    <row r="22" spans="1:11" s="1" customFormat="1" ht="30.95">
      <c r="B22" s="291"/>
      <c r="C22" s="291"/>
      <c r="D22" s="23">
        <v>2</v>
      </c>
      <c r="E22" s="294" t="s">
        <v>201</v>
      </c>
      <c r="F22" s="294"/>
      <c r="H22" s="90"/>
      <c r="I22"/>
    </row>
    <row r="23" spans="1:11" s="1" customFormat="1" ht="30.95">
      <c r="A23"/>
      <c r="B23" s="296"/>
      <c r="C23" s="296"/>
      <c r="D23" s="111"/>
      <c r="E23" s="111"/>
      <c r="F23" s="111"/>
      <c r="H23" s="90"/>
    </row>
    <row r="24" spans="1:11" s="1" customFormat="1" ht="30.95">
      <c r="B24" s="291"/>
      <c r="C24" s="291"/>
      <c r="D24" s="23">
        <v>3</v>
      </c>
      <c r="E24" s="292" t="s">
        <v>201</v>
      </c>
      <c r="F24" s="292"/>
      <c r="H24" s="90"/>
    </row>
    <row r="25" spans="1:11" s="1" customFormat="1" ht="30.95">
      <c r="A25"/>
      <c r="B25" s="295"/>
      <c r="C25" s="295"/>
      <c r="D25" s="29"/>
      <c r="E25" s="29"/>
      <c r="F25" s="29"/>
      <c r="H25" s="90"/>
    </row>
    <row r="26" spans="1:11" ht="30.95">
      <c r="D26" s="23">
        <v>4</v>
      </c>
      <c r="E26" s="293" t="s">
        <v>201</v>
      </c>
      <c r="F26" s="293"/>
      <c r="H26" s="90"/>
    </row>
    <row r="27" spans="1:11" s="1" customFormat="1" ht="30.95">
      <c r="A27"/>
      <c r="B27" s="296"/>
      <c r="C27" s="296"/>
      <c r="D27" s="111"/>
      <c r="E27" s="111"/>
      <c r="F27" s="111"/>
      <c r="H27" s="90"/>
    </row>
    <row r="28" spans="1:11" ht="30.95">
      <c r="D28" s="23">
        <v>5</v>
      </c>
      <c r="E28" s="293" t="s">
        <v>201</v>
      </c>
      <c r="F28" s="293"/>
      <c r="H28" s="90"/>
    </row>
    <row r="29" spans="1:11" s="1" customFormat="1" ht="30.95">
      <c r="A29"/>
      <c r="B29" s="296"/>
      <c r="C29" s="296"/>
      <c r="D29" s="111"/>
      <c r="E29" s="111"/>
      <c r="F29" s="111"/>
      <c r="H29" s="90"/>
    </row>
    <row r="30" spans="1:11" ht="30.95">
      <c r="D30" s="23">
        <v>6</v>
      </c>
      <c r="E30" s="290" t="s">
        <v>201</v>
      </c>
      <c r="F30" s="290"/>
      <c r="H30" s="90"/>
    </row>
    <row r="31" spans="1:11">
      <c r="E31" s="29"/>
      <c r="F31" s="29"/>
    </row>
  </sheetData>
  <mergeCells count="38">
    <mergeCell ref="B2:H2"/>
    <mergeCell ref="B3:C3"/>
    <mergeCell ref="E4:F4"/>
    <mergeCell ref="B5:C5"/>
    <mergeCell ref="B6:C6"/>
    <mergeCell ref="E6:F6"/>
    <mergeCell ref="B7:C7"/>
    <mergeCell ref="B8:C8"/>
    <mergeCell ref="E8:F8"/>
    <mergeCell ref="B9:C9"/>
    <mergeCell ref="B10:C10"/>
    <mergeCell ref="E10:F10"/>
    <mergeCell ref="B11:C11"/>
    <mergeCell ref="B12:C12"/>
    <mergeCell ref="E12:F12"/>
    <mergeCell ref="B13:C13"/>
    <mergeCell ref="B14:C14"/>
    <mergeCell ref="E14:F14"/>
    <mergeCell ref="B23:C23"/>
    <mergeCell ref="B15:C15"/>
    <mergeCell ref="B16:C16"/>
    <mergeCell ref="E16:F16"/>
    <mergeCell ref="B17:C17"/>
    <mergeCell ref="E18:F18"/>
    <mergeCell ref="B19:C19"/>
    <mergeCell ref="B20:C20"/>
    <mergeCell ref="E20:F20"/>
    <mergeCell ref="B21:C21"/>
    <mergeCell ref="B22:C22"/>
    <mergeCell ref="E22:F22"/>
    <mergeCell ref="B29:C29"/>
    <mergeCell ref="E30:F30"/>
    <mergeCell ref="B24:C24"/>
    <mergeCell ref="E24:F24"/>
    <mergeCell ref="B25:C25"/>
    <mergeCell ref="E26:F26"/>
    <mergeCell ref="B27:C27"/>
    <mergeCell ref="E28:F28"/>
  </mergeCells>
  <hyperlinks>
    <hyperlink ref="H6:H7" location="'FULL MARKET SEGMENTATION'!A1" display="TOP DRIVING FORCES" xr:uid="{70768184-F6E6-4BFA-8A46-C8748C9D5849}"/>
    <hyperlink ref="H6" location="'Core Segment Needs'!A1" display="Core Segment Needs" xr:uid="{DBEC87AC-D91D-4FFB-A0D6-4FA19F167BD3}"/>
    <hyperlink ref="H20:H21" location="'FULL MARKET SEGMENTATION'!A1" display="TOP DRIVING FORCES" xr:uid="{511092B0-8E23-4108-A9C9-658CC94B46D1}"/>
    <hyperlink ref="H20" location="'Secondary Segment Needs'!A1" display="Market Size" xr:uid="{9FFEEA8F-7DBE-45CD-BD4D-BD36C53ED1FF}"/>
    <hyperlink ref="H27" location="'FULL MARKET SEGMENTATION'!A1" display="TOP DRIVING FORCES" xr:uid="{05383A5F-9370-41F9-9BFB-533B490015DE}"/>
    <hyperlink ref="H29" location="'FULL MARKET SEGMENTATION'!A1" display="TOP DRIVING FORCES" xr:uid="{B8F3D741-5C75-40C7-9A22-8A61BF0B58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Afrodita</dc:creator>
  <cp:keywords/>
  <dc:description/>
  <cp:lastModifiedBy>Ivan Hristov</cp:lastModifiedBy>
  <cp:revision/>
  <dcterms:created xsi:type="dcterms:W3CDTF">2022-06-23T14:07:23Z</dcterms:created>
  <dcterms:modified xsi:type="dcterms:W3CDTF">2025-12-03T14:02:15Z</dcterms:modified>
  <cp:category/>
  <cp:contentStatus/>
</cp:coreProperties>
</file>