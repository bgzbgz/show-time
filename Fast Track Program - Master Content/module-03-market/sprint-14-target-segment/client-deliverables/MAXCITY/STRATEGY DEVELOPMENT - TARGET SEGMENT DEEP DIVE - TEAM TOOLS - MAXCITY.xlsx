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codeName="ThisWorkbook" defaultThemeVersion="166925"/>
  <mc:AlternateContent xmlns:mc="http://schemas.openxmlformats.org/markup-compatibility/2006">
    <mc:Choice Requires="x15">
      <x15ac:absPath xmlns:x15ac="http://schemas.microsoft.com/office/spreadsheetml/2010/11/ac" url="/Users/nikol/Desktop/"/>
    </mc:Choice>
  </mc:AlternateContent>
  <xr:revisionPtr revIDLastSave="111" documentId="13_ncr:1_{1BE98924-5282-2742-B2FA-340C32A6AD33}" xr6:coauthVersionLast="47" xr6:coauthVersionMax="47" xr10:uidLastSave="{93DE277E-1672-4780-83AA-663A8AF5394B}"/>
  <bookViews>
    <workbookView xWindow="3260" yWindow="520" windowWidth="46940" windowHeight="26680" activeTab="3" xr2:uid="{00000000-000D-0000-FFFF-FFFF00000000}"/>
  </bookViews>
  <sheets>
    <sheet name="INTERVIEWS SUMMARY" sheetId="28" r:id="rId1"/>
    <sheet name="PAINS - PRIORITIZATION MATRIX" sheetId="31" r:id="rId2"/>
    <sheet name="NEEDS - PRIORITIZATION MATRIX" sheetId="32" r:id="rId3"/>
    <sheet name="GAINS - PRIORITIZATION MATRIX" sheetId="33" r:id="rId4"/>
    <sheet name="PAINS, NEEDS, GAINS SUMMARY" sheetId="3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30" l="1"/>
  <c r="D16" i="30"/>
  <c r="D15" i="30"/>
  <c r="J25" i="33"/>
  <c r="J26" i="33"/>
  <c r="D13" i="30"/>
  <c r="D12" i="30"/>
  <c r="D11" i="30"/>
  <c r="D9" i="30"/>
  <c r="D8" i="30"/>
  <c r="D7" i="30"/>
  <c r="C19" i="31"/>
  <c r="J25" i="31"/>
  <c r="J26" i="31"/>
  <c r="C25" i="31"/>
  <c r="C26" i="31"/>
  <c r="J6" i="33"/>
  <c r="J7" i="33"/>
  <c r="J8" i="33"/>
  <c r="J9" i="33"/>
  <c r="J10" i="33"/>
  <c r="J11" i="33"/>
  <c r="J12" i="33"/>
  <c r="J13" i="33"/>
  <c r="J14" i="33"/>
  <c r="J15" i="33"/>
  <c r="J16" i="33"/>
  <c r="J17" i="33"/>
  <c r="J18" i="33"/>
  <c r="J19" i="33"/>
  <c r="J20" i="33"/>
  <c r="J21" i="33"/>
  <c r="J22" i="33"/>
  <c r="J23" i="33"/>
  <c r="J24" i="33"/>
  <c r="J5" i="33"/>
  <c r="J6" i="32"/>
  <c r="J7" i="32"/>
  <c r="J8" i="32"/>
  <c r="J9" i="32"/>
  <c r="J10" i="32"/>
  <c r="J11" i="32"/>
  <c r="J12" i="32"/>
  <c r="J13" i="32"/>
  <c r="J14" i="32"/>
  <c r="J15" i="32"/>
  <c r="J16" i="32"/>
  <c r="J17" i="32"/>
  <c r="J18" i="32"/>
  <c r="J19" i="32"/>
  <c r="J20" i="32"/>
  <c r="J21" i="32"/>
  <c r="J22" i="32"/>
  <c r="J23" i="32"/>
  <c r="J24" i="32"/>
  <c r="J5" i="32"/>
  <c r="J6" i="31"/>
  <c r="J7" i="31"/>
  <c r="J8" i="31"/>
  <c r="J9" i="31"/>
  <c r="J10" i="31"/>
  <c r="J11" i="31"/>
  <c r="J12" i="31"/>
  <c r="J13" i="31"/>
  <c r="J14" i="31"/>
  <c r="J15" i="31"/>
  <c r="J16" i="31"/>
  <c r="J17" i="31"/>
  <c r="J18" i="31"/>
  <c r="J19" i="31"/>
  <c r="J20" i="31"/>
  <c r="J21" i="31"/>
  <c r="J22" i="31"/>
  <c r="J23" i="31"/>
  <c r="J24" i="31"/>
  <c r="J5" i="31"/>
  <c r="C6" i="32"/>
  <c r="C7" i="32"/>
  <c r="C8" i="32"/>
  <c r="C9" i="32"/>
  <c r="C10" i="32"/>
  <c r="C11" i="32"/>
  <c r="C12" i="32"/>
  <c r="C13" i="32"/>
  <c r="C14" i="32"/>
  <c r="C15" i="32"/>
  <c r="C16" i="32"/>
  <c r="C17" i="32"/>
  <c r="C18" i="32"/>
  <c r="C19" i="32"/>
  <c r="C20" i="32"/>
  <c r="C21" i="32"/>
  <c r="C22" i="32"/>
  <c r="C23" i="32"/>
  <c r="C24" i="32"/>
  <c r="C5" i="32"/>
  <c r="C24" i="31"/>
  <c r="C23" i="31"/>
  <c r="C22" i="31"/>
  <c r="C21" i="31"/>
  <c r="C20" i="31"/>
  <c r="C18" i="31"/>
  <c r="C17" i="31"/>
  <c r="C16" i="31"/>
  <c r="C15" i="31"/>
  <c r="C14" i="31"/>
  <c r="C13" i="31"/>
  <c r="C12" i="31"/>
  <c r="C11" i="31"/>
  <c r="C10" i="31"/>
  <c r="C9" i="31"/>
  <c r="C8" i="31"/>
  <c r="C7" i="31"/>
  <c r="C6" i="31"/>
  <c r="C5" i="31"/>
</calcChain>
</file>

<file path=xl/sharedStrings.xml><?xml version="1.0" encoding="utf-8"?>
<sst xmlns="http://schemas.openxmlformats.org/spreadsheetml/2006/main" count="414" uniqueCount="169">
  <si>
    <t>CORE CUSTOMER PAINS, NEEDS, GAINS - INTERVIEWS SUMMARY</t>
  </si>
  <si>
    <t>Z</t>
  </si>
  <si>
    <t>Interviewer (team member) name</t>
  </si>
  <si>
    <t>Interviewee name</t>
  </si>
  <si>
    <t>Profile (Target Segment Fit)</t>
  </si>
  <si>
    <t>Key Challenges (Pains)</t>
  </si>
  <si>
    <t>Motivations/Goals (Needs)</t>
  </si>
  <si>
    <t>Desired outcomes from a specific product/service (Gains)</t>
  </si>
  <si>
    <t>Actions Taken (Past Behaviors)</t>
  </si>
  <si>
    <t>Unexpected Insights</t>
  </si>
  <si>
    <t>Direct Quotes</t>
  </si>
  <si>
    <t>YES</t>
  </si>
  <si>
    <t>Limited office space (3 small offices in GB)</t>
  </si>
  <si>
    <t>Serviced office with amenities and community</t>
  </si>
  <si>
    <t>Access to flexible, well-designed workspaces (e.g., Workshop 17)</t>
  </si>
  <si>
    <t>Cross-marketing deal with Workshop 17 for free access</t>
  </si>
  <si>
    <t>Workshop 17 operates at &gt;100% occupancy by overbooking seats</t>
  </si>
  <si>
    <t>"W17 staff calls all clients by their first name."</t>
  </si>
  <si>
    <t>Small coffee shop nearby</t>
  </si>
  <si>
    <t>Proximity to food/beverage services</t>
  </si>
  <si>
    <t>Coffee delivery to workspace (e.g., Kumba Coffee)</t>
  </si>
  <si>
    <t>Partnered with Kumba Coffee for desk deliveries</t>
  </si>
  <si>
    <t>Kumba Coffee expands to multiple locations (Telfair, Vacoas, Mont Choisy)</t>
  </si>
  <si>
    <t>Isolation in a private office</t>
  </si>
  <si>
    <t>Companionship and community interaction</t>
  </si>
  <si>
    <t>Networking and collaboration opportunities</t>
  </si>
  <si>
    <t>Moved to co-working spaces (Workshop 17)</t>
  </si>
  <si>
    <t>Ennoia gained new members via W17’s expat-centric community</t>
  </si>
  <si>
    <t>"If I rented a small office, I’d be lonely."</t>
  </si>
  <si>
    <t>Need for meeting rooms (weekly client meetings)</t>
  </si>
  <si>
    <t>Professional, well-decorated meeting spaces</t>
  </si>
  <si>
    <t>Easy booking of meeting rooms via app</t>
  </si>
  <si>
    <t>Booked W17 meeting rooms online</t>
  </si>
  <si>
    <t>W17’s meeting rooms enhance client interactions</t>
  </si>
  <si>
    <t>Lack of transparency in pricing/lease terms</t>
  </si>
  <si>
    <t>Flexible lease terms and cost clarity</t>
  </si>
  <si>
    <t>Reduced operational costs and scalable workspace</t>
  </si>
  <si>
    <t>Worked with real estate brokers to avoid hidden costs</t>
  </si>
  <si>
    <t>Co-working spaces become expensive as businesses grow</t>
  </si>
  <si>
    <t>"Negotiating lease terms takes too long and feels one-sided."</t>
  </si>
  <si>
    <t>Limited privacy in shared spaces</t>
  </si>
  <si>
    <t>Secure, private workspace</t>
  </si>
  <si>
    <t>Confidential meetings and focused work</t>
  </si>
  <si>
    <t>Considered moving to a larger office</t>
  </si>
  <si>
    <t>W17 offers secure access (badge/Face ID) and cameras</t>
  </si>
  <si>
    <t>"The biggest challenge is not having enough privacy in co-working spaces."</t>
  </si>
  <si>
    <t>Low brand visibility in current setup</t>
  </si>
  <si>
    <t>Professional environment for branding</t>
  </si>
  <si>
    <t>Enhanced company image and client attraction</t>
  </si>
  <si>
    <t>Explored locations for better corporate branding</t>
  </si>
  <si>
    <t>W17’s aesthetic and events (yoga, workshops) boost visibility</t>
  </si>
  <si>
    <t>Work-life balance challenges</t>
  </si>
  <si>
    <t>Separation of home/work</t>
  </si>
  <si>
    <t>Improved productivity and well-being</t>
  </si>
  <si>
    <t>Initially used home-office setup</t>
  </si>
  <si>
    <t>W17 offers wellness amenities (showers, green spaces)</t>
  </si>
  <si>
    <t>"I need separation between home and work."</t>
  </si>
  <si>
    <t>Commuting and accessibility issues</t>
  </si>
  <si>
    <t>Accessible location with parking</t>
  </si>
  <si>
    <t>Short commute and employee convenience</t>
  </si>
  <si>
    <t>Benchmarked competitor office environments</t>
  </si>
  <si>
    <t>Sustainability (green spaces) and parking are critical for employee retention</t>
  </si>
  <si>
    <t>"Environment and well-being matter more than higher pay for some staff."</t>
  </si>
  <si>
    <t>High operational costs (e.g., fit-outs, utilities)</t>
  </si>
  <si>
    <t>Plug-and-play office setup</t>
  </si>
  <si>
    <t>Immediate move-in readiness and reduced setup hassles</t>
  </si>
  <si>
    <t>Avoided fit-outs by choosing pre-fitted spaces</t>
  </si>
  <si>
    <t>W17 offers car wash services and concierge-like conveniences</t>
  </si>
  <si>
    <t>Overpriced co-working spaces for scaling businesses</t>
  </si>
  <si>
    <t>Affordable scalability</t>
  </si>
  <si>
    <t>Cost-effective expansion (e.g., Rs 60,000 for 200m² in Quatre Bornes rejected as too costly)</t>
  </si>
  <si>
    <t>Tried co-working spaces but shifted due to rising costs</t>
  </si>
  <si>
    <t>W17’s flexible seating allows scaling without long-term commitments</t>
  </si>
  <si>
    <t>"Co-working spaces became too expensive as my business grew."</t>
  </si>
  <si>
    <t>Poor connectivity and IT infrastructure</t>
  </si>
  <si>
    <t>Strong IT infrastructure and modern amenities</t>
  </si>
  <si>
    <t>Reliable internet and professional tools for productivity</t>
  </si>
  <si>
    <t>Prioritized locations with fast internet and printing services</t>
  </si>
  <si>
    <t>W17’s expat-centric community offers networking opportunities</t>
  </si>
  <si>
    <t>"A workspace with strong IT infrastructure is non-negotiable."</t>
  </si>
  <si>
    <t>Limited amenities nearby</t>
  </si>
  <si>
    <t>Proximity to shopping malls/services</t>
  </si>
  <si>
    <t>Convenience for employees and clients</t>
  </si>
  <si>
    <t>Chose locations near malls (e.g., Telfair, Precinct)</t>
  </si>
  <si>
    <t>Mix-use facilities (e.g., W17’s amphitheater for events) drive engagement</t>
  </si>
  <si>
    <t>Inflexible operating hours</t>
  </si>
  <si>
    <t>Tailored operating hours</t>
  </si>
  <si>
    <t>Improved work-life balance for employees</t>
  </si>
  <si>
    <t>Sought locations with 24/7 access (e.g., W17’s badge system)</t>
  </si>
  <si>
    <t>W17’s ambiance adapts to moods (bright/shady areas)</t>
  </si>
  <si>
    <t>"I’d pay more for a workspace that offers 24/7 access and privacy."</t>
  </si>
  <si>
    <t>Difficulty finding spaces compliant with global sustainability standards (e.g., LEED)</t>
  </si>
  <si>
    <t>Align with corporate ESG goals</t>
  </si>
  <si>
    <t>Reduced carbon footprint and enhanced brand reputation</t>
  </si>
  <si>
    <t>Leased older buildings and retrofitted them with green technology</t>
  </si>
  <si>
    <t>Tenants prioritize eco-certifications even if costs are 10-15% higher</t>
  </si>
  <si>
    <t>“We need a building that reflects our commitment to sustainability—it’s non-negotiable.”</t>
  </si>
  <si>
    <t>Lack of advanced tech infrastructure (e.g., IoT, smart building systems)</t>
  </si>
  <si>
    <t>Future-proof workspaces</t>
  </si>
  <si>
    <t>Access to smart HVAC, lighting, and occupancy sensors</t>
  </si>
  <si>
    <t>Partnered with third-party tech vendors to upgrade office systems</t>
  </si>
  <si>
    <t>Buildings with tech integration attract tech-forward tenants</t>
  </si>
  <si>
    <t>Inflexible lease terms for scaling (no expansion clauses)</t>
  </si>
  <si>
    <t>Dynamic space adjustments</t>
  </si>
  <si>
    <t>Ability to add/remove space without penalties</t>
  </si>
  <si>
    <t>Negotiated lease addendums for expansion rights</t>
  </si>
  <si>
    <t>Tenants value “growth-friendly” leases over short-term discounts</t>
  </si>
  <si>
    <t>“We left our last office because the landlord since it was difficult to expand.”</t>
  </si>
  <si>
    <t xml:space="preserve">Limited EV charging stations </t>
  </si>
  <si>
    <t>Support green commuting</t>
  </si>
  <si>
    <t>Reduced employee carbon footprint</t>
  </si>
  <si>
    <t>Installed private EV chargers at previous office</t>
  </si>
  <si>
    <t>Buildings with EV infrastructure see higher tenant retention</t>
  </si>
  <si>
    <t>“Our employees/our policy requires EV charging”</t>
  </si>
  <si>
    <t>Poor post-pandemic health safeguards (e.g., air quality)</t>
  </si>
  <si>
    <t>Employee health and safety</t>
  </si>
  <si>
    <t>Advanced air filtration and touchless systems</t>
  </si>
  <si>
    <t>Conducted independent air quality audits</t>
  </si>
  <si>
    <t>Tenants pay premiums for health-certified buildings (e.g., WELL Certification)</t>
  </si>
  <si>
    <t>“After COVID, air quality is as important as rent costs.”</t>
  </si>
  <si>
    <t>No access to tenant networking communities</t>
  </si>
  <si>
    <t>Collaboration opportunities</t>
  </si>
  <si>
    <t>Partnerships with adjacent businesses</t>
  </si>
  <si>
    <t>Hosted informal mixers with other tenants</t>
  </si>
  <si>
    <t>Buildings with curated tenant networks see higher satisfaction</t>
  </si>
  <si>
    <t>“Isolation in a premium tower defeats the purpose of Grade A.”</t>
  </si>
  <si>
    <t>Limited cultural/recreational spaces (e.g., rooftop lounges)</t>
  </si>
  <si>
    <t>Employee well-being</t>
  </si>
  <si>
    <t>On-site cafes, event spaces, and relaxation zones</t>
  </si>
  <si>
    <t>Subsidized off-site gym memberships</t>
  </si>
  <si>
    <t>Recreational amenities reduce employee turnover</t>
  </si>
  <si>
    <t>“example, a common break out area isn’t a luxury—it’s a productivity tool.”</t>
  </si>
  <si>
    <t>No bundled services (cleaning, utilities)</t>
  </si>
  <si>
    <t>Simplified cost management</t>
  </si>
  <si>
    <t>All-inclusive pricing with no hidden fees</t>
  </si>
  <si>
    <t>Outsourced facility management to third parties</t>
  </si>
  <si>
    <t>Tenants prefer bundled services even at a premium</t>
  </si>
  <si>
    <t>“Managing different suppliers is a nightmare.”</t>
  </si>
  <si>
    <t>CUSTOMER PAINS PRIORITIZATION MATRIX</t>
  </si>
  <si>
    <t>CUSTOMER PAINS</t>
  </si>
  <si>
    <t>[01]</t>
  </si>
  <si>
    <t>Severity (1-5)</t>
  </si>
  <si>
    <t>[02]</t>
  </si>
  <si>
    <t>Frequency  (1-5)</t>
  </si>
  <si>
    <t>[03]</t>
  </si>
  <si>
    <t>Impact  (1-5)</t>
  </si>
  <si>
    <t xml:space="preserve">RANKING </t>
  </si>
  <si>
    <t xml:space="preserve">  → </t>
  </si>
  <si>
    <t>CUSTOMER NEEDS PRIORITIZATION MATRIX</t>
  </si>
  <si>
    <t>CUSTOMER NEEDS</t>
  </si>
  <si>
    <t>CUSTOMER GAINS PRIORITIZATION MATRIX</t>
  </si>
  <si>
    <t>CUSTOMER GAINS</t>
  </si>
  <si>
    <t>Reliable internet and professional tools</t>
  </si>
  <si>
    <t>Reduced operational costs and scalability</t>
  </si>
  <si>
    <t>Improved work-life balance</t>
  </si>
  <si>
    <t>Access to flexible, well-designed workspaces</t>
  </si>
  <si>
    <t>Immediate move-in readiness</t>
  </si>
  <si>
    <t>Cost-effective expansion</t>
  </si>
  <si>
    <t>Reduced carbon footprint and brand reputation</t>
  </si>
  <si>
    <t>Access to smart HVAC/lighting/sensors</t>
  </si>
  <si>
    <t>On-site cafes, event spaces, relaxation zones</t>
  </si>
  <si>
    <t>Coffee delivery to workspace</t>
  </si>
  <si>
    <t>CORE CUSTOMER PAINS, NEEDS, GAINS SUMMARY</t>
  </si>
  <si>
    <t xml:space="preserve">Core customer description </t>
  </si>
  <si>
    <t>MaxCity, a property developer specializing in Grade A office spaces, caters to mid-sized to large enterprises, fast-growing startups, and established professional firms (e.g., tech, finance, consulting, legal) with teams of 10–200+ employees. These clients prioritize scalable, premium office solutions that ensure seamless connectivity to transport hubs, amenities, and talent pools, supporting their growth and operational efficiency.</t>
  </si>
  <si>
    <t>Top 3 customer PAINS</t>
  </si>
  <si>
    <t>Top 3 customer NEEDS</t>
  </si>
  <si>
    <t>[04]</t>
  </si>
  <si>
    <t>Top 3 customer GAINS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</si>
</sst>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0"/>
      <name val="Consolas"/>
      <family val="3"/>
    </font>
    <font>
      <sz val="11"/>
      <color rgb="FF000000"/>
      <name val="Calibri"/>
      <family val="2"/>
    </font>
    <font>
      <sz val="11"/>
      <color theme="1"/>
      <name val="Calibri"/>
      <family val="2"/>
      <charset val="204"/>
      <scheme val="minor"/>
    </font>
    <font>
      <sz val="11"/>
      <color theme="0"/>
      <name val="Calibri"/>
      <family val="2"/>
      <charset val="204"/>
    </font>
    <font>
      <sz val="26"/>
      <name val="Arial Black"/>
      <family val="2"/>
      <charset val="204"/>
    </font>
    <font>
      <sz val="14"/>
      <color rgb="FF000000"/>
      <name val="Consolas"/>
      <family val="3"/>
      <charset val="204"/>
    </font>
    <font>
      <sz val="11"/>
      <color theme="1"/>
      <name val="Calibri"/>
      <family val="2"/>
    </font>
    <font>
      <sz val="11"/>
      <color theme="0"/>
      <name val="Calibri"/>
      <family val="2"/>
    </font>
    <font>
      <sz val="14"/>
      <color rgb="FF000000"/>
      <name val="Calibri"/>
      <family val="2"/>
    </font>
    <font>
      <sz val="16"/>
      <color rgb="FFFFFFFF"/>
      <name val="Calibri"/>
      <family val="2"/>
    </font>
    <font>
      <sz val="14"/>
      <color theme="1"/>
      <name val="Calibri"/>
      <family val="2"/>
    </font>
    <font>
      <b/>
      <sz val="11"/>
      <color rgb="FFFFFFFF"/>
      <name val="Consolas"/>
      <family val="3"/>
    </font>
    <font>
      <b/>
      <sz val="16"/>
      <color rgb="FFFFFFFF"/>
      <name val="Gulim"/>
      <family val="2"/>
    </font>
    <font>
      <sz val="14"/>
      <name val="Consolas"/>
      <family val="3"/>
      <charset val="204"/>
    </font>
    <font>
      <sz val="14"/>
      <color theme="0"/>
      <name val="Calibri"/>
      <family val="2"/>
    </font>
    <font>
      <sz val="16"/>
      <color rgb="FF000000"/>
      <name val="Calibri"/>
      <family val="2"/>
    </font>
    <font>
      <sz val="11"/>
      <name val="Calibri"/>
      <family val="2"/>
    </font>
    <font>
      <sz val="11"/>
      <color rgb="FFFFFFFF"/>
      <name val="Arial"/>
      <family val="2"/>
    </font>
    <font>
      <sz val="14"/>
      <color rgb="FFFFFFFF"/>
      <name val="Calibri"/>
      <family val="2"/>
    </font>
    <font>
      <sz val="8"/>
      <name val="Calibri"/>
      <family val="2"/>
      <scheme val="minor"/>
    </font>
    <font>
      <sz val="18"/>
      <color rgb="FFFFFFFF"/>
      <name val="Calibri"/>
      <family val="2"/>
    </font>
    <font>
      <sz val="12"/>
      <color rgb="FF404040"/>
      <name val="Inter"/>
      <charset val="1"/>
    </font>
    <font>
      <b/>
      <sz val="12"/>
      <color rgb="FF404040"/>
      <name val="Inter"/>
      <charset val="1"/>
    </font>
  </fonts>
  <fills count="7">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000000"/>
        <bgColor indexed="64"/>
      </patternFill>
    </fill>
    <fill>
      <patternFill patternType="solid">
        <fgColor rgb="FFE7F2FF"/>
        <bgColor indexed="64"/>
      </patternFill>
    </fill>
    <fill>
      <patternFill patternType="solid">
        <fgColor rgb="FFFFF469"/>
        <bgColor indexed="64"/>
      </patternFill>
    </fill>
  </fills>
  <borders count="29">
    <border>
      <left/>
      <right/>
      <top/>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indexed="64"/>
      </right>
      <top style="thin">
        <color indexed="64"/>
      </top>
      <bottom/>
      <diagonal/>
    </border>
    <border>
      <left/>
      <right/>
      <top style="thin">
        <color indexed="64"/>
      </top>
      <bottom/>
      <diagonal/>
    </border>
    <border>
      <left/>
      <right/>
      <top style="thin">
        <color rgb="FF000000"/>
      </top>
      <bottom/>
      <diagonal/>
    </border>
    <border>
      <left/>
      <right style="thin">
        <color rgb="FF000000"/>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style="thin">
        <color rgb="FF000000"/>
      </bottom>
      <diagonal/>
    </border>
    <border>
      <left/>
      <right style="thin">
        <color indexed="64"/>
      </right>
      <top/>
      <bottom style="thin">
        <color rgb="FF000000"/>
      </bottom>
      <diagonal/>
    </border>
    <border>
      <left style="thin">
        <color indexed="64"/>
      </left>
      <right/>
      <top style="thin">
        <color indexed="64"/>
      </top>
      <bottom/>
      <diagonal/>
    </border>
  </borders>
  <cellStyleXfs count="4">
    <xf numFmtId="0" fontId="0" fillId="0" borderId="0"/>
    <xf numFmtId="0" fontId="2" fillId="0" borderId="0" applyNumberFormat="0" applyFont="0" applyBorder="0" applyProtection="0"/>
    <xf numFmtId="0" fontId="2" fillId="0" borderId="0"/>
    <xf numFmtId="0" fontId="3" fillId="0" borderId="0"/>
  </cellStyleXfs>
  <cellXfs count="83">
    <xf numFmtId="0" fontId="0" fillId="0" borderId="0" xfId="0"/>
    <xf numFmtId="0" fontId="1" fillId="2" borderId="2" xfId="0" applyFont="1" applyFill="1" applyBorder="1"/>
    <xf numFmtId="0" fontId="4" fillId="2" borderId="2" xfId="0" applyFont="1" applyFill="1" applyBorder="1"/>
    <xf numFmtId="0" fontId="4" fillId="2" borderId="1" xfId="0" applyFont="1" applyFill="1" applyBorder="1"/>
    <xf numFmtId="0" fontId="0" fillId="2" borderId="0" xfId="0" applyFill="1"/>
    <xf numFmtId="0" fontId="5" fillId="2" borderId="1" xfId="0" applyFont="1" applyFill="1" applyBorder="1" applyAlignment="1">
      <alignment horizontal="left" vertical="center"/>
    </xf>
    <xf numFmtId="0" fontId="1" fillId="2" borderId="0" xfId="0" applyFont="1" applyFill="1"/>
    <xf numFmtId="0" fontId="8" fillId="2" borderId="2" xfId="0" applyFont="1" applyFill="1" applyBorder="1"/>
    <xf numFmtId="0" fontId="8" fillId="2" borderId="3" xfId="0" applyFont="1" applyFill="1" applyBorder="1"/>
    <xf numFmtId="0" fontId="8" fillId="2" borderId="1" xfId="0" applyFont="1" applyFill="1" applyBorder="1"/>
    <xf numFmtId="0" fontId="8" fillId="2" borderId="1" xfId="0" applyFont="1" applyFill="1" applyBorder="1" applyAlignment="1">
      <alignment vertical="center"/>
    </xf>
    <xf numFmtId="0" fontId="8" fillId="2" borderId="0" xfId="0" applyFont="1" applyFill="1"/>
    <xf numFmtId="0" fontId="7" fillId="2" borderId="0" xfId="0" applyFont="1" applyFill="1"/>
    <xf numFmtId="0" fontId="10" fillId="4" borderId="7" xfId="0" applyFont="1" applyFill="1" applyBorder="1" applyAlignment="1">
      <alignment vertical="center" wrapText="1" readingOrder="1"/>
    </xf>
    <xf numFmtId="0" fontId="7" fillId="2" borderId="0" xfId="0" applyFont="1" applyFill="1" applyAlignment="1">
      <alignment vertical="center"/>
    </xf>
    <xf numFmtId="0" fontId="12" fillId="4" borderId="4" xfId="0" applyFont="1" applyFill="1" applyBorder="1" applyAlignment="1">
      <alignment horizontal="center" vertical="center" wrapText="1" readingOrder="1"/>
    </xf>
    <xf numFmtId="0" fontId="13" fillId="4" borderId="7" xfId="0" applyFont="1" applyFill="1" applyBorder="1" applyAlignment="1">
      <alignment vertical="center" wrapText="1" readingOrder="1"/>
    </xf>
    <xf numFmtId="0" fontId="14" fillId="3" borderId="5" xfId="0" applyFont="1" applyFill="1" applyBorder="1" applyAlignment="1">
      <alignment vertical="top" wrapText="1" readingOrder="1"/>
    </xf>
    <xf numFmtId="0" fontId="14" fillId="3" borderId="5" xfId="0" applyFont="1" applyFill="1" applyBorder="1" applyAlignment="1">
      <alignment vertical="center" wrapText="1" readingOrder="1"/>
    </xf>
    <xf numFmtId="0" fontId="14" fillId="3" borderId="3" xfId="0" applyFont="1" applyFill="1" applyBorder="1" applyAlignment="1">
      <alignment vertical="center" wrapText="1" readingOrder="1"/>
    </xf>
    <xf numFmtId="0" fontId="0" fillId="2" borderId="0" xfId="0" applyFill="1" applyAlignment="1">
      <alignment vertical="center"/>
    </xf>
    <xf numFmtId="0" fontId="5" fillId="2" borderId="1" xfId="0" applyFont="1" applyFill="1" applyBorder="1" applyAlignment="1">
      <alignment horizontal="left"/>
    </xf>
    <xf numFmtId="0" fontId="4" fillId="2" borderId="2" xfId="0" applyFont="1" applyFill="1" applyBorder="1" applyAlignment="1">
      <alignment vertical="center" wrapText="1"/>
    </xf>
    <xf numFmtId="0" fontId="4" fillId="2" borderId="3" xfId="0" applyFont="1" applyFill="1" applyBorder="1" applyAlignment="1">
      <alignment vertical="center" wrapText="1"/>
    </xf>
    <xf numFmtId="0" fontId="4" fillId="2" borderId="1" xfId="0" applyFont="1" applyFill="1" applyBorder="1" applyAlignment="1">
      <alignment vertical="center" wrapText="1"/>
    </xf>
    <xf numFmtId="0" fontId="8" fillId="2" borderId="2" xfId="0" applyFont="1" applyFill="1" applyBorder="1" applyAlignment="1">
      <alignment vertical="center" wrapText="1"/>
    </xf>
    <xf numFmtId="0" fontId="8" fillId="2" borderId="0" xfId="0" applyFont="1" applyFill="1" applyAlignment="1">
      <alignment vertical="center" wrapText="1"/>
    </xf>
    <xf numFmtId="0" fontId="7" fillId="2" borderId="0" xfId="0" applyFont="1" applyFill="1" applyAlignment="1">
      <alignment vertical="center" wrapText="1"/>
    </xf>
    <xf numFmtId="0" fontId="15" fillId="2" borderId="2" xfId="0" applyFont="1" applyFill="1" applyBorder="1" applyAlignment="1">
      <alignment vertical="center" wrapText="1"/>
    </xf>
    <xf numFmtId="0" fontId="15" fillId="2" borderId="0" xfId="0" applyFont="1" applyFill="1" applyAlignment="1">
      <alignment vertical="center" wrapText="1"/>
    </xf>
    <xf numFmtId="0" fontId="11" fillId="2" borderId="10" xfId="0" applyFont="1" applyFill="1" applyBorder="1" applyAlignment="1">
      <alignment vertical="center" wrapText="1"/>
    </xf>
    <xf numFmtId="0" fontId="11" fillId="2" borderId="0" xfId="0" applyFont="1" applyFill="1" applyAlignment="1">
      <alignment vertical="center" wrapText="1"/>
    </xf>
    <xf numFmtId="0" fontId="1" fillId="2" borderId="2" xfId="0" applyFont="1" applyFill="1" applyBorder="1" applyAlignment="1">
      <alignment vertical="center" wrapText="1"/>
    </xf>
    <xf numFmtId="0" fontId="1" fillId="2" borderId="0" xfId="0" applyFont="1" applyFill="1" applyAlignment="1">
      <alignment vertical="center" wrapText="1"/>
    </xf>
    <xf numFmtId="0" fontId="0" fillId="2" borderId="0" xfId="0" applyFill="1" applyAlignment="1">
      <alignment vertical="center" wrapText="1"/>
    </xf>
    <xf numFmtId="0" fontId="17" fillId="3" borderId="5" xfId="0" applyFont="1" applyFill="1" applyBorder="1" applyAlignment="1">
      <alignment vertical="center" wrapText="1" readingOrder="1"/>
    </xf>
    <xf numFmtId="0" fontId="18" fillId="4" borderId="9" xfId="0" applyFont="1" applyFill="1" applyBorder="1" applyAlignment="1">
      <alignment horizontal="center" vertical="center" wrapText="1" readingOrder="1"/>
    </xf>
    <xf numFmtId="0" fontId="9" fillId="2" borderId="11" xfId="0" applyFont="1" applyFill="1" applyBorder="1" applyAlignment="1">
      <alignment vertical="center" wrapText="1" readingOrder="1"/>
    </xf>
    <xf numFmtId="0" fontId="9" fillId="2" borderId="2" xfId="0" applyFont="1" applyFill="1" applyBorder="1" applyAlignment="1">
      <alignment horizontal="center" vertical="center" wrapText="1" readingOrder="1"/>
    </xf>
    <xf numFmtId="0" fontId="21" fillId="4" borderId="4" xfId="0" applyFont="1" applyFill="1" applyBorder="1" applyAlignment="1">
      <alignment horizontal="left" vertical="center" wrapText="1" indent="1" readingOrder="1"/>
    </xf>
    <xf numFmtId="0" fontId="9" fillId="6" borderId="2" xfId="0" applyFont="1" applyFill="1" applyBorder="1" applyAlignment="1">
      <alignment horizontal="left" vertical="center" wrapText="1" readingOrder="1"/>
    </xf>
    <xf numFmtId="0" fontId="9" fillId="6" borderId="6" xfId="0" applyFont="1" applyFill="1" applyBorder="1" applyAlignment="1">
      <alignment horizontal="left" vertical="center" wrapText="1" readingOrder="1"/>
    </xf>
    <xf numFmtId="0" fontId="16" fillId="5" borderId="6" xfId="0" applyFont="1" applyFill="1" applyBorder="1" applyAlignment="1">
      <alignment horizontal="left" vertical="top" wrapText="1" indent="1" readingOrder="1"/>
    </xf>
    <xf numFmtId="0" fontId="5" fillId="2" borderId="0" xfId="0" applyFont="1" applyFill="1" applyAlignment="1">
      <alignment horizontal="left" vertical="center"/>
    </xf>
    <xf numFmtId="0" fontId="8" fillId="2" borderId="0" xfId="0" applyFont="1" applyFill="1" applyAlignment="1">
      <alignment vertical="center"/>
    </xf>
    <xf numFmtId="0" fontId="18" fillId="4" borderId="13" xfId="0" applyFont="1" applyFill="1" applyBorder="1" applyAlignment="1">
      <alignment horizontal="center" vertical="center" wrapText="1" readingOrder="1"/>
    </xf>
    <xf numFmtId="0" fontId="9" fillId="2" borderId="15" xfId="0" applyFont="1" applyFill="1" applyBorder="1" applyAlignment="1">
      <alignment horizontal="center" vertical="center" wrapText="1" readingOrder="1"/>
    </xf>
    <xf numFmtId="0" fontId="17" fillId="3" borderId="16" xfId="0" applyFont="1" applyFill="1" applyBorder="1" applyAlignment="1">
      <alignment vertical="center" wrapText="1" readingOrder="1"/>
    </xf>
    <xf numFmtId="0" fontId="9" fillId="2" borderId="18" xfId="0" applyFont="1" applyFill="1" applyBorder="1" applyAlignment="1">
      <alignment horizontal="center" vertical="center" wrapText="1" readingOrder="1"/>
    </xf>
    <xf numFmtId="0" fontId="21" fillId="4" borderId="19" xfId="0" applyFont="1" applyFill="1" applyBorder="1" applyAlignment="1">
      <alignment horizontal="left" vertical="center" wrapText="1" indent="1" readingOrder="1"/>
    </xf>
    <xf numFmtId="0" fontId="9" fillId="2" borderId="21" xfId="0" applyFont="1" applyFill="1" applyBorder="1" applyAlignment="1">
      <alignment vertical="center" wrapText="1" readingOrder="1"/>
    </xf>
    <xf numFmtId="0" fontId="9" fillId="2" borderId="22" xfId="0" applyFont="1" applyFill="1" applyBorder="1" applyAlignment="1">
      <alignment vertical="center" wrapText="1" readingOrder="1"/>
    </xf>
    <xf numFmtId="0" fontId="18" fillId="4" borderId="19" xfId="0" applyFont="1" applyFill="1" applyBorder="1" applyAlignment="1">
      <alignment horizontal="center" vertical="center" wrapText="1" readingOrder="1"/>
    </xf>
    <xf numFmtId="0" fontId="17" fillId="3" borderId="21" xfId="0" applyFont="1" applyFill="1" applyBorder="1" applyAlignment="1">
      <alignment vertical="center" wrapText="1" readingOrder="1"/>
    </xf>
    <xf numFmtId="0" fontId="17" fillId="3" borderId="22" xfId="0" applyFont="1" applyFill="1" applyBorder="1" applyAlignment="1">
      <alignment vertical="center" wrapText="1" readingOrder="1"/>
    </xf>
    <xf numFmtId="0" fontId="10" fillId="4" borderId="23" xfId="0" applyFont="1" applyFill="1" applyBorder="1" applyAlignment="1">
      <alignment vertical="center" wrapText="1" readingOrder="1"/>
    </xf>
    <xf numFmtId="0" fontId="9" fillId="2" borderId="24" xfId="0" applyFont="1" applyFill="1" applyBorder="1" applyAlignment="1">
      <alignment horizontal="center" vertical="center" wrapText="1" readingOrder="1"/>
    </xf>
    <xf numFmtId="0" fontId="9" fillId="2" borderId="25" xfId="0" applyFont="1" applyFill="1" applyBorder="1" applyAlignment="1">
      <alignment horizontal="center" vertical="center" wrapText="1" readingOrder="1"/>
    </xf>
    <xf numFmtId="0" fontId="6" fillId="2" borderId="8" xfId="0" applyFont="1" applyFill="1" applyBorder="1" applyAlignment="1">
      <alignment horizontal="center" vertical="center" wrapText="1"/>
    </xf>
    <xf numFmtId="0" fontId="8" fillId="2" borderId="1" xfId="0" applyFont="1" applyFill="1" applyBorder="1" applyAlignment="1">
      <alignment horizontal="center" vertical="center"/>
    </xf>
    <xf numFmtId="0" fontId="8" fillId="2" borderId="1" xfId="0" applyFont="1" applyFill="1" applyBorder="1" applyAlignment="1">
      <alignment horizontal="center"/>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8" fillId="2" borderId="0" xfId="0" applyFont="1" applyFill="1" applyAlignment="1">
      <alignment horizontal="center"/>
    </xf>
    <xf numFmtId="0" fontId="7" fillId="2" borderId="0" xfId="0" applyFont="1" applyFill="1" applyAlignment="1">
      <alignment horizontal="center"/>
    </xf>
    <xf numFmtId="0" fontId="7" fillId="2" borderId="0" xfId="0" applyFont="1" applyFill="1" applyAlignment="1">
      <alignment horizontal="center" vertical="center"/>
    </xf>
    <xf numFmtId="0" fontId="19" fillId="4" borderId="14" xfId="0" applyFont="1" applyFill="1" applyBorder="1" applyAlignment="1">
      <alignment horizontal="center" vertical="center" wrapText="1" readingOrder="1"/>
    </xf>
    <xf numFmtId="0" fontId="22" fillId="2" borderId="0" xfId="0" applyFont="1" applyFill="1" applyBorder="1" applyAlignment="1">
      <alignment horizontal="center" wrapText="1"/>
    </xf>
    <xf numFmtId="0" fontId="17" fillId="2" borderId="21" xfId="0" applyFont="1" applyFill="1" applyBorder="1" applyAlignment="1">
      <alignment horizontal="center" vertical="center" wrapText="1" readingOrder="1"/>
    </xf>
    <xf numFmtId="0" fontId="23" fillId="2" borderId="17" xfId="0" applyFont="1" applyFill="1" applyBorder="1" applyAlignment="1">
      <alignment horizontal="center" wrapText="1"/>
    </xf>
    <xf numFmtId="0" fontId="17" fillId="2" borderId="22" xfId="0" applyFont="1" applyFill="1" applyBorder="1" applyAlignment="1">
      <alignment horizontal="center" vertical="center" wrapText="1" readingOrder="1"/>
    </xf>
    <xf numFmtId="0" fontId="22" fillId="2" borderId="17" xfId="0" applyFont="1" applyFill="1" applyBorder="1" applyAlignment="1">
      <alignment horizontal="center" wrapText="1"/>
    </xf>
    <xf numFmtId="0" fontId="19" fillId="4" borderId="7" xfId="0" applyFont="1" applyFill="1" applyBorder="1" applyAlignment="1">
      <alignment horizontal="center" vertical="center" wrapText="1" readingOrder="1"/>
    </xf>
    <xf numFmtId="0" fontId="17" fillId="2" borderId="5" xfId="0" applyFont="1" applyFill="1" applyBorder="1" applyAlignment="1">
      <alignment horizontal="center" vertical="center" wrapText="1" readingOrder="1"/>
    </xf>
    <xf numFmtId="0" fontId="22" fillId="2" borderId="0" xfId="0" applyFont="1" applyFill="1" applyAlignment="1">
      <alignment horizontal="center" wrapText="1"/>
    </xf>
    <xf numFmtId="0" fontId="23" fillId="2" borderId="0" xfId="0" applyFont="1" applyFill="1" applyAlignment="1">
      <alignment horizontal="center" wrapText="1"/>
    </xf>
    <xf numFmtId="0" fontId="9" fillId="2" borderId="26" xfId="0" applyFont="1" applyFill="1" applyBorder="1" applyAlignment="1">
      <alignment vertical="center" wrapText="1" readingOrder="1"/>
    </xf>
    <xf numFmtId="0" fontId="17" fillId="2" borderId="16" xfId="0" applyFont="1" applyFill="1" applyBorder="1" applyAlignment="1">
      <alignment horizontal="center" vertical="center" wrapText="1" readingOrder="1"/>
    </xf>
    <xf numFmtId="0" fontId="9" fillId="2" borderId="27" xfId="0" applyFont="1" applyFill="1" applyBorder="1" applyAlignment="1">
      <alignment horizontal="center" vertical="center" wrapText="1" readingOrder="1"/>
    </xf>
    <xf numFmtId="0" fontId="9" fillId="2" borderId="20" xfId="0" applyFont="1" applyFill="1" applyBorder="1" applyAlignment="1">
      <alignment horizontal="center" vertical="center" wrapText="1" readingOrder="1"/>
    </xf>
    <xf numFmtId="0" fontId="21" fillId="4" borderId="28" xfId="0" applyFont="1" applyFill="1" applyBorder="1" applyAlignment="1">
      <alignment horizontal="left" vertical="center" wrapText="1" indent="1" readingOrder="1"/>
    </xf>
    <xf numFmtId="0" fontId="19" fillId="4" borderId="12" xfId="0" applyFont="1" applyFill="1" applyBorder="1" applyAlignment="1">
      <alignment horizontal="center" vertical="center" wrapText="1" readingOrder="1"/>
    </xf>
    <xf numFmtId="0" fontId="10" fillId="4" borderId="12" xfId="0" applyFont="1" applyFill="1" applyBorder="1" applyAlignment="1">
      <alignment vertical="center" wrapText="1" readingOrder="1"/>
    </xf>
  </cellXfs>
  <cellStyles count="4">
    <cellStyle name="Normal" xfId="0" builtinId="0"/>
    <cellStyle name="Normal 2" xfId="1" xr:uid="{333E1BBA-9310-47F3-8840-5245602680BB}"/>
    <cellStyle name="Normal 3" xfId="2" xr:uid="{2036FBD6-1403-4E0F-BB55-829CE6A1A71B}"/>
    <cellStyle name="Normal 4" xfId="3" xr:uid="{EB5D86DC-0F9A-4A98-AAB9-E73B0A880174}"/>
  </cellStyles>
  <dxfs count="0"/>
  <tableStyles count="0" defaultTableStyle="TableStyleMedium2" defaultPivotStyle="PivotStyleMedium9"/>
  <colors>
    <mruColors>
      <color rgb="FFFFF469"/>
      <color rgb="FFFF8F8F"/>
      <color rgb="FFFF7979"/>
      <color rgb="FFFF6565"/>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190879</xdr:colOff>
      <xdr:row>0</xdr:row>
      <xdr:rowOff>184013</xdr:rowOff>
    </xdr:from>
    <xdr:to>
      <xdr:col>0</xdr:col>
      <xdr:colOff>536222</xdr:colOff>
      <xdr:row>0</xdr:row>
      <xdr:rowOff>559722</xdr:rowOff>
    </xdr:to>
    <xdr:pic>
      <xdr:nvPicPr>
        <xdr:cNvPr id="2" name="Picture 1">
          <a:extLst>
            <a:ext uri="{FF2B5EF4-FFF2-40B4-BE49-F238E27FC236}">
              <a16:creationId xmlns:a16="http://schemas.microsoft.com/office/drawing/2014/main" id="{1E360F39-24D6-4B1D-B5C3-70404F7312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879" y="184013"/>
          <a:ext cx="345343" cy="375709"/>
        </a:xfrm>
        <a:prstGeom prst="rect">
          <a:avLst/>
        </a:prstGeom>
      </xdr:spPr>
    </xdr:pic>
    <xdr:clientData/>
  </xdr:twoCellAnchor>
  <xdr:twoCellAnchor>
    <xdr:from>
      <xdr:col>2</xdr:col>
      <xdr:colOff>54429</xdr:colOff>
      <xdr:row>1</xdr:row>
      <xdr:rowOff>145144</xdr:rowOff>
    </xdr:from>
    <xdr:to>
      <xdr:col>6</xdr:col>
      <xdr:colOff>1346200</xdr:colOff>
      <xdr:row>2</xdr:row>
      <xdr:rowOff>25399</xdr:rowOff>
    </xdr:to>
    <xdr:sp macro="" textlink="">
      <xdr:nvSpPr>
        <xdr:cNvPr id="3" name="Rectangle 2">
          <a:extLst>
            <a:ext uri="{FF2B5EF4-FFF2-40B4-BE49-F238E27FC236}">
              <a16:creationId xmlns:a16="http://schemas.microsoft.com/office/drawing/2014/main" id="{BADFA8CE-E010-334F-973F-86230D28FA07}"/>
            </a:ext>
          </a:extLst>
        </xdr:cNvPr>
        <xdr:cNvSpPr/>
      </xdr:nvSpPr>
      <xdr:spPr>
        <a:xfrm>
          <a:off x="994229" y="805544"/>
          <a:ext cx="11705771" cy="1505855"/>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600">
              <a:solidFill>
                <a:schemeClr val="tx1"/>
              </a:solidFill>
              <a:latin typeface="+mn-lt"/>
            </a:rPr>
            <a:t>Conduct at least 10 interviews with people who fit your core customer description. These can be potential or existing clients. Remember that you are only interested in understanding their needs at this stage, and do not mention your company or products yet.</a:t>
          </a:r>
          <a:br>
            <a:rPr lang="en-GB" sz="1600">
              <a:solidFill>
                <a:schemeClr val="tx1"/>
              </a:solidFill>
              <a:latin typeface="+mn-lt"/>
            </a:rPr>
          </a:br>
          <a:r>
            <a:rPr lang="en-GB" sz="1600">
              <a:solidFill>
                <a:schemeClr val="tx1"/>
              </a:solidFill>
              <a:latin typeface="+mn-lt"/>
            </a:rPr>
            <a:t>It is good practice here that every team member speaks to at least two potential customers.</a:t>
          </a:r>
          <a:br>
            <a:rPr lang="en-GB" sz="1600">
              <a:solidFill>
                <a:schemeClr val="tx1"/>
              </a:solidFill>
              <a:latin typeface="+mn-lt"/>
            </a:rPr>
          </a:br>
          <a:r>
            <a:rPr lang="en-GB" sz="1600">
              <a:solidFill>
                <a:schemeClr val="tx1"/>
              </a:solidFill>
              <a:latin typeface="+mn-lt"/>
            </a:rPr>
            <a:t>Once the interviews are finished, gather as a team, and write down an extensive list of the customer needs you have identified in your conversations.</a:t>
          </a:r>
          <a:br>
            <a:rPr lang="en-GB" sz="1600">
              <a:solidFill>
                <a:schemeClr val="tx1"/>
              </a:solidFill>
              <a:latin typeface="+mn-lt"/>
            </a:rPr>
          </a:br>
          <a:endParaRPr lang="en-GB" sz="1600">
            <a:solidFill>
              <a:schemeClr val="tx1"/>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88C0F3D8-13CF-624C-A891-CA2E49EAAC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206727</xdr:colOff>
      <xdr:row>1</xdr:row>
      <xdr:rowOff>141817</xdr:rowOff>
    </xdr:from>
    <xdr:to>
      <xdr:col>9</xdr:col>
      <xdr:colOff>798689</xdr:colOff>
      <xdr:row>2</xdr:row>
      <xdr:rowOff>144639</xdr:rowOff>
    </xdr:to>
    <xdr:sp macro="" textlink="">
      <xdr:nvSpPr>
        <xdr:cNvPr id="3" name="Rectangle 2">
          <a:extLst>
            <a:ext uri="{FF2B5EF4-FFF2-40B4-BE49-F238E27FC236}">
              <a16:creationId xmlns:a16="http://schemas.microsoft.com/office/drawing/2014/main" id="{24E2FAAC-97FE-F342-90D7-C5B69A349DFE}"/>
            </a:ext>
            <a:ext uri="{147F2762-F138-4A5C-976F-8EAC2B608ADB}">
              <a16:predDERef xmlns:a16="http://schemas.microsoft.com/office/drawing/2014/main" pred="{88C0F3D8-13CF-624C-A891-CA2E49EAAC30}"/>
            </a:ext>
          </a:extLst>
        </xdr:cNvPr>
        <xdr:cNvSpPr/>
      </xdr:nvSpPr>
      <xdr:spPr>
        <a:xfrm>
          <a:off x="816327" y="865717"/>
          <a:ext cx="9383537" cy="1041047"/>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pains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pain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pain</a:t>
          </a:r>
          <a:r>
            <a:rPr lang="en-GB" sz="1400" baseline="0">
              <a:solidFill>
                <a:schemeClr val="tx1"/>
              </a:solidFill>
              <a:latin typeface="+mn-lt"/>
            </a:rPr>
            <a:t>. Use the excel function "Sort&amp;filter" to see which top 3 </a:t>
          </a:r>
          <a:r>
            <a:rPr lang="en-GB" sz="1400" b="1" baseline="0">
              <a:solidFill>
                <a:schemeClr val="tx1"/>
              </a:solidFill>
              <a:latin typeface="+mn-lt"/>
            </a:rPr>
            <a:t>pains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F4E87F6A-8B85-DD48-B575-457C57A2D4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225777</xdr:colOff>
      <xdr:row>1</xdr:row>
      <xdr:rowOff>98777</xdr:rowOff>
    </xdr:from>
    <xdr:to>
      <xdr:col>9</xdr:col>
      <xdr:colOff>874889</xdr:colOff>
      <xdr:row>2</xdr:row>
      <xdr:rowOff>59266</xdr:rowOff>
    </xdr:to>
    <xdr:sp macro="" textlink="">
      <xdr:nvSpPr>
        <xdr:cNvPr id="3" name="Rectangle 2">
          <a:extLst>
            <a:ext uri="{FF2B5EF4-FFF2-40B4-BE49-F238E27FC236}">
              <a16:creationId xmlns:a16="http://schemas.microsoft.com/office/drawing/2014/main" id="{B94660BC-7C38-0446-9499-2A472CCFAB1A}"/>
            </a:ext>
          </a:extLst>
        </xdr:cNvPr>
        <xdr:cNvSpPr/>
      </xdr:nvSpPr>
      <xdr:spPr>
        <a:xfrm>
          <a:off x="931333" y="818444"/>
          <a:ext cx="10710334" cy="10470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needs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need</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need</a:t>
          </a:r>
          <a:r>
            <a:rPr lang="en-GB" sz="1400" baseline="0">
              <a:solidFill>
                <a:schemeClr val="tx1"/>
              </a:solidFill>
              <a:latin typeface="+mn-lt"/>
            </a:rPr>
            <a:t>. Use the excel function "Sort&amp;filter" to see which top 3 </a:t>
          </a:r>
          <a:r>
            <a:rPr lang="en-GB" sz="1400" b="1" baseline="0">
              <a:solidFill>
                <a:schemeClr val="tx1"/>
              </a:solidFill>
              <a:latin typeface="+mn-lt"/>
            </a:rPr>
            <a:t>needs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2E3C28A5-0022-5742-A4B5-96793ECDC9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2</xdr:col>
      <xdr:colOff>14111</xdr:colOff>
      <xdr:row>1</xdr:row>
      <xdr:rowOff>98778</xdr:rowOff>
    </xdr:from>
    <xdr:to>
      <xdr:col>9</xdr:col>
      <xdr:colOff>903111</xdr:colOff>
      <xdr:row>2</xdr:row>
      <xdr:rowOff>141111</xdr:rowOff>
    </xdr:to>
    <xdr:sp macro="" textlink="">
      <xdr:nvSpPr>
        <xdr:cNvPr id="3" name="Rectangle 2">
          <a:extLst>
            <a:ext uri="{FF2B5EF4-FFF2-40B4-BE49-F238E27FC236}">
              <a16:creationId xmlns:a16="http://schemas.microsoft.com/office/drawing/2014/main" id="{82A1478D-10C2-B242-9D6E-C25A21EB518A}"/>
            </a:ext>
          </a:extLst>
        </xdr:cNvPr>
        <xdr:cNvSpPr/>
      </xdr:nvSpPr>
      <xdr:spPr>
        <a:xfrm>
          <a:off x="959555" y="818445"/>
          <a:ext cx="10710334" cy="1072444"/>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Customer</a:t>
          </a:r>
          <a:r>
            <a:rPr lang="en-GB" sz="1400" baseline="0">
              <a:solidFill>
                <a:schemeClr val="tx1"/>
              </a:solidFill>
              <a:latin typeface="+mn-lt"/>
            </a:rPr>
            <a:t> </a:t>
          </a:r>
          <a:r>
            <a:rPr lang="en-GB" sz="1400" b="1" baseline="0">
              <a:solidFill>
                <a:schemeClr val="tx1"/>
              </a:solidFill>
              <a:latin typeface="+mn-lt"/>
            </a:rPr>
            <a:t>gains</a:t>
          </a:r>
          <a:r>
            <a:rPr lang="en-GB" sz="1400" baseline="0">
              <a:solidFill>
                <a:schemeClr val="tx1"/>
              </a:solidFill>
              <a:latin typeface="+mn-lt"/>
            </a:rPr>
            <a:t> will automatically appear from your "Core customer analysis sheet" - rank each </a:t>
          </a:r>
          <a:r>
            <a:rPr lang="en-GB" sz="1400" b="1" baseline="0">
              <a:solidFill>
                <a:schemeClr val="tx1"/>
              </a:solidFill>
              <a:latin typeface="+mn-lt"/>
            </a:rPr>
            <a:t>gain</a:t>
          </a:r>
          <a:r>
            <a:rPr lang="en-GB" sz="1400" baseline="0">
              <a:solidFill>
                <a:schemeClr val="tx1"/>
              </a:solidFill>
              <a:latin typeface="+mn-lt"/>
            </a:rPr>
            <a:t> on the 3 criteria from on to 5 (5=highest score). The ranking column J will automatically calculate the score for each </a:t>
          </a:r>
          <a:r>
            <a:rPr lang="en-GB" sz="1400" b="1" baseline="0">
              <a:solidFill>
                <a:schemeClr val="tx1"/>
              </a:solidFill>
              <a:latin typeface="+mn-lt"/>
            </a:rPr>
            <a:t>gain</a:t>
          </a:r>
          <a:r>
            <a:rPr lang="en-GB" sz="1400" baseline="0">
              <a:solidFill>
                <a:schemeClr val="tx1"/>
              </a:solidFill>
              <a:latin typeface="+mn-lt"/>
            </a:rPr>
            <a:t>. Use the excel function "Sort&amp;filter" to see which top 3 </a:t>
          </a:r>
          <a:r>
            <a:rPr lang="en-GB" sz="1400" b="1" baseline="0">
              <a:solidFill>
                <a:schemeClr val="tx1"/>
              </a:solidFill>
              <a:latin typeface="+mn-lt"/>
            </a:rPr>
            <a:t>gains</a:t>
          </a:r>
          <a:r>
            <a:rPr lang="en-GB" sz="1400" baseline="0">
              <a:solidFill>
                <a:schemeClr val="tx1"/>
              </a:solidFill>
              <a:latin typeface="+mn-lt"/>
            </a:rPr>
            <a:t> will appear with the highest score. Use them for the final exercise (final sheet).</a:t>
          </a:r>
          <a:endParaRPr lang="en-GB" sz="1400">
            <a:solidFill>
              <a:schemeClr val="tx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162657</xdr:colOff>
      <xdr:row>0</xdr:row>
      <xdr:rowOff>200948</xdr:rowOff>
    </xdr:from>
    <xdr:to>
      <xdr:col>0</xdr:col>
      <xdr:colOff>457200</xdr:colOff>
      <xdr:row>0</xdr:row>
      <xdr:rowOff>528163</xdr:rowOff>
    </xdr:to>
    <xdr:pic>
      <xdr:nvPicPr>
        <xdr:cNvPr id="2" name="Picture 1">
          <a:extLst>
            <a:ext uri="{FF2B5EF4-FFF2-40B4-BE49-F238E27FC236}">
              <a16:creationId xmlns:a16="http://schemas.microsoft.com/office/drawing/2014/main" id="{B9C8449E-77D2-3044-97D3-4B633208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657" y="200948"/>
          <a:ext cx="294543" cy="327215"/>
        </a:xfrm>
        <a:prstGeom prst="rect">
          <a:avLst/>
        </a:prstGeom>
      </xdr:spPr>
    </xdr:pic>
    <xdr:clientData/>
  </xdr:twoCellAnchor>
  <xdr:twoCellAnchor>
    <xdr:from>
      <xdr:col>1</xdr:col>
      <xdr:colOff>207432</xdr:colOff>
      <xdr:row>1</xdr:row>
      <xdr:rowOff>137584</xdr:rowOff>
    </xdr:from>
    <xdr:to>
      <xdr:col>4</xdr:col>
      <xdr:colOff>51859</xdr:colOff>
      <xdr:row>2</xdr:row>
      <xdr:rowOff>1289050</xdr:rowOff>
    </xdr:to>
    <xdr:sp macro="" textlink="">
      <xdr:nvSpPr>
        <xdr:cNvPr id="3" name="Rectangle 2">
          <a:extLst>
            <a:ext uri="{FF2B5EF4-FFF2-40B4-BE49-F238E27FC236}">
              <a16:creationId xmlns:a16="http://schemas.microsoft.com/office/drawing/2014/main" id="{19722DDB-0573-88AA-882E-B38C8ABE1005}"/>
            </a:ext>
            <a:ext uri="{147F2762-F138-4A5C-976F-8EAC2B608ADB}">
              <a16:predDERef xmlns:a16="http://schemas.microsoft.com/office/drawing/2014/main" pred="{B9C8449E-77D2-3044-97D3-4B6332082F84}"/>
            </a:ext>
          </a:extLst>
        </xdr:cNvPr>
        <xdr:cNvSpPr/>
      </xdr:nvSpPr>
      <xdr:spPr>
        <a:xfrm>
          <a:off x="817032" y="861484"/>
          <a:ext cx="7283452" cy="1341966"/>
        </a:xfrm>
        <a:prstGeom prst="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From your analysis, identify the top 3 most common and repetitive needs, pains, and gains of your core customers. Ensure these are based on the highest-ranked outcomes you observed.</a:t>
          </a:r>
        </a:p>
        <a:p>
          <a:pPr marL="0" marR="0" lvl="0" indent="0" algn="l" defTabSz="914400" eaLnBrk="1" fontAlgn="auto" latinLnBrk="0" hangingPunct="1">
            <a:lnSpc>
              <a:spcPct val="100000"/>
            </a:lnSpc>
            <a:spcBef>
              <a:spcPts val="0"/>
            </a:spcBef>
            <a:spcAft>
              <a:spcPts val="0"/>
            </a:spcAft>
            <a:buClrTx/>
            <a:buSzTx/>
            <a:buFontTx/>
            <a:buNone/>
            <a:tabLst/>
            <a:defRPr/>
          </a:pPr>
          <a:endParaRPr lang="en-GB" sz="1400">
            <a:solidFill>
              <a:schemeClr val="tx1"/>
            </a:solidFill>
            <a:latin typeface="+mn-lt"/>
          </a:endParaRPr>
        </a:p>
        <a:p>
          <a:pPr marL="0" marR="0" lvl="0" indent="0" algn="l" defTabSz="914400" eaLnBrk="1" fontAlgn="auto" latinLnBrk="0" hangingPunct="1">
            <a:lnSpc>
              <a:spcPct val="100000"/>
            </a:lnSpc>
            <a:spcBef>
              <a:spcPts val="0"/>
            </a:spcBef>
            <a:spcAft>
              <a:spcPts val="0"/>
            </a:spcAft>
            <a:buClrTx/>
            <a:buSzTx/>
            <a:buFontTx/>
            <a:buNone/>
            <a:tabLst/>
            <a:defRPr/>
          </a:pPr>
          <a:r>
            <a:rPr lang="en-GB" sz="1400">
              <a:solidFill>
                <a:schemeClr val="tx1"/>
              </a:solidFill>
              <a:latin typeface="+mn-lt"/>
            </a:rPr>
            <a:t>By completing this task, you will have a clearer understanding of your core customers' priorities, which will serve as a foundation for developing a compelling value proposition.</a:t>
          </a:r>
        </a:p>
        <a:p>
          <a:pPr marL="0" marR="0" lvl="0" indent="0" algn="l" defTabSz="914400" eaLnBrk="1" fontAlgn="auto" latinLnBrk="0" hangingPunct="1">
            <a:lnSpc>
              <a:spcPct val="100000"/>
            </a:lnSpc>
            <a:spcBef>
              <a:spcPts val="0"/>
            </a:spcBef>
            <a:spcAft>
              <a:spcPts val="0"/>
            </a:spcAft>
            <a:buClrTx/>
            <a:buSzTx/>
            <a:buFontTx/>
            <a:buNone/>
            <a:tabLst/>
            <a:defRPr/>
          </a:pPr>
          <a:br>
            <a:rPr lang="en-GB" sz="1400">
              <a:solidFill>
                <a:schemeClr val="tx1"/>
              </a:solidFill>
              <a:latin typeface="+mn-lt"/>
            </a:rPr>
          </a:br>
          <a:endParaRPr lang="en-GB" sz="1400">
            <a:solidFill>
              <a:schemeClr val="tx1"/>
            </a:solidFill>
            <a:latin typeface="+mn-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84196-9900-4BBE-9FE0-B91BCA99EF55}">
  <sheetPr>
    <tabColor theme="0"/>
  </sheetPr>
  <dimension ref="A1:K27"/>
  <sheetViews>
    <sheetView topLeftCell="D22" zoomScaleNormal="100" workbookViewId="0">
      <selection activeCell="H4" sqref="H4:H26"/>
    </sheetView>
  </sheetViews>
  <sheetFormatPr defaultColWidth="9.140625" defaultRowHeight="15"/>
  <cols>
    <col min="1" max="1" width="9.140625" style="32"/>
    <col min="2" max="2" width="3.140625" style="33" customWidth="1"/>
    <col min="3" max="4" width="27.42578125" style="34" customWidth="1"/>
    <col min="5" max="5" width="34.28515625" style="34" customWidth="1"/>
    <col min="6" max="6" width="47.28515625" style="34" customWidth="1"/>
    <col min="7" max="8" width="49.85546875" style="34" customWidth="1"/>
    <col min="9" max="9" width="65.42578125" style="34" customWidth="1"/>
    <col min="10" max="11" width="49.85546875" style="34" customWidth="1"/>
    <col min="12" max="16384" width="9.140625" style="34"/>
  </cols>
  <sheetData>
    <row r="1" spans="1:11" s="24" customFormat="1" ht="51.95" customHeight="1">
      <c r="A1" s="22"/>
      <c r="B1" s="23"/>
      <c r="C1" s="21" t="s">
        <v>0</v>
      </c>
      <c r="D1" s="21"/>
      <c r="K1" s="24" t="s">
        <v>1</v>
      </c>
    </row>
    <row r="2" spans="1:11" s="27" customFormat="1" ht="128.1" customHeight="1">
      <c r="A2" s="25"/>
      <c r="B2" s="26"/>
    </row>
    <row r="3" spans="1:11" s="27" customFormat="1">
      <c r="A3" s="25"/>
      <c r="B3" s="26"/>
    </row>
    <row r="4" spans="1:11" s="31" customFormat="1" ht="53.1" customHeight="1">
      <c r="A4" s="28"/>
      <c r="B4" s="29"/>
      <c r="C4" s="39" t="s">
        <v>2</v>
      </c>
      <c r="D4" s="39" t="s">
        <v>3</v>
      </c>
      <c r="E4" s="39" t="s">
        <v>4</v>
      </c>
      <c r="F4" s="39" t="s">
        <v>5</v>
      </c>
      <c r="G4" s="39" t="s">
        <v>6</v>
      </c>
      <c r="H4" s="39" t="s">
        <v>7</v>
      </c>
      <c r="I4" s="39" t="s">
        <v>8</v>
      </c>
      <c r="J4" s="39" t="s">
        <v>9</v>
      </c>
      <c r="K4" s="39" t="s">
        <v>10</v>
      </c>
    </row>
    <row r="5" spans="1:11" s="31" customFormat="1" ht="57.95" customHeight="1">
      <c r="A5" s="28"/>
      <c r="B5" s="29"/>
      <c r="C5" s="30"/>
      <c r="D5" s="30"/>
      <c r="E5" s="30" t="s">
        <v>11</v>
      </c>
      <c r="F5" s="30" t="s">
        <v>12</v>
      </c>
      <c r="G5" s="30" t="s">
        <v>13</v>
      </c>
      <c r="H5" s="30" t="s">
        <v>14</v>
      </c>
      <c r="I5" s="30" t="s">
        <v>15</v>
      </c>
      <c r="J5" s="30" t="s">
        <v>16</v>
      </c>
      <c r="K5" s="30" t="s">
        <v>17</v>
      </c>
    </row>
    <row r="6" spans="1:11" s="31" customFormat="1" ht="57.95" customHeight="1">
      <c r="A6" s="28"/>
      <c r="B6" s="29"/>
      <c r="C6" s="30"/>
      <c r="D6" s="30"/>
      <c r="E6" s="30" t="s">
        <v>11</v>
      </c>
      <c r="F6" s="30" t="s">
        <v>18</v>
      </c>
      <c r="G6" s="30" t="s">
        <v>19</v>
      </c>
      <c r="H6" s="30" t="s">
        <v>20</v>
      </c>
      <c r="I6" s="30" t="s">
        <v>21</v>
      </c>
      <c r="J6" s="30" t="s">
        <v>22</v>
      </c>
      <c r="K6" s="30"/>
    </row>
    <row r="7" spans="1:11" s="31" customFormat="1" ht="57.95" customHeight="1">
      <c r="A7" s="28"/>
      <c r="B7" s="29"/>
      <c r="C7" s="30"/>
      <c r="D7" s="30"/>
      <c r="E7" s="30" t="s">
        <v>11</v>
      </c>
      <c r="F7" s="30" t="s">
        <v>23</v>
      </c>
      <c r="G7" s="30" t="s">
        <v>24</v>
      </c>
      <c r="H7" s="30" t="s">
        <v>25</v>
      </c>
      <c r="I7" s="30" t="s">
        <v>26</v>
      </c>
      <c r="J7" s="30" t="s">
        <v>27</v>
      </c>
      <c r="K7" s="30" t="s">
        <v>28</v>
      </c>
    </row>
    <row r="8" spans="1:11" s="31" customFormat="1" ht="57.95" customHeight="1">
      <c r="A8" s="28"/>
      <c r="B8" s="29"/>
      <c r="C8" s="30"/>
      <c r="D8" s="30"/>
      <c r="E8" s="30" t="s">
        <v>11</v>
      </c>
      <c r="F8" s="30" t="s">
        <v>29</v>
      </c>
      <c r="G8" s="30" t="s">
        <v>30</v>
      </c>
      <c r="H8" s="30" t="s">
        <v>31</v>
      </c>
      <c r="I8" s="30" t="s">
        <v>32</v>
      </c>
      <c r="J8" s="30" t="s">
        <v>33</v>
      </c>
      <c r="K8" s="30"/>
    </row>
    <row r="9" spans="1:11" s="31" customFormat="1" ht="57.95" customHeight="1">
      <c r="A9" s="28"/>
      <c r="B9" s="29"/>
      <c r="C9" s="30"/>
      <c r="D9" s="30"/>
      <c r="E9" s="30" t="s">
        <v>11</v>
      </c>
      <c r="F9" s="30" t="s">
        <v>34</v>
      </c>
      <c r="G9" s="30" t="s">
        <v>35</v>
      </c>
      <c r="H9" s="30" t="s">
        <v>36</v>
      </c>
      <c r="I9" s="30" t="s">
        <v>37</v>
      </c>
      <c r="J9" s="30" t="s">
        <v>38</v>
      </c>
      <c r="K9" s="30" t="s">
        <v>39</v>
      </c>
    </row>
    <row r="10" spans="1:11" s="31" customFormat="1" ht="57.95" customHeight="1">
      <c r="A10" s="28"/>
      <c r="B10" s="29"/>
      <c r="C10" s="30"/>
      <c r="D10" s="30"/>
      <c r="E10" s="30" t="s">
        <v>11</v>
      </c>
      <c r="F10" s="30" t="s">
        <v>40</v>
      </c>
      <c r="G10" s="30" t="s">
        <v>41</v>
      </c>
      <c r="H10" s="30" t="s">
        <v>42</v>
      </c>
      <c r="I10" s="30" t="s">
        <v>43</v>
      </c>
      <c r="J10" s="30" t="s">
        <v>44</v>
      </c>
      <c r="K10" s="30" t="s">
        <v>45</v>
      </c>
    </row>
    <row r="11" spans="1:11" s="31" customFormat="1" ht="57.95" customHeight="1">
      <c r="A11" s="28"/>
      <c r="B11" s="29"/>
      <c r="C11" s="30"/>
      <c r="D11" s="30"/>
      <c r="E11" s="30" t="s">
        <v>11</v>
      </c>
      <c r="F11" s="30" t="s">
        <v>46</v>
      </c>
      <c r="G11" s="30" t="s">
        <v>47</v>
      </c>
      <c r="H11" s="30" t="s">
        <v>48</v>
      </c>
      <c r="I11" s="30" t="s">
        <v>49</v>
      </c>
      <c r="J11" s="30" t="s">
        <v>50</v>
      </c>
      <c r="K11" s="30"/>
    </row>
    <row r="12" spans="1:11" s="31" customFormat="1" ht="57.95" customHeight="1">
      <c r="A12" s="28"/>
      <c r="B12" s="29"/>
      <c r="C12" s="30"/>
      <c r="D12" s="30"/>
      <c r="E12" s="30" t="s">
        <v>11</v>
      </c>
      <c r="F12" s="30" t="s">
        <v>51</v>
      </c>
      <c r="G12" s="30" t="s">
        <v>52</v>
      </c>
      <c r="H12" s="30" t="s">
        <v>53</v>
      </c>
      <c r="I12" s="30" t="s">
        <v>54</v>
      </c>
      <c r="J12" s="30" t="s">
        <v>55</v>
      </c>
      <c r="K12" s="30" t="s">
        <v>56</v>
      </c>
    </row>
    <row r="13" spans="1:11" s="31" customFormat="1" ht="57.95" customHeight="1">
      <c r="A13" s="28"/>
      <c r="B13" s="29"/>
      <c r="C13" s="30"/>
      <c r="D13" s="30"/>
      <c r="E13" s="30" t="s">
        <v>11</v>
      </c>
      <c r="F13" s="30" t="s">
        <v>57</v>
      </c>
      <c r="G13" s="30" t="s">
        <v>58</v>
      </c>
      <c r="H13" s="30" t="s">
        <v>59</v>
      </c>
      <c r="I13" s="30" t="s">
        <v>60</v>
      </c>
      <c r="J13" s="30" t="s">
        <v>61</v>
      </c>
      <c r="K13" s="30" t="s">
        <v>62</v>
      </c>
    </row>
    <row r="14" spans="1:11" s="31" customFormat="1" ht="57.95" customHeight="1">
      <c r="A14" s="28"/>
      <c r="B14" s="29"/>
      <c r="C14" s="30"/>
      <c r="D14" s="30"/>
      <c r="E14" s="30" t="s">
        <v>11</v>
      </c>
      <c r="F14" s="30" t="s">
        <v>63</v>
      </c>
      <c r="G14" s="30" t="s">
        <v>64</v>
      </c>
      <c r="H14" s="30" t="s">
        <v>65</v>
      </c>
      <c r="I14" s="30" t="s">
        <v>66</v>
      </c>
      <c r="J14" s="30" t="s">
        <v>67</v>
      </c>
      <c r="K14" s="30"/>
    </row>
    <row r="15" spans="1:11" s="31" customFormat="1" ht="57.95" customHeight="1">
      <c r="A15" s="28"/>
      <c r="B15" s="29"/>
      <c r="C15" s="30"/>
      <c r="D15" s="30"/>
      <c r="E15" s="30" t="s">
        <v>11</v>
      </c>
      <c r="F15" s="30" t="s">
        <v>68</v>
      </c>
      <c r="G15" s="30" t="s">
        <v>69</v>
      </c>
      <c r="H15" s="30" t="s">
        <v>70</v>
      </c>
      <c r="I15" s="30" t="s">
        <v>71</v>
      </c>
      <c r="J15" s="30" t="s">
        <v>72</v>
      </c>
      <c r="K15" s="30" t="s">
        <v>73</v>
      </c>
    </row>
    <row r="16" spans="1:11" s="31" customFormat="1" ht="57.95" customHeight="1">
      <c r="A16" s="28"/>
      <c r="B16" s="29"/>
      <c r="C16" s="30"/>
      <c r="D16" s="30"/>
      <c r="E16" s="30" t="s">
        <v>11</v>
      </c>
      <c r="F16" s="30" t="s">
        <v>74</v>
      </c>
      <c r="G16" s="30" t="s">
        <v>75</v>
      </c>
      <c r="H16" s="30" t="s">
        <v>76</v>
      </c>
      <c r="I16" s="30" t="s">
        <v>77</v>
      </c>
      <c r="J16" s="30" t="s">
        <v>78</v>
      </c>
      <c r="K16" s="30" t="s">
        <v>79</v>
      </c>
    </row>
    <row r="17" spans="1:11" s="31" customFormat="1" ht="57.95" customHeight="1">
      <c r="A17" s="28"/>
      <c r="B17" s="29"/>
      <c r="C17" s="30"/>
      <c r="D17" s="30"/>
      <c r="E17" s="30" t="s">
        <v>11</v>
      </c>
      <c r="F17" s="30" t="s">
        <v>80</v>
      </c>
      <c r="G17" s="30" t="s">
        <v>81</v>
      </c>
      <c r="H17" s="30" t="s">
        <v>82</v>
      </c>
      <c r="I17" s="30" t="s">
        <v>83</v>
      </c>
      <c r="J17" s="30" t="s">
        <v>84</v>
      </c>
      <c r="K17" s="30"/>
    </row>
    <row r="18" spans="1:11" s="31" customFormat="1" ht="57.95" customHeight="1">
      <c r="A18" s="28"/>
      <c r="B18" s="29"/>
      <c r="C18" s="30"/>
      <c r="D18" s="30"/>
      <c r="E18" s="30" t="s">
        <v>11</v>
      </c>
      <c r="F18" s="30" t="s">
        <v>85</v>
      </c>
      <c r="G18" s="30" t="s">
        <v>86</v>
      </c>
      <c r="H18" s="30" t="s">
        <v>87</v>
      </c>
      <c r="I18" s="30" t="s">
        <v>88</v>
      </c>
      <c r="J18" s="30" t="s">
        <v>89</v>
      </c>
      <c r="K18" s="30" t="s">
        <v>90</v>
      </c>
    </row>
    <row r="19" spans="1:11" s="31" customFormat="1" ht="57.95" customHeight="1">
      <c r="A19" s="28"/>
      <c r="B19" s="29"/>
      <c r="C19" s="30"/>
      <c r="D19" s="30"/>
      <c r="E19" s="30" t="s">
        <v>11</v>
      </c>
      <c r="F19" s="30" t="s">
        <v>91</v>
      </c>
      <c r="G19" s="30" t="s">
        <v>92</v>
      </c>
      <c r="H19" s="30" t="s">
        <v>93</v>
      </c>
      <c r="I19" s="30" t="s">
        <v>94</v>
      </c>
      <c r="J19" s="30" t="s">
        <v>95</v>
      </c>
      <c r="K19" s="30" t="s">
        <v>96</v>
      </c>
    </row>
    <row r="20" spans="1:11" s="31" customFormat="1" ht="57.95" customHeight="1">
      <c r="A20" s="28"/>
      <c r="B20" s="29"/>
      <c r="C20" s="30"/>
      <c r="D20" s="30"/>
      <c r="E20" s="30" t="s">
        <v>11</v>
      </c>
      <c r="F20" s="30" t="s">
        <v>97</v>
      </c>
      <c r="G20" s="30" t="s">
        <v>98</v>
      </c>
      <c r="H20" s="30" t="s">
        <v>99</v>
      </c>
      <c r="I20" s="30" t="s">
        <v>100</v>
      </c>
      <c r="J20" s="30" t="s">
        <v>101</v>
      </c>
      <c r="K20" s="30"/>
    </row>
    <row r="21" spans="1:11" s="31" customFormat="1" ht="57.95" customHeight="1">
      <c r="A21" s="28"/>
      <c r="B21" s="29"/>
      <c r="C21" s="30"/>
      <c r="D21" s="30"/>
      <c r="E21" s="30" t="s">
        <v>11</v>
      </c>
      <c r="F21" s="30" t="s">
        <v>102</v>
      </c>
      <c r="G21" s="30" t="s">
        <v>103</v>
      </c>
      <c r="H21" s="30" t="s">
        <v>104</v>
      </c>
      <c r="I21" s="30" t="s">
        <v>105</v>
      </c>
      <c r="J21" s="30" t="s">
        <v>106</v>
      </c>
      <c r="K21" s="30" t="s">
        <v>107</v>
      </c>
    </row>
    <row r="22" spans="1:11" s="31" customFormat="1" ht="57.95" customHeight="1">
      <c r="A22" s="28"/>
      <c r="B22" s="29"/>
      <c r="C22" s="30"/>
      <c r="D22" s="30"/>
      <c r="E22" s="30" t="s">
        <v>11</v>
      </c>
      <c r="F22" s="30" t="s">
        <v>108</v>
      </c>
      <c r="G22" s="30" t="s">
        <v>109</v>
      </c>
      <c r="H22" s="30" t="s">
        <v>110</v>
      </c>
      <c r="I22" s="30" t="s">
        <v>111</v>
      </c>
      <c r="J22" s="30" t="s">
        <v>112</v>
      </c>
      <c r="K22" s="30" t="s">
        <v>113</v>
      </c>
    </row>
    <row r="23" spans="1:11" s="31" customFormat="1" ht="57.95" customHeight="1">
      <c r="A23" s="28"/>
      <c r="B23" s="29"/>
      <c r="C23" s="30"/>
      <c r="D23" s="30"/>
      <c r="E23" s="30" t="s">
        <v>11</v>
      </c>
      <c r="F23" s="30" t="s">
        <v>114</v>
      </c>
      <c r="G23" s="30" t="s">
        <v>115</v>
      </c>
      <c r="H23" s="30" t="s">
        <v>116</v>
      </c>
      <c r="I23" s="30" t="s">
        <v>117</v>
      </c>
      <c r="J23" s="30" t="s">
        <v>118</v>
      </c>
      <c r="K23" s="30" t="s">
        <v>119</v>
      </c>
    </row>
    <row r="24" spans="1:11" s="31" customFormat="1" ht="57.95" customHeight="1">
      <c r="A24" s="28"/>
      <c r="B24" s="29"/>
      <c r="C24" s="30"/>
      <c r="D24" s="30"/>
      <c r="E24" s="30" t="s">
        <v>11</v>
      </c>
      <c r="F24" s="30" t="s">
        <v>120</v>
      </c>
      <c r="G24" s="30" t="s">
        <v>121</v>
      </c>
      <c r="H24" s="30" t="s">
        <v>122</v>
      </c>
      <c r="I24" s="30" t="s">
        <v>123</v>
      </c>
      <c r="J24" s="30" t="s">
        <v>124</v>
      </c>
      <c r="K24" s="30" t="s">
        <v>125</v>
      </c>
    </row>
    <row r="25" spans="1:11" s="27" customFormat="1" ht="37.5">
      <c r="A25" s="25"/>
      <c r="B25" s="26"/>
      <c r="C25" s="30"/>
      <c r="D25" s="30"/>
      <c r="E25" s="30" t="s">
        <v>11</v>
      </c>
      <c r="F25" s="30" t="s">
        <v>126</v>
      </c>
      <c r="G25" s="30" t="s">
        <v>127</v>
      </c>
      <c r="H25" s="30" t="s">
        <v>128</v>
      </c>
      <c r="I25" s="30" t="s">
        <v>129</v>
      </c>
      <c r="J25" s="30" t="s">
        <v>130</v>
      </c>
      <c r="K25" s="30" t="s">
        <v>131</v>
      </c>
    </row>
    <row r="26" spans="1:11" s="27" customFormat="1" ht="37.5">
      <c r="A26" s="25"/>
      <c r="B26" s="26"/>
      <c r="C26" s="30"/>
      <c r="D26" s="30"/>
      <c r="E26" s="30" t="s">
        <v>11</v>
      </c>
      <c r="F26" s="30" t="s">
        <v>132</v>
      </c>
      <c r="G26" s="30" t="s">
        <v>133</v>
      </c>
      <c r="H26" s="30" t="s">
        <v>134</v>
      </c>
      <c r="I26" s="30" t="s">
        <v>135</v>
      </c>
      <c r="J26" s="30" t="s">
        <v>136</v>
      </c>
      <c r="K26" s="30" t="s">
        <v>137</v>
      </c>
    </row>
    <row r="27" spans="1:11" s="27" customFormat="1">
      <c r="A27" s="25"/>
      <c r="B27" s="26"/>
    </row>
  </sheetData>
  <phoneticPr fontId="20"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05F95-E089-544E-9A19-BAA3B35D2FBF}">
  <sheetPr>
    <tabColor theme="0"/>
  </sheetPr>
  <dimension ref="A1:J40"/>
  <sheetViews>
    <sheetView zoomScaleNormal="100" workbookViewId="0">
      <selection activeCell="C20" sqref="C20"/>
    </sheetView>
  </sheetViews>
  <sheetFormatPr defaultColWidth="9.140625" defaultRowHeight="15"/>
  <cols>
    <col min="1" max="1" width="9.140625" style="7"/>
    <col min="2" max="2" width="3.140625" style="11" customWidth="1"/>
    <col min="3" max="3" width="68.85546875" style="12" customWidth="1"/>
    <col min="4" max="4" width="4.140625" style="14" bestFit="1" customWidth="1"/>
    <col min="5" max="5" width="14.7109375" style="64" customWidth="1"/>
    <col min="6" max="6" width="4.140625" style="65" bestFit="1" customWidth="1"/>
    <col min="7" max="7" width="18" style="64" customWidth="1"/>
    <col min="8" max="8" width="4.140625" style="65" bestFit="1" customWidth="1"/>
    <col min="9" max="9" width="14.7109375" style="64" customWidth="1"/>
    <col min="10" max="10" width="12" style="12" bestFit="1" customWidth="1"/>
    <col min="11" max="16384" width="9.140625" style="12"/>
  </cols>
  <sheetData>
    <row r="1" spans="1:10" s="9" customFormat="1" ht="57.6" customHeight="1">
      <c r="A1" s="7"/>
      <c r="B1" s="8"/>
      <c r="C1" s="5" t="s">
        <v>138</v>
      </c>
      <c r="D1" s="10"/>
      <c r="E1" s="58"/>
      <c r="F1" s="59"/>
      <c r="G1" s="60"/>
      <c r="H1" s="59"/>
      <c r="I1" s="60"/>
    </row>
    <row r="2" spans="1:10" s="11" customFormat="1" ht="81.95" customHeight="1">
      <c r="A2" s="7"/>
      <c r="C2" s="43"/>
      <c r="D2" s="44"/>
      <c r="E2" s="61"/>
      <c r="F2" s="62"/>
      <c r="G2" s="63"/>
      <c r="H2" s="62"/>
      <c r="I2" s="63"/>
    </row>
    <row r="4" spans="1:10" ht="40.35" customHeight="1">
      <c r="C4" s="49" t="s">
        <v>139</v>
      </c>
      <c r="D4" s="52" t="s">
        <v>140</v>
      </c>
      <c r="E4" s="66" t="s">
        <v>141</v>
      </c>
      <c r="F4" s="52" t="s">
        <v>142</v>
      </c>
      <c r="G4" s="66" t="s">
        <v>143</v>
      </c>
      <c r="H4" s="52" t="s">
        <v>144</v>
      </c>
      <c r="I4" s="66" t="s">
        <v>145</v>
      </c>
      <c r="J4" s="55" t="s">
        <v>146</v>
      </c>
    </row>
    <row r="5" spans="1:10" ht="24.95" customHeight="1">
      <c r="C5" s="50" t="str">
        <f>'INTERVIEWS SUMMARY'!F5</f>
        <v>Limited office space (3 small offices in GB)</v>
      </c>
      <c r="D5" s="53" t="s">
        <v>147</v>
      </c>
      <c r="E5" s="67">
        <v>4</v>
      </c>
      <c r="F5" s="68" t="s">
        <v>147</v>
      </c>
      <c r="G5" s="67">
        <v>1</v>
      </c>
      <c r="H5" s="68" t="s">
        <v>147</v>
      </c>
      <c r="I5" s="67">
        <v>1</v>
      </c>
      <c r="J5" s="56">
        <f>E5*2+G5+I5*3</f>
        <v>12</v>
      </c>
    </row>
    <row r="6" spans="1:10" ht="24.95" customHeight="1">
      <c r="C6" s="50" t="str">
        <f>'INTERVIEWS SUMMARY'!F6</f>
        <v>Small coffee shop nearby</v>
      </c>
      <c r="D6" s="53" t="s">
        <v>147</v>
      </c>
      <c r="E6" s="67">
        <v>3</v>
      </c>
      <c r="F6" s="68" t="s">
        <v>147</v>
      </c>
      <c r="G6" s="67">
        <v>4</v>
      </c>
      <c r="H6" s="68" t="s">
        <v>147</v>
      </c>
      <c r="I6" s="67">
        <v>4</v>
      </c>
      <c r="J6" s="56">
        <f t="shared" ref="J6:J24" si="0">E6*2+G6+I6*3</f>
        <v>22</v>
      </c>
    </row>
    <row r="7" spans="1:10" ht="24.95" customHeight="1">
      <c r="C7" s="50" t="str">
        <f>'INTERVIEWS SUMMARY'!F7</f>
        <v>Isolation in a private office</v>
      </c>
      <c r="D7" s="53" t="s">
        <v>147</v>
      </c>
      <c r="E7" s="67">
        <v>4</v>
      </c>
      <c r="F7" s="68" t="s">
        <v>147</v>
      </c>
      <c r="G7" s="67">
        <v>5</v>
      </c>
      <c r="H7" s="68" t="s">
        <v>147</v>
      </c>
      <c r="I7" s="67">
        <v>4</v>
      </c>
      <c r="J7" s="56">
        <f t="shared" si="0"/>
        <v>25</v>
      </c>
    </row>
    <row r="8" spans="1:10" ht="24.95" customHeight="1">
      <c r="C8" s="50" t="str">
        <f>'INTERVIEWS SUMMARY'!F8</f>
        <v>Need for meeting rooms (weekly client meetings)</v>
      </c>
      <c r="D8" s="53" t="s">
        <v>147</v>
      </c>
      <c r="E8" s="67">
        <v>5</v>
      </c>
      <c r="F8" s="68" t="s">
        <v>147</v>
      </c>
      <c r="G8" s="67">
        <v>3</v>
      </c>
      <c r="H8" s="68" t="s">
        <v>147</v>
      </c>
      <c r="I8" s="67">
        <v>5</v>
      </c>
      <c r="J8" s="56">
        <f t="shared" si="0"/>
        <v>28</v>
      </c>
    </row>
    <row r="9" spans="1:10" ht="24.95" customHeight="1">
      <c r="C9" s="50" t="str">
        <f>'INTERVIEWS SUMMARY'!F9</f>
        <v>Lack of transparency in pricing/lease terms</v>
      </c>
      <c r="D9" s="53" t="s">
        <v>147</v>
      </c>
      <c r="E9" s="67">
        <v>5</v>
      </c>
      <c r="F9" s="68" t="s">
        <v>147</v>
      </c>
      <c r="G9" s="67">
        <v>2</v>
      </c>
      <c r="H9" s="68" t="s">
        <v>147</v>
      </c>
      <c r="I9" s="67">
        <v>5</v>
      </c>
      <c r="J9" s="56">
        <f t="shared" si="0"/>
        <v>27</v>
      </c>
    </row>
    <row r="10" spans="1:10" ht="24.95" customHeight="1">
      <c r="C10" s="50" t="str">
        <f>'INTERVIEWS SUMMARY'!F10</f>
        <v>Limited privacy in shared spaces</v>
      </c>
      <c r="D10" s="53" t="s">
        <v>147</v>
      </c>
      <c r="E10" s="67">
        <v>4</v>
      </c>
      <c r="F10" s="68" t="s">
        <v>147</v>
      </c>
      <c r="G10" s="67">
        <v>5</v>
      </c>
      <c r="H10" s="68" t="s">
        <v>147</v>
      </c>
      <c r="I10" s="67">
        <v>4</v>
      </c>
      <c r="J10" s="56">
        <f t="shared" si="0"/>
        <v>25</v>
      </c>
    </row>
    <row r="11" spans="1:10" ht="24.95" customHeight="1">
      <c r="C11" s="50" t="str">
        <f>'INTERVIEWS SUMMARY'!F11</f>
        <v>Low brand visibility in current setup</v>
      </c>
      <c r="D11" s="53" t="s">
        <v>147</v>
      </c>
      <c r="E11" s="67">
        <v>3</v>
      </c>
      <c r="F11" s="68" t="s">
        <v>147</v>
      </c>
      <c r="G11" s="67">
        <v>2</v>
      </c>
      <c r="H11" s="68" t="s">
        <v>147</v>
      </c>
      <c r="I11" s="67">
        <v>3</v>
      </c>
      <c r="J11" s="56">
        <f t="shared" si="0"/>
        <v>17</v>
      </c>
    </row>
    <row r="12" spans="1:10" ht="24.95" customHeight="1">
      <c r="C12" s="50" t="str">
        <f>'INTERVIEWS SUMMARY'!F12</f>
        <v>Work-life balance challenges</v>
      </c>
      <c r="D12" s="53" t="s">
        <v>147</v>
      </c>
      <c r="E12" s="67">
        <v>5</v>
      </c>
      <c r="F12" s="68" t="s">
        <v>147</v>
      </c>
      <c r="G12" s="67">
        <v>5</v>
      </c>
      <c r="H12" s="68" t="s">
        <v>147</v>
      </c>
      <c r="I12" s="67">
        <v>5</v>
      </c>
      <c r="J12" s="56">
        <f t="shared" si="0"/>
        <v>30</v>
      </c>
    </row>
    <row r="13" spans="1:10" ht="24.95" customHeight="1">
      <c r="C13" s="50" t="str">
        <f>'INTERVIEWS SUMMARY'!F13</f>
        <v>Commuting and accessibility issues</v>
      </c>
      <c r="D13" s="53" t="s">
        <v>147</v>
      </c>
      <c r="E13" s="67">
        <v>4</v>
      </c>
      <c r="F13" s="68" t="s">
        <v>147</v>
      </c>
      <c r="G13" s="67">
        <v>5</v>
      </c>
      <c r="H13" s="68" t="s">
        <v>147</v>
      </c>
      <c r="I13" s="67">
        <v>4</v>
      </c>
      <c r="J13" s="56">
        <f t="shared" si="0"/>
        <v>25</v>
      </c>
    </row>
    <row r="14" spans="1:10" ht="24.95" customHeight="1">
      <c r="C14" s="50" t="str">
        <f>'INTERVIEWS SUMMARY'!F14</f>
        <v>High operational costs (e.g., fit-outs, utilities)</v>
      </c>
      <c r="D14" s="53" t="s">
        <v>147</v>
      </c>
      <c r="E14" s="67">
        <v>5</v>
      </c>
      <c r="F14" s="68" t="s">
        <v>147</v>
      </c>
      <c r="G14" s="67">
        <v>5</v>
      </c>
      <c r="H14" s="68" t="s">
        <v>147</v>
      </c>
      <c r="I14" s="67">
        <v>5</v>
      </c>
      <c r="J14" s="56">
        <f t="shared" si="0"/>
        <v>30</v>
      </c>
    </row>
    <row r="15" spans="1:10" ht="24.95" customHeight="1">
      <c r="C15" s="50" t="str">
        <f>'INTERVIEWS SUMMARY'!F15</f>
        <v>Overpriced co-working spaces for scaling businesses</v>
      </c>
      <c r="D15" s="53" t="s">
        <v>147</v>
      </c>
      <c r="E15" s="67">
        <v>4</v>
      </c>
      <c r="F15" s="68" t="s">
        <v>147</v>
      </c>
      <c r="G15" s="67">
        <v>3</v>
      </c>
      <c r="H15" s="68" t="s">
        <v>147</v>
      </c>
      <c r="I15" s="67">
        <v>4</v>
      </c>
      <c r="J15" s="56">
        <f t="shared" si="0"/>
        <v>23</v>
      </c>
    </row>
    <row r="16" spans="1:10" ht="24.95" customHeight="1">
      <c r="C16" s="50" t="str">
        <f>'INTERVIEWS SUMMARY'!F16</f>
        <v>Poor connectivity and IT infrastructure</v>
      </c>
      <c r="D16" s="53" t="s">
        <v>147</v>
      </c>
      <c r="E16" s="67">
        <v>5</v>
      </c>
      <c r="F16" s="68" t="s">
        <v>147</v>
      </c>
      <c r="G16" s="67">
        <v>5</v>
      </c>
      <c r="H16" s="68" t="s">
        <v>147</v>
      </c>
      <c r="I16" s="67">
        <v>5</v>
      </c>
      <c r="J16" s="56">
        <f t="shared" si="0"/>
        <v>30</v>
      </c>
    </row>
    <row r="17" spans="2:10" ht="24.95" customHeight="1">
      <c r="C17" s="50" t="str">
        <f>'INTERVIEWS SUMMARY'!F17</f>
        <v>Limited amenities nearby</v>
      </c>
      <c r="D17" s="53" t="s">
        <v>147</v>
      </c>
      <c r="E17" s="67">
        <v>3</v>
      </c>
      <c r="F17" s="68" t="s">
        <v>147</v>
      </c>
      <c r="G17" s="67">
        <v>3</v>
      </c>
      <c r="H17" s="68" t="s">
        <v>147</v>
      </c>
      <c r="I17" s="67">
        <v>3</v>
      </c>
      <c r="J17" s="56">
        <f t="shared" si="0"/>
        <v>18</v>
      </c>
    </row>
    <row r="18" spans="2:10" ht="24.95" customHeight="1">
      <c r="C18" s="50" t="str">
        <f>'INTERVIEWS SUMMARY'!F18</f>
        <v>Inflexible operating hours</v>
      </c>
      <c r="D18" s="53" t="s">
        <v>147</v>
      </c>
      <c r="E18" s="67">
        <v>4</v>
      </c>
      <c r="F18" s="68" t="s">
        <v>147</v>
      </c>
      <c r="G18" s="67">
        <v>4</v>
      </c>
      <c r="H18" s="68" t="s">
        <v>147</v>
      </c>
      <c r="I18" s="67">
        <v>4</v>
      </c>
      <c r="J18" s="56">
        <f t="shared" si="0"/>
        <v>24</v>
      </c>
    </row>
    <row r="19" spans="2:10" ht="24.95" customHeight="1">
      <c r="C19" s="50" t="str">
        <f>'INTERVIEWS SUMMARY'!F19</f>
        <v>Difficulty finding spaces compliant with global sustainability standards (e.g., LEED)</v>
      </c>
      <c r="D19" s="53" t="s">
        <v>147</v>
      </c>
      <c r="E19" s="67">
        <v>4</v>
      </c>
      <c r="F19" s="68" t="s">
        <v>147</v>
      </c>
      <c r="G19" s="67">
        <v>2</v>
      </c>
      <c r="H19" s="68" t="s">
        <v>147</v>
      </c>
      <c r="I19" s="67">
        <v>4</v>
      </c>
      <c r="J19" s="56">
        <f t="shared" si="0"/>
        <v>22</v>
      </c>
    </row>
    <row r="20" spans="2:10" ht="24.95" customHeight="1">
      <c r="C20" s="50" t="str">
        <f>'INTERVIEWS SUMMARY'!F20</f>
        <v>Lack of advanced tech infrastructure (e.g., IoT, smart building systems)</v>
      </c>
      <c r="D20" s="53" t="s">
        <v>147</v>
      </c>
      <c r="E20" s="67">
        <v>5</v>
      </c>
      <c r="F20" s="68" t="s">
        <v>147</v>
      </c>
      <c r="G20" s="67">
        <v>5</v>
      </c>
      <c r="H20" s="68" t="s">
        <v>147</v>
      </c>
      <c r="I20" s="67">
        <v>5</v>
      </c>
      <c r="J20" s="56">
        <f t="shared" si="0"/>
        <v>30</v>
      </c>
    </row>
    <row r="21" spans="2:10" ht="24.95" customHeight="1">
      <c r="C21" s="50" t="str">
        <f>'INTERVIEWS SUMMARY'!F21</f>
        <v>Inflexible lease terms for scaling (no expansion clauses)</v>
      </c>
      <c r="D21" s="53" t="s">
        <v>147</v>
      </c>
      <c r="E21" s="67">
        <v>4</v>
      </c>
      <c r="F21" s="68" t="s">
        <v>147</v>
      </c>
      <c r="G21" s="67">
        <v>3</v>
      </c>
      <c r="H21" s="68" t="s">
        <v>147</v>
      </c>
      <c r="I21" s="67">
        <v>4</v>
      </c>
      <c r="J21" s="56">
        <f t="shared" si="0"/>
        <v>23</v>
      </c>
    </row>
    <row r="22" spans="2:10" ht="24.95" customHeight="1">
      <c r="C22" s="50" t="str">
        <f>'INTERVIEWS SUMMARY'!F22</f>
        <v xml:space="preserve">Limited EV charging stations </v>
      </c>
      <c r="D22" s="53" t="s">
        <v>147</v>
      </c>
      <c r="E22" s="67">
        <v>3</v>
      </c>
      <c r="F22" s="68" t="s">
        <v>147</v>
      </c>
      <c r="G22" s="67">
        <v>2</v>
      </c>
      <c r="H22" s="68" t="s">
        <v>147</v>
      </c>
      <c r="I22" s="67">
        <v>3</v>
      </c>
      <c r="J22" s="56">
        <f t="shared" si="0"/>
        <v>17</v>
      </c>
    </row>
    <row r="23" spans="2:10" ht="24.95" customHeight="1">
      <c r="C23" s="50" t="str">
        <f>'INTERVIEWS SUMMARY'!F23</f>
        <v>Poor post-pandemic health safeguards (e.g., air quality)</v>
      </c>
      <c r="D23" s="53" t="s">
        <v>147</v>
      </c>
      <c r="E23" s="67">
        <v>4</v>
      </c>
      <c r="F23" s="68" t="s">
        <v>147</v>
      </c>
      <c r="G23" s="67">
        <v>5</v>
      </c>
      <c r="H23" s="68" t="s">
        <v>147</v>
      </c>
      <c r="I23" s="67">
        <v>4</v>
      </c>
      <c r="J23" s="56">
        <f t="shared" si="0"/>
        <v>25</v>
      </c>
    </row>
    <row r="24" spans="2:10" ht="24.95" customHeight="1">
      <c r="C24" s="50" t="str">
        <f>'INTERVIEWS SUMMARY'!F24</f>
        <v>No access to tenant networking communities</v>
      </c>
      <c r="D24" s="53" t="s">
        <v>147</v>
      </c>
      <c r="E24" s="67">
        <v>3</v>
      </c>
      <c r="F24" s="68" t="s">
        <v>147</v>
      </c>
      <c r="G24" s="67">
        <v>2</v>
      </c>
      <c r="H24" s="68" t="s">
        <v>147</v>
      </c>
      <c r="I24" s="67">
        <v>3</v>
      </c>
      <c r="J24" s="56">
        <f t="shared" si="0"/>
        <v>17</v>
      </c>
    </row>
    <row r="25" spans="2:10" ht="15" customHeight="1">
      <c r="B25" s="12"/>
      <c r="C25" s="50" t="str">
        <f>'INTERVIEWS SUMMARY'!F25</f>
        <v>Limited cultural/recreational spaces (e.g., rooftop lounges)</v>
      </c>
      <c r="D25" s="53" t="s">
        <v>147</v>
      </c>
      <c r="E25" s="67">
        <v>2</v>
      </c>
      <c r="F25" s="68" t="s">
        <v>147</v>
      </c>
      <c r="G25" s="67">
        <v>3</v>
      </c>
      <c r="H25" s="68" t="s">
        <v>147</v>
      </c>
      <c r="I25" s="67">
        <v>2</v>
      </c>
      <c r="J25" s="56">
        <f t="shared" ref="J25:J26" si="1">E25*2+G25+I25*3</f>
        <v>13</v>
      </c>
    </row>
    <row r="26" spans="2:10" ht="36.6" customHeight="1">
      <c r="B26" s="12"/>
      <c r="C26" s="51" t="str">
        <f>'INTERVIEWS SUMMARY'!F26</f>
        <v>No bundled services (cleaning, utilities)</v>
      </c>
      <c r="D26" s="54" t="s">
        <v>147</v>
      </c>
      <c r="E26" s="71">
        <v>3</v>
      </c>
      <c r="F26" s="70" t="s">
        <v>147</v>
      </c>
      <c r="G26" s="71">
        <v>4</v>
      </c>
      <c r="H26" s="70" t="s">
        <v>147</v>
      </c>
      <c r="I26" s="71">
        <v>3</v>
      </c>
      <c r="J26" s="57">
        <f t="shared" si="1"/>
        <v>19</v>
      </c>
    </row>
    <row r="27" spans="2:10">
      <c r="D27" s="12"/>
      <c r="F27" s="64"/>
      <c r="H27" s="64"/>
    </row>
    <row r="28" spans="2:10">
      <c r="D28" s="12"/>
      <c r="F28" s="64"/>
      <c r="H28" s="64"/>
    </row>
    <row r="29" spans="2:10">
      <c r="D29" s="12"/>
      <c r="F29" s="64"/>
      <c r="H29" s="64"/>
    </row>
    <row r="30" spans="2:10">
      <c r="D30" s="12"/>
      <c r="F30" s="64"/>
      <c r="H30" s="64"/>
    </row>
    <row r="31" spans="2:10">
      <c r="D31" s="12"/>
      <c r="F31" s="64"/>
      <c r="H31" s="64"/>
    </row>
    <row r="32" spans="2:10">
      <c r="D32" s="12"/>
      <c r="F32" s="64"/>
      <c r="H32" s="64"/>
    </row>
    <row r="33" spans="4:8">
      <c r="D33" s="12"/>
      <c r="F33" s="64"/>
      <c r="H33" s="64"/>
    </row>
    <row r="34" spans="4:8">
      <c r="D34" s="12"/>
      <c r="F34" s="64"/>
      <c r="H34" s="64"/>
    </row>
    <row r="35" spans="4:8">
      <c r="D35" s="12"/>
      <c r="F35" s="64"/>
      <c r="H35" s="64"/>
    </row>
    <row r="36" spans="4:8">
      <c r="D36" s="12"/>
      <c r="F36" s="64"/>
      <c r="H36" s="64"/>
    </row>
    <row r="37" spans="4:8">
      <c r="D37" s="12"/>
      <c r="F37" s="64"/>
      <c r="H37" s="64"/>
    </row>
    <row r="38" spans="4:8">
      <c r="D38" s="12"/>
      <c r="F38" s="64"/>
      <c r="H38" s="64"/>
    </row>
    <row r="39" spans="4:8">
      <c r="D39" s="12"/>
      <c r="F39" s="64"/>
      <c r="H39" s="64"/>
    </row>
    <row r="40" spans="4:8">
      <c r="D40" s="12"/>
      <c r="F40" s="64"/>
      <c r="H40" s="64"/>
    </row>
  </sheetData>
  <conditionalFormatting sqref="J5:J26">
    <cfRule type="colorScale" priority="2">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4E954-F824-1A4E-B6B0-28518B0AB619}">
  <sheetPr>
    <tabColor theme="0"/>
  </sheetPr>
  <dimension ref="A1:J40"/>
  <sheetViews>
    <sheetView topLeftCell="A10" zoomScaleNormal="100" workbookViewId="0">
      <selection activeCell="C5" sqref="C5:I24"/>
    </sheetView>
  </sheetViews>
  <sheetFormatPr defaultColWidth="9.140625" defaultRowHeight="15"/>
  <cols>
    <col min="1" max="1" width="9.140625" style="7"/>
    <col min="2" max="2" width="3.140625" style="11" customWidth="1"/>
    <col min="3" max="3" width="68.85546875" style="12" customWidth="1"/>
    <col min="4" max="4" width="4.140625" style="14" bestFit="1" customWidth="1"/>
    <col min="5" max="5" width="14.7109375" style="64" customWidth="1"/>
    <col min="6" max="6" width="4.140625" style="65" bestFit="1" customWidth="1"/>
    <col min="7" max="7" width="18" style="64" customWidth="1"/>
    <col min="8" max="8" width="4.140625" style="65" bestFit="1" customWidth="1"/>
    <col min="9" max="9" width="14.7109375" style="64" customWidth="1"/>
    <col min="10" max="10" width="12" style="12" bestFit="1" customWidth="1"/>
    <col min="11" max="16384" width="9.140625" style="12"/>
  </cols>
  <sheetData>
    <row r="1" spans="1:10" s="9" customFormat="1" ht="57.6" customHeight="1">
      <c r="A1" s="7"/>
      <c r="B1" s="8"/>
      <c r="C1" s="5" t="s">
        <v>148</v>
      </c>
      <c r="D1" s="10"/>
      <c r="E1" s="58"/>
      <c r="F1" s="59"/>
      <c r="G1" s="60"/>
      <c r="H1" s="59"/>
      <c r="I1" s="60"/>
    </row>
    <row r="2" spans="1:10" s="11" customFormat="1" ht="86.1" customHeight="1">
      <c r="A2" s="7"/>
      <c r="C2" s="43"/>
      <c r="D2" s="44"/>
      <c r="E2" s="61"/>
      <c r="F2" s="62"/>
      <c r="G2" s="63"/>
      <c r="H2" s="62"/>
      <c r="I2" s="63"/>
    </row>
    <row r="4" spans="1:10" ht="40.35" customHeight="1">
      <c r="C4" s="39" t="s">
        <v>149</v>
      </c>
      <c r="D4" s="36" t="s">
        <v>140</v>
      </c>
      <c r="E4" s="72" t="s">
        <v>141</v>
      </c>
      <c r="F4" s="36" t="s">
        <v>142</v>
      </c>
      <c r="G4" s="72" t="s">
        <v>143</v>
      </c>
      <c r="H4" s="36" t="s">
        <v>144</v>
      </c>
      <c r="I4" s="72" t="s">
        <v>145</v>
      </c>
      <c r="J4" s="13" t="s">
        <v>146</v>
      </c>
    </row>
    <row r="5" spans="1:10" ht="24.95" customHeight="1">
      <c r="C5" s="37" t="str">
        <f>'INTERVIEWS SUMMARY'!G5</f>
        <v>Serviced office with amenities and community</v>
      </c>
      <c r="D5" s="35" t="s">
        <v>147</v>
      </c>
      <c r="E5" s="74">
        <v>5</v>
      </c>
      <c r="F5" s="73" t="s">
        <v>147</v>
      </c>
      <c r="G5" s="74">
        <v>5</v>
      </c>
      <c r="H5" s="73" t="s">
        <v>147</v>
      </c>
      <c r="I5" s="74">
        <v>5</v>
      </c>
      <c r="J5" s="38">
        <f>E5*2+G5+I5*3</f>
        <v>30</v>
      </c>
    </row>
    <row r="6" spans="1:10" ht="24.95" customHeight="1">
      <c r="C6" s="37" t="str">
        <f>'INTERVIEWS SUMMARY'!G6</f>
        <v>Proximity to food/beverage services</v>
      </c>
      <c r="D6" s="35" t="s">
        <v>147</v>
      </c>
      <c r="E6" s="74">
        <v>3</v>
      </c>
      <c r="F6" s="73" t="s">
        <v>147</v>
      </c>
      <c r="G6" s="74">
        <v>4</v>
      </c>
      <c r="H6" s="73" t="s">
        <v>147</v>
      </c>
      <c r="I6" s="74">
        <v>4</v>
      </c>
      <c r="J6" s="38">
        <f t="shared" ref="J6:J24" si="0">E6*2+G6+I6*3</f>
        <v>22</v>
      </c>
    </row>
    <row r="7" spans="1:10" ht="24.95" customHeight="1">
      <c r="C7" s="37" t="str">
        <f>'INTERVIEWS SUMMARY'!G7</f>
        <v>Companionship and community interaction</v>
      </c>
      <c r="D7" s="35" t="s">
        <v>147</v>
      </c>
      <c r="E7" s="75">
        <v>4</v>
      </c>
      <c r="F7" s="73" t="s">
        <v>147</v>
      </c>
      <c r="G7" s="75">
        <v>5</v>
      </c>
      <c r="H7" s="73" t="s">
        <v>147</v>
      </c>
      <c r="I7" s="75">
        <v>4</v>
      </c>
      <c r="J7" s="38">
        <f t="shared" si="0"/>
        <v>25</v>
      </c>
    </row>
    <row r="8" spans="1:10" ht="24.95" customHeight="1">
      <c r="C8" s="37" t="str">
        <f>'INTERVIEWS SUMMARY'!G8</f>
        <v>Professional, well-decorated meeting spaces</v>
      </c>
      <c r="D8" s="35" t="s">
        <v>147</v>
      </c>
      <c r="E8" s="75">
        <v>5</v>
      </c>
      <c r="F8" s="73" t="s">
        <v>147</v>
      </c>
      <c r="G8" s="75">
        <v>3</v>
      </c>
      <c r="H8" s="73" t="s">
        <v>147</v>
      </c>
      <c r="I8" s="75">
        <v>5</v>
      </c>
      <c r="J8" s="38">
        <f t="shared" si="0"/>
        <v>28</v>
      </c>
    </row>
    <row r="9" spans="1:10" ht="24.95" customHeight="1">
      <c r="C9" s="37" t="str">
        <f>'INTERVIEWS SUMMARY'!G9</f>
        <v>Flexible lease terms and cost clarity</v>
      </c>
      <c r="D9" s="35" t="s">
        <v>147</v>
      </c>
      <c r="E9" s="75">
        <v>5</v>
      </c>
      <c r="F9" s="73" t="s">
        <v>147</v>
      </c>
      <c r="G9" s="75">
        <v>2</v>
      </c>
      <c r="H9" s="73" t="s">
        <v>147</v>
      </c>
      <c r="I9" s="75">
        <v>5</v>
      </c>
      <c r="J9" s="38">
        <f t="shared" si="0"/>
        <v>27</v>
      </c>
    </row>
    <row r="10" spans="1:10" ht="24.95" customHeight="1">
      <c r="C10" s="37" t="str">
        <f>'INTERVIEWS SUMMARY'!G10</f>
        <v>Secure, private workspace</v>
      </c>
      <c r="D10" s="35" t="s">
        <v>147</v>
      </c>
      <c r="E10" s="75">
        <v>4</v>
      </c>
      <c r="F10" s="73" t="s">
        <v>147</v>
      </c>
      <c r="G10" s="75">
        <v>5</v>
      </c>
      <c r="H10" s="73" t="s">
        <v>147</v>
      </c>
      <c r="I10" s="75">
        <v>4</v>
      </c>
      <c r="J10" s="38">
        <f t="shared" si="0"/>
        <v>25</v>
      </c>
    </row>
    <row r="11" spans="1:10" ht="24.95" customHeight="1">
      <c r="C11" s="37" t="str">
        <f>'INTERVIEWS SUMMARY'!G11</f>
        <v>Professional environment for branding</v>
      </c>
      <c r="D11" s="35" t="s">
        <v>147</v>
      </c>
      <c r="E11" s="75">
        <v>3</v>
      </c>
      <c r="F11" s="73" t="s">
        <v>147</v>
      </c>
      <c r="G11" s="75">
        <v>2</v>
      </c>
      <c r="H11" s="73" t="s">
        <v>147</v>
      </c>
      <c r="I11" s="75">
        <v>3</v>
      </c>
      <c r="J11" s="38">
        <f t="shared" si="0"/>
        <v>17</v>
      </c>
    </row>
    <row r="12" spans="1:10" ht="24.95" customHeight="1">
      <c r="C12" s="37" t="str">
        <f>'INTERVIEWS SUMMARY'!G12</f>
        <v>Separation of home/work</v>
      </c>
      <c r="D12" s="35" t="s">
        <v>147</v>
      </c>
      <c r="E12" s="75">
        <v>5</v>
      </c>
      <c r="F12" s="73" t="s">
        <v>147</v>
      </c>
      <c r="G12" s="75">
        <v>5</v>
      </c>
      <c r="H12" s="73" t="s">
        <v>147</v>
      </c>
      <c r="I12" s="75">
        <v>5</v>
      </c>
      <c r="J12" s="38">
        <f t="shared" si="0"/>
        <v>30</v>
      </c>
    </row>
    <row r="13" spans="1:10" ht="24.95" customHeight="1">
      <c r="C13" s="37" t="str">
        <f>'INTERVIEWS SUMMARY'!G13</f>
        <v>Accessible location with parking</v>
      </c>
      <c r="D13" s="35" t="s">
        <v>147</v>
      </c>
      <c r="E13" s="75">
        <v>4</v>
      </c>
      <c r="F13" s="73" t="s">
        <v>147</v>
      </c>
      <c r="G13" s="75">
        <v>5</v>
      </c>
      <c r="H13" s="73" t="s">
        <v>147</v>
      </c>
      <c r="I13" s="75">
        <v>4</v>
      </c>
      <c r="J13" s="38">
        <f t="shared" si="0"/>
        <v>25</v>
      </c>
    </row>
    <row r="14" spans="1:10" ht="24.95" customHeight="1">
      <c r="C14" s="37" t="str">
        <f>'INTERVIEWS SUMMARY'!G14</f>
        <v>Plug-and-play office setup</v>
      </c>
      <c r="D14" s="35" t="s">
        <v>147</v>
      </c>
      <c r="E14" s="75">
        <v>5</v>
      </c>
      <c r="F14" s="73" t="s">
        <v>147</v>
      </c>
      <c r="G14" s="75">
        <v>1</v>
      </c>
      <c r="H14" s="73" t="s">
        <v>147</v>
      </c>
      <c r="I14" s="75">
        <v>5</v>
      </c>
      <c r="J14" s="38">
        <f t="shared" si="0"/>
        <v>26</v>
      </c>
    </row>
    <row r="15" spans="1:10" ht="24.95" customHeight="1">
      <c r="C15" s="37" t="str">
        <f>'INTERVIEWS SUMMARY'!G15</f>
        <v>Affordable scalability</v>
      </c>
      <c r="D15" s="35" t="s">
        <v>147</v>
      </c>
      <c r="E15" s="75">
        <v>5</v>
      </c>
      <c r="F15" s="73" t="s">
        <v>147</v>
      </c>
      <c r="G15" s="75">
        <v>5</v>
      </c>
      <c r="H15" s="73" t="s">
        <v>147</v>
      </c>
      <c r="I15" s="75">
        <v>5</v>
      </c>
      <c r="J15" s="38">
        <f t="shared" si="0"/>
        <v>30</v>
      </c>
    </row>
    <row r="16" spans="1:10" ht="24.95" customHeight="1">
      <c r="C16" s="37" t="str">
        <f>'INTERVIEWS SUMMARY'!G16</f>
        <v>Strong IT infrastructure and modern amenities</v>
      </c>
      <c r="D16" s="35" t="s">
        <v>147</v>
      </c>
      <c r="E16" s="75">
        <v>5</v>
      </c>
      <c r="F16" s="73" t="s">
        <v>147</v>
      </c>
      <c r="G16" s="75">
        <v>5</v>
      </c>
      <c r="H16" s="73" t="s">
        <v>147</v>
      </c>
      <c r="I16" s="75">
        <v>5</v>
      </c>
      <c r="J16" s="38">
        <f t="shared" si="0"/>
        <v>30</v>
      </c>
    </row>
    <row r="17" spans="2:10" ht="24.95" customHeight="1">
      <c r="C17" s="37" t="str">
        <f>'INTERVIEWS SUMMARY'!G17</f>
        <v>Proximity to shopping malls/services</v>
      </c>
      <c r="D17" s="35" t="s">
        <v>147</v>
      </c>
      <c r="E17" s="75">
        <v>3</v>
      </c>
      <c r="F17" s="73" t="s">
        <v>147</v>
      </c>
      <c r="G17" s="75">
        <v>3</v>
      </c>
      <c r="H17" s="73" t="s">
        <v>147</v>
      </c>
      <c r="I17" s="75">
        <v>3</v>
      </c>
      <c r="J17" s="38">
        <f t="shared" si="0"/>
        <v>18</v>
      </c>
    </row>
    <row r="18" spans="2:10" ht="24.95" customHeight="1">
      <c r="C18" s="37" t="str">
        <f>'INTERVIEWS SUMMARY'!G18</f>
        <v>Tailored operating hours</v>
      </c>
      <c r="D18" s="35" t="s">
        <v>147</v>
      </c>
      <c r="E18" s="75">
        <v>4</v>
      </c>
      <c r="F18" s="73" t="s">
        <v>147</v>
      </c>
      <c r="G18" s="75">
        <v>4</v>
      </c>
      <c r="H18" s="73" t="s">
        <v>147</v>
      </c>
      <c r="I18" s="75">
        <v>4</v>
      </c>
      <c r="J18" s="38">
        <f t="shared" si="0"/>
        <v>24</v>
      </c>
    </row>
    <row r="19" spans="2:10" ht="24.95" customHeight="1">
      <c r="C19" s="37" t="str">
        <f>'INTERVIEWS SUMMARY'!G19</f>
        <v>Align with corporate ESG goals</v>
      </c>
      <c r="D19" s="35" t="s">
        <v>147</v>
      </c>
      <c r="E19" s="75">
        <v>4</v>
      </c>
      <c r="F19" s="73" t="s">
        <v>147</v>
      </c>
      <c r="G19" s="75">
        <v>2</v>
      </c>
      <c r="H19" s="73" t="s">
        <v>147</v>
      </c>
      <c r="I19" s="75">
        <v>4</v>
      </c>
      <c r="J19" s="38">
        <f t="shared" si="0"/>
        <v>22</v>
      </c>
    </row>
    <row r="20" spans="2:10" ht="24.95" customHeight="1">
      <c r="C20" s="37" t="str">
        <f>'INTERVIEWS SUMMARY'!G20</f>
        <v>Future-proof workspaces</v>
      </c>
      <c r="D20" s="35" t="s">
        <v>147</v>
      </c>
      <c r="E20" s="75">
        <v>5</v>
      </c>
      <c r="F20" s="73" t="s">
        <v>147</v>
      </c>
      <c r="G20" s="75">
        <v>2</v>
      </c>
      <c r="H20" s="73" t="s">
        <v>147</v>
      </c>
      <c r="I20" s="75">
        <v>5</v>
      </c>
      <c r="J20" s="38">
        <f t="shared" si="0"/>
        <v>27</v>
      </c>
    </row>
    <row r="21" spans="2:10" ht="24.95" customHeight="1">
      <c r="C21" s="37" t="str">
        <f>'INTERVIEWS SUMMARY'!G21</f>
        <v>Dynamic space adjustments</v>
      </c>
      <c r="D21" s="35" t="s">
        <v>147</v>
      </c>
      <c r="E21" s="75">
        <v>4</v>
      </c>
      <c r="F21" s="73" t="s">
        <v>147</v>
      </c>
      <c r="G21" s="75">
        <v>3</v>
      </c>
      <c r="H21" s="73" t="s">
        <v>147</v>
      </c>
      <c r="I21" s="75">
        <v>4</v>
      </c>
      <c r="J21" s="38">
        <f t="shared" si="0"/>
        <v>23</v>
      </c>
    </row>
    <row r="22" spans="2:10" ht="24.95" customHeight="1">
      <c r="C22" s="37" t="str">
        <f>'INTERVIEWS SUMMARY'!G22</f>
        <v>Support green commuting</v>
      </c>
      <c r="D22" s="35" t="s">
        <v>147</v>
      </c>
      <c r="E22" s="75">
        <v>3</v>
      </c>
      <c r="F22" s="73" t="s">
        <v>147</v>
      </c>
      <c r="G22" s="75">
        <v>2</v>
      </c>
      <c r="H22" s="73" t="s">
        <v>147</v>
      </c>
      <c r="I22" s="75">
        <v>3</v>
      </c>
      <c r="J22" s="38">
        <f t="shared" si="0"/>
        <v>17</v>
      </c>
    </row>
    <row r="23" spans="2:10" ht="24.95" customHeight="1">
      <c r="C23" s="37" t="str">
        <f>'INTERVIEWS SUMMARY'!G23</f>
        <v>Employee health and safety</v>
      </c>
      <c r="D23" s="35" t="s">
        <v>147</v>
      </c>
      <c r="E23" s="75">
        <v>5</v>
      </c>
      <c r="F23" s="73" t="s">
        <v>147</v>
      </c>
      <c r="G23" s="75">
        <v>5</v>
      </c>
      <c r="H23" s="73" t="s">
        <v>147</v>
      </c>
      <c r="I23" s="75">
        <v>5</v>
      </c>
      <c r="J23" s="38">
        <f t="shared" si="0"/>
        <v>30</v>
      </c>
    </row>
    <row r="24" spans="2:10" ht="24.95" customHeight="1">
      <c r="C24" s="76" t="str">
        <f>'INTERVIEWS SUMMARY'!G24</f>
        <v>Collaboration opportunities</v>
      </c>
      <c r="D24" s="47" t="s">
        <v>147</v>
      </c>
      <c r="E24" s="69">
        <v>3</v>
      </c>
      <c r="F24" s="77" t="s">
        <v>147</v>
      </c>
      <c r="G24" s="69">
        <v>3</v>
      </c>
      <c r="H24" s="77" t="s">
        <v>147</v>
      </c>
      <c r="I24" s="69">
        <v>3</v>
      </c>
      <c r="J24" s="78">
        <f t="shared" si="0"/>
        <v>18</v>
      </c>
    </row>
    <row r="25" spans="2:10" ht="15" customHeight="1">
      <c r="B25" s="12"/>
      <c r="D25" s="12"/>
      <c r="F25" s="64"/>
      <c r="H25" s="64"/>
    </row>
    <row r="26" spans="2:10" ht="36.6" customHeight="1">
      <c r="B26" s="12"/>
      <c r="D26" s="12"/>
      <c r="F26" s="64"/>
      <c r="H26" s="64"/>
    </row>
    <row r="27" spans="2:10">
      <c r="D27" s="12"/>
      <c r="F27" s="64"/>
      <c r="H27" s="64"/>
    </row>
    <row r="28" spans="2:10">
      <c r="D28" s="12"/>
      <c r="F28" s="64"/>
      <c r="H28" s="64"/>
    </row>
    <row r="29" spans="2:10">
      <c r="D29" s="12"/>
      <c r="F29" s="64"/>
      <c r="H29" s="64"/>
    </row>
    <row r="30" spans="2:10">
      <c r="D30" s="12"/>
      <c r="F30" s="64"/>
      <c r="H30" s="64"/>
    </row>
    <row r="31" spans="2:10">
      <c r="D31" s="12"/>
      <c r="F31" s="64"/>
      <c r="H31" s="64"/>
    </row>
    <row r="32" spans="2:10">
      <c r="D32" s="12"/>
      <c r="F32" s="64"/>
      <c r="H32" s="64"/>
    </row>
    <row r="33" spans="4:8">
      <c r="D33" s="12"/>
      <c r="F33" s="64"/>
      <c r="H33" s="64"/>
    </row>
    <row r="34" spans="4:8">
      <c r="D34" s="12"/>
      <c r="F34" s="64"/>
      <c r="H34" s="64"/>
    </row>
    <row r="35" spans="4:8">
      <c r="D35" s="12"/>
      <c r="F35" s="64"/>
      <c r="H35" s="64"/>
    </row>
    <row r="36" spans="4:8">
      <c r="D36" s="12"/>
      <c r="F36" s="64"/>
      <c r="H36" s="64"/>
    </row>
    <row r="37" spans="4:8">
      <c r="D37" s="12"/>
      <c r="F37" s="64"/>
      <c r="H37" s="64"/>
    </row>
    <row r="38" spans="4:8">
      <c r="D38" s="12"/>
      <c r="F38" s="64"/>
      <c r="H38" s="64"/>
    </row>
    <row r="39" spans="4:8">
      <c r="D39" s="12"/>
      <c r="F39" s="64"/>
      <c r="H39" s="64"/>
    </row>
    <row r="40" spans="4:8">
      <c r="D40" s="12"/>
      <c r="F40" s="64"/>
      <c r="H40" s="64"/>
    </row>
  </sheetData>
  <conditionalFormatting sqref="J5:J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07FC-F45A-C347-B861-6DC3B98871BD}">
  <sheetPr>
    <tabColor theme="0"/>
  </sheetPr>
  <dimension ref="A1:J40"/>
  <sheetViews>
    <sheetView tabSelected="1" topLeftCell="A13" zoomScaleNormal="100" workbookViewId="0">
      <selection activeCell="C24" sqref="C24:I26"/>
    </sheetView>
  </sheetViews>
  <sheetFormatPr defaultColWidth="9.140625" defaultRowHeight="15"/>
  <cols>
    <col min="1" max="1" width="9.140625" style="7"/>
    <col min="2" max="2" width="3.140625" style="11" customWidth="1"/>
    <col min="3" max="3" width="68.85546875" style="12" customWidth="1"/>
    <col min="4" max="4" width="4.140625" style="14" bestFit="1" customWidth="1"/>
    <col min="5" max="5" width="14.7109375" style="64" customWidth="1"/>
    <col min="6" max="6" width="4.140625" style="65" bestFit="1" customWidth="1"/>
    <col min="7" max="7" width="18" style="64" customWidth="1"/>
    <col min="8" max="8" width="4.140625" style="65" bestFit="1" customWidth="1"/>
    <col min="9" max="9" width="14.7109375" style="64" customWidth="1"/>
    <col min="10" max="10" width="12" style="12" bestFit="1" customWidth="1"/>
    <col min="11" max="16384" width="9.140625" style="12"/>
  </cols>
  <sheetData>
    <row r="1" spans="1:10" s="9" customFormat="1" ht="57.6" customHeight="1">
      <c r="A1" s="7"/>
      <c r="B1" s="8"/>
      <c r="C1" s="5" t="s">
        <v>150</v>
      </c>
      <c r="D1" s="10"/>
      <c r="E1" s="58"/>
      <c r="F1" s="59"/>
      <c r="G1" s="60"/>
      <c r="H1" s="59"/>
      <c r="I1" s="60"/>
    </row>
    <row r="2" spans="1:10" s="11" customFormat="1" ht="81" customHeight="1">
      <c r="A2" s="7"/>
      <c r="C2" s="43"/>
      <c r="D2" s="44"/>
      <c r="E2" s="61"/>
      <c r="F2" s="62"/>
      <c r="G2" s="63"/>
      <c r="H2" s="62"/>
      <c r="I2" s="63"/>
    </row>
    <row r="4" spans="1:10" ht="40.35" customHeight="1">
      <c r="C4" s="80" t="s">
        <v>151</v>
      </c>
      <c r="D4" s="45" t="s">
        <v>140</v>
      </c>
      <c r="E4" s="81" t="s">
        <v>141</v>
      </c>
      <c r="F4" s="45" t="s">
        <v>142</v>
      </c>
      <c r="G4" s="81" t="s">
        <v>143</v>
      </c>
      <c r="H4" s="45" t="s">
        <v>144</v>
      </c>
      <c r="I4" s="81" t="s">
        <v>145</v>
      </c>
      <c r="J4" s="82" t="s">
        <v>146</v>
      </c>
    </row>
    <row r="5" spans="1:10" ht="24.95" customHeight="1">
      <c r="C5" s="37" t="s">
        <v>53</v>
      </c>
      <c r="D5" s="35" t="s">
        <v>147</v>
      </c>
      <c r="E5" s="74">
        <v>5</v>
      </c>
      <c r="F5" s="73" t="s">
        <v>147</v>
      </c>
      <c r="G5" s="74">
        <v>5</v>
      </c>
      <c r="H5" s="73" t="s">
        <v>147</v>
      </c>
      <c r="I5" s="74">
        <v>5</v>
      </c>
      <c r="J5" s="79">
        <f>E5*2+G5+I5*3</f>
        <v>30</v>
      </c>
    </row>
    <row r="6" spans="1:10" ht="24.95" customHeight="1">
      <c r="C6" s="37" t="s">
        <v>152</v>
      </c>
      <c r="D6" s="35" t="s">
        <v>147</v>
      </c>
      <c r="E6" s="74">
        <v>5</v>
      </c>
      <c r="F6" s="73" t="s">
        <v>147</v>
      </c>
      <c r="G6" s="74">
        <v>5</v>
      </c>
      <c r="H6" s="73" t="s">
        <v>147</v>
      </c>
      <c r="I6" s="74">
        <v>5</v>
      </c>
      <c r="J6" s="46">
        <f t="shared" ref="J6:J26" si="0">E6*2+G6+I6*3</f>
        <v>30</v>
      </c>
    </row>
    <row r="7" spans="1:10" ht="24.95" customHeight="1">
      <c r="C7" s="37" t="s">
        <v>153</v>
      </c>
      <c r="D7" s="35" t="s">
        <v>147</v>
      </c>
      <c r="E7" s="75">
        <v>5</v>
      </c>
      <c r="F7" s="73" t="s">
        <v>147</v>
      </c>
      <c r="G7" s="75">
        <v>5</v>
      </c>
      <c r="H7" s="73" t="s">
        <v>147</v>
      </c>
      <c r="I7" s="75">
        <v>5</v>
      </c>
      <c r="J7" s="46">
        <f t="shared" si="0"/>
        <v>30</v>
      </c>
    </row>
    <row r="8" spans="1:10" ht="24.95" customHeight="1">
      <c r="C8" s="37" t="s">
        <v>42</v>
      </c>
      <c r="D8" s="35" t="s">
        <v>147</v>
      </c>
      <c r="E8" s="75">
        <v>5</v>
      </c>
      <c r="F8" s="73" t="s">
        <v>147</v>
      </c>
      <c r="G8" s="75">
        <v>5</v>
      </c>
      <c r="H8" s="73" t="s">
        <v>147</v>
      </c>
      <c r="I8" s="75">
        <v>5</v>
      </c>
      <c r="J8" s="46">
        <f t="shared" si="0"/>
        <v>30</v>
      </c>
    </row>
    <row r="9" spans="1:10" ht="24.95" customHeight="1">
      <c r="C9" s="37" t="s">
        <v>154</v>
      </c>
      <c r="D9" s="35" t="s">
        <v>147</v>
      </c>
      <c r="E9" s="75">
        <v>5</v>
      </c>
      <c r="F9" s="73" t="s">
        <v>147</v>
      </c>
      <c r="G9" s="75">
        <v>5</v>
      </c>
      <c r="H9" s="73" t="s">
        <v>147</v>
      </c>
      <c r="I9" s="75">
        <v>5</v>
      </c>
      <c r="J9" s="46">
        <f t="shared" si="0"/>
        <v>30</v>
      </c>
    </row>
    <row r="10" spans="1:10" ht="24.95" customHeight="1">
      <c r="C10" s="37" t="s">
        <v>116</v>
      </c>
      <c r="D10" s="35" t="s">
        <v>147</v>
      </c>
      <c r="E10" s="75">
        <v>5</v>
      </c>
      <c r="F10" s="73" t="s">
        <v>147</v>
      </c>
      <c r="G10" s="75">
        <v>5</v>
      </c>
      <c r="H10" s="73" t="s">
        <v>147</v>
      </c>
      <c r="I10" s="75">
        <v>5</v>
      </c>
      <c r="J10" s="46">
        <f t="shared" si="0"/>
        <v>30</v>
      </c>
    </row>
    <row r="11" spans="1:10" ht="24.95" customHeight="1">
      <c r="C11" s="37" t="s">
        <v>134</v>
      </c>
      <c r="D11" s="35" t="s">
        <v>147</v>
      </c>
      <c r="E11" s="75">
        <v>5</v>
      </c>
      <c r="F11" s="73" t="s">
        <v>147</v>
      </c>
      <c r="G11" s="75">
        <v>5</v>
      </c>
      <c r="H11" s="73" t="s">
        <v>147</v>
      </c>
      <c r="I11" s="75">
        <v>5</v>
      </c>
      <c r="J11" s="46">
        <f t="shared" si="0"/>
        <v>30</v>
      </c>
    </row>
    <row r="12" spans="1:10" ht="24.95" customHeight="1">
      <c r="C12" s="37" t="s">
        <v>155</v>
      </c>
      <c r="D12" s="35" t="s">
        <v>147</v>
      </c>
      <c r="E12" s="75">
        <v>5</v>
      </c>
      <c r="F12" s="73" t="s">
        <v>147</v>
      </c>
      <c r="G12" s="75">
        <v>5</v>
      </c>
      <c r="H12" s="73" t="s">
        <v>147</v>
      </c>
      <c r="I12" s="75">
        <v>5</v>
      </c>
      <c r="J12" s="46">
        <f t="shared" si="0"/>
        <v>30</v>
      </c>
    </row>
    <row r="13" spans="1:10" ht="24.95" customHeight="1">
      <c r="C13" s="37" t="s">
        <v>31</v>
      </c>
      <c r="D13" s="35" t="s">
        <v>147</v>
      </c>
      <c r="E13" s="75">
        <v>5</v>
      </c>
      <c r="F13" s="73" t="s">
        <v>147</v>
      </c>
      <c r="G13" s="75">
        <v>5</v>
      </c>
      <c r="H13" s="73" t="s">
        <v>147</v>
      </c>
      <c r="I13" s="75">
        <v>5</v>
      </c>
      <c r="J13" s="46">
        <f t="shared" si="0"/>
        <v>30</v>
      </c>
    </row>
    <row r="14" spans="1:10" ht="24.95" customHeight="1">
      <c r="C14" s="37" t="s">
        <v>156</v>
      </c>
      <c r="D14" s="35" t="s">
        <v>147</v>
      </c>
      <c r="E14" s="75">
        <v>5</v>
      </c>
      <c r="F14" s="73" t="s">
        <v>147</v>
      </c>
      <c r="G14" s="75">
        <v>3</v>
      </c>
      <c r="H14" s="73" t="s">
        <v>147</v>
      </c>
      <c r="I14" s="75">
        <v>5</v>
      </c>
      <c r="J14" s="46">
        <f t="shared" si="0"/>
        <v>28</v>
      </c>
    </row>
    <row r="15" spans="1:10" ht="24.95" customHeight="1">
      <c r="C15" s="37" t="s">
        <v>104</v>
      </c>
      <c r="D15" s="35" t="s">
        <v>147</v>
      </c>
      <c r="E15" s="75">
        <v>5</v>
      </c>
      <c r="F15" s="73" t="s">
        <v>147</v>
      </c>
      <c r="G15" s="75">
        <v>4</v>
      </c>
      <c r="H15" s="73" t="s">
        <v>147</v>
      </c>
      <c r="I15" s="75">
        <v>5</v>
      </c>
      <c r="J15" s="46">
        <f t="shared" si="0"/>
        <v>29</v>
      </c>
    </row>
    <row r="16" spans="1:10" ht="24.95" customHeight="1">
      <c r="C16" s="37" t="s">
        <v>157</v>
      </c>
      <c r="D16" s="35" t="s">
        <v>147</v>
      </c>
      <c r="E16" s="75">
        <v>5</v>
      </c>
      <c r="F16" s="73" t="s">
        <v>147</v>
      </c>
      <c r="G16" s="75">
        <v>4</v>
      </c>
      <c r="H16" s="73" t="s">
        <v>147</v>
      </c>
      <c r="I16" s="75">
        <v>5</v>
      </c>
      <c r="J16" s="46">
        <f t="shared" si="0"/>
        <v>29</v>
      </c>
    </row>
    <row r="17" spans="2:10" ht="24.95" customHeight="1">
      <c r="C17" s="37" t="s">
        <v>59</v>
      </c>
      <c r="D17" s="35" t="s">
        <v>147</v>
      </c>
      <c r="E17" s="75">
        <v>4</v>
      </c>
      <c r="F17" s="73" t="s">
        <v>147</v>
      </c>
      <c r="G17" s="75">
        <v>5</v>
      </c>
      <c r="H17" s="73" t="s">
        <v>147</v>
      </c>
      <c r="I17" s="75">
        <v>4</v>
      </c>
      <c r="J17" s="46">
        <f t="shared" si="0"/>
        <v>25</v>
      </c>
    </row>
    <row r="18" spans="2:10" ht="24.95" customHeight="1">
      <c r="C18" s="37" t="s">
        <v>48</v>
      </c>
      <c r="D18" s="35" t="s">
        <v>147</v>
      </c>
      <c r="E18" s="75">
        <v>4</v>
      </c>
      <c r="F18" s="73" t="s">
        <v>147</v>
      </c>
      <c r="G18" s="75">
        <v>4</v>
      </c>
      <c r="H18" s="73" t="s">
        <v>147</v>
      </c>
      <c r="I18" s="75">
        <v>4</v>
      </c>
      <c r="J18" s="46">
        <f t="shared" si="0"/>
        <v>24</v>
      </c>
    </row>
    <row r="19" spans="2:10" ht="24.95" customHeight="1">
      <c r="C19" s="37" t="s">
        <v>158</v>
      </c>
      <c r="D19" s="35" t="s">
        <v>147</v>
      </c>
      <c r="E19" s="75">
        <v>4</v>
      </c>
      <c r="F19" s="73" t="s">
        <v>147</v>
      </c>
      <c r="G19" s="75">
        <v>3</v>
      </c>
      <c r="H19" s="73" t="s">
        <v>147</v>
      </c>
      <c r="I19" s="75">
        <v>4</v>
      </c>
      <c r="J19" s="46">
        <f t="shared" si="0"/>
        <v>23</v>
      </c>
    </row>
    <row r="20" spans="2:10" ht="24.95" customHeight="1">
      <c r="C20" s="37" t="s">
        <v>159</v>
      </c>
      <c r="D20" s="35" t="s">
        <v>147</v>
      </c>
      <c r="E20" s="75">
        <v>4</v>
      </c>
      <c r="F20" s="73" t="s">
        <v>147</v>
      </c>
      <c r="G20" s="75">
        <v>5</v>
      </c>
      <c r="H20" s="73" t="s">
        <v>147</v>
      </c>
      <c r="I20" s="75">
        <v>4</v>
      </c>
      <c r="J20" s="46">
        <f t="shared" si="0"/>
        <v>25</v>
      </c>
    </row>
    <row r="21" spans="2:10" ht="24.95" customHeight="1">
      <c r="C21" s="37" t="s">
        <v>25</v>
      </c>
      <c r="D21" s="35" t="s">
        <v>147</v>
      </c>
      <c r="E21" s="75">
        <v>4</v>
      </c>
      <c r="F21" s="73" t="s">
        <v>147</v>
      </c>
      <c r="G21" s="75">
        <v>4</v>
      </c>
      <c r="H21" s="73" t="s">
        <v>147</v>
      </c>
      <c r="I21" s="75">
        <v>4</v>
      </c>
      <c r="J21" s="46">
        <f t="shared" si="0"/>
        <v>24</v>
      </c>
    </row>
    <row r="22" spans="2:10" ht="24.95" customHeight="1">
      <c r="C22" s="37" t="s">
        <v>160</v>
      </c>
      <c r="D22" s="35" t="s">
        <v>147</v>
      </c>
      <c r="E22" s="75">
        <v>3</v>
      </c>
      <c r="F22" s="73" t="s">
        <v>147</v>
      </c>
      <c r="G22" s="75">
        <v>4</v>
      </c>
      <c r="H22" s="73" t="s">
        <v>147</v>
      </c>
      <c r="I22" s="75">
        <v>3</v>
      </c>
      <c r="J22" s="46">
        <f t="shared" si="0"/>
        <v>19</v>
      </c>
    </row>
    <row r="23" spans="2:10" ht="24.95" customHeight="1">
      <c r="C23" s="37" t="s">
        <v>82</v>
      </c>
      <c r="D23" s="35" t="s">
        <v>147</v>
      </c>
      <c r="E23" s="75">
        <v>4</v>
      </c>
      <c r="F23" s="73" t="s">
        <v>147</v>
      </c>
      <c r="G23" s="75">
        <v>5</v>
      </c>
      <c r="H23" s="73" t="s">
        <v>147</v>
      </c>
      <c r="I23" s="75">
        <v>4</v>
      </c>
      <c r="J23" s="46">
        <f t="shared" si="0"/>
        <v>25</v>
      </c>
    </row>
    <row r="24" spans="2:10" ht="24.95" customHeight="1">
      <c r="C24" s="76" t="s">
        <v>161</v>
      </c>
      <c r="D24" s="47" t="s">
        <v>147</v>
      </c>
      <c r="E24" s="69">
        <v>3</v>
      </c>
      <c r="F24" s="77" t="s">
        <v>147</v>
      </c>
      <c r="G24" s="69">
        <v>4</v>
      </c>
      <c r="H24" s="77" t="s">
        <v>147</v>
      </c>
      <c r="I24" s="69">
        <v>3</v>
      </c>
      <c r="J24" s="48">
        <f t="shared" si="0"/>
        <v>19</v>
      </c>
    </row>
    <row r="25" spans="2:10" ht="15" customHeight="1">
      <c r="B25" s="12"/>
      <c r="C25" s="37" t="s">
        <v>122</v>
      </c>
      <c r="D25" s="35"/>
      <c r="E25" s="74">
        <v>3</v>
      </c>
      <c r="F25" s="73"/>
      <c r="G25" s="74">
        <v>3</v>
      </c>
      <c r="H25" s="73"/>
      <c r="I25" s="74">
        <v>3</v>
      </c>
      <c r="J25" s="48">
        <f t="shared" si="0"/>
        <v>18</v>
      </c>
    </row>
    <row r="26" spans="2:10" ht="36.6" customHeight="1">
      <c r="B26" s="12"/>
      <c r="C26" s="37" t="s">
        <v>110</v>
      </c>
      <c r="D26" s="35"/>
      <c r="E26" s="74">
        <v>3</v>
      </c>
      <c r="F26" s="73"/>
      <c r="G26" s="74">
        <v>3</v>
      </c>
      <c r="H26" s="73"/>
      <c r="I26" s="74">
        <v>3</v>
      </c>
      <c r="J26" s="48">
        <f t="shared" si="0"/>
        <v>18</v>
      </c>
    </row>
    <row r="27" spans="2:10">
      <c r="D27" s="12"/>
      <c r="F27" s="64"/>
      <c r="H27" s="64"/>
    </row>
    <row r="28" spans="2:10">
      <c r="D28" s="12"/>
      <c r="F28" s="64"/>
      <c r="H28" s="64"/>
    </row>
    <row r="29" spans="2:10">
      <c r="D29" s="12"/>
      <c r="F29" s="64"/>
      <c r="H29" s="64"/>
    </row>
    <row r="30" spans="2:10">
      <c r="D30" s="12"/>
      <c r="F30" s="64"/>
      <c r="H30" s="64"/>
    </row>
    <row r="31" spans="2:10">
      <c r="D31" s="12"/>
      <c r="F31" s="64"/>
      <c r="H31" s="64"/>
    </row>
    <row r="32" spans="2:10">
      <c r="D32" s="12"/>
      <c r="F32" s="64"/>
      <c r="H32" s="64"/>
    </row>
    <row r="33" spans="4:8">
      <c r="D33" s="12"/>
      <c r="F33" s="64"/>
      <c r="H33" s="64"/>
    </row>
    <row r="34" spans="4:8">
      <c r="D34" s="12"/>
      <c r="F34" s="64"/>
      <c r="H34" s="64"/>
    </row>
    <row r="35" spans="4:8">
      <c r="D35" s="12"/>
      <c r="F35" s="64"/>
      <c r="H35" s="64"/>
    </row>
    <row r="36" spans="4:8">
      <c r="D36" s="12"/>
      <c r="F36" s="64"/>
      <c r="H36" s="64"/>
    </row>
    <row r="37" spans="4:8">
      <c r="D37" s="12"/>
      <c r="F37" s="64"/>
      <c r="H37" s="64"/>
    </row>
    <row r="38" spans="4:8">
      <c r="D38" s="12"/>
      <c r="F38" s="64"/>
      <c r="H38" s="64"/>
    </row>
    <row r="39" spans="4:8">
      <c r="D39" s="12"/>
      <c r="F39" s="64"/>
      <c r="H39" s="64"/>
    </row>
    <row r="40" spans="4:8">
      <c r="D40" s="12"/>
      <c r="F40" s="64"/>
      <c r="H40" s="64"/>
    </row>
  </sheetData>
  <conditionalFormatting sqref="J5:J2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7F81-2B00-6E4F-81DD-B0047AF1AD0F}">
  <sheetPr>
    <tabColor theme="0"/>
  </sheetPr>
  <dimension ref="A1:D29"/>
  <sheetViews>
    <sheetView topLeftCell="A9" zoomScaleNormal="100" workbookViewId="0">
      <selection activeCell="D18" sqref="D18"/>
    </sheetView>
  </sheetViews>
  <sheetFormatPr defaultColWidth="9.140625" defaultRowHeight="15"/>
  <cols>
    <col min="1" max="1" width="9.140625" style="1"/>
    <col min="2" max="2" width="3.85546875" style="4" customWidth="1"/>
    <col min="3" max="3" width="5.42578125" style="20" bestFit="1" customWidth="1"/>
    <col min="4" max="4" width="102.28515625" style="4" customWidth="1"/>
    <col min="5" max="16384" width="9.140625" style="4"/>
  </cols>
  <sheetData>
    <row r="1" spans="1:4" s="3" customFormat="1" ht="57.6" customHeight="1">
      <c r="A1" s="2"/>
      <c r="C1" s="5" t="s">
        <v>162</v>
      </c>
    </row>
    <row r="3" spans="1:4" ht="108.95" customHeight="1"/>
    <row r="4" spans="1:4" ht="40.35" customHeight="1">
      <c r="C4" s="15" t="s">
        <v>140</v>
      </c>
      <c r="D4" s="16" t="s">
        <v>163</v>
      </c>
    </row>
    <row r="5" spans="1:4" ht="136.5" customHeight="1">
      <c r="C5" s="17" t="s">
        <v>147</v>
      </c>
      <c r="D5" s="42" t="s">
        <v>164</v>
      </c>
    </row>
    <row r="6" spans="1:4" ht="35.1" customHeight="1">
      <c r="C6" s="15" t="s">
        <v>142</v>
      </c>
      <c r="D6" s="16" t="s">
        <v>165</v>
      </c>
    </row>
    <row r="7" spans="1:4" ht="35.1" customHeight="1">
      <c r="C7" s="18" t="s">
        <v>147</v>
      </c>
      <c r="D7" s="40" t="str">
        <f>'PAINS - PRIORITIZATION MATRIX'!C14</f>
        <v>High operational costs (e.g., fit-outs, utilities)</v>
      </c>
    </row>
    <row r="8" spans="1:4" ht="35.1" customHeight="1">
      <c r="C8" s="18" t="s">
        <v>147</v>
      </c>
      <c r="D8" s="40" t="str">
        <f>'PAINS - PRIORITIZATION MATRIX'!C20</f>
        <v>Lack of advanced tech infrastructure (e.g., IoT, smart building systems)</v>
      </c>
    </row>
    <row r="9" spans="1:4" ht="35.1" customHeight="1">
      <c r="C9" s="19" t="s">
        <v>147</v>
      </c>
      <c r="D9" s="40" t="str">
        <f>'PAINS - PRIORITIZATION MATRIX'!C12</f>
        <v>Work-life balance challenges</v>
      </c>
    </row>
    <row r="10" spans="1:4" ht="35.1" customHeight="1">
      <c r="C10" s="15" t="s">
        <v>144</v>
      </c>
      <c r="D10" s="16" t="s">
        <v>166</v>
      </c>
    </row>
    <row r="11" spans="1:4" ht="35.1" customHeight="1">
      <c r="C11" s="18" t="s">
        <v>147</v>
      </c>
      <c r="D11" s="40" t="str">
        <f>'NEEDS - PRIORITIZATION MATRIX'!C23</f>
        <v>Employee health and safety</v>
      </c>
    </row>
    <row r="12" spans="1:4" ht="35.1" customHeight="1">
      <c r="C12" s="18" t="s">
        <v>147</v>
      </c>
      <c r="D12" s="40" t="str">
        <f>'NEEDS - PRIORITIZATION MATRIX'!C16</f>
        <v>Strong IT infrastructure and modern amenities</v>
      </c>
    </row>
    <row r="13" spans="1:4" ht="35.1" customHeight="1">
      <c r="C13" s="19" t="s">
        <v>147</v>
      </c>
      <c r="D13" s="40" t="str">
        <f>'NEEDS - PRIORITIZATION MATRIX'!C15</f>
        <v>Affordable scalability</v>
      </c>
    </row>
    <row r="14" spans="1:4" ht="35.1" customHeight="1">
      <c r="C14" s="15" t="s">
        <v>167</v>
      </c>
      <c r="D14" s="16" t="s">
        <v>168</v>
      </c>
    </row>
    <row r="15" spans="1:4" ht="35.1" customHeight="1">
      <c r="C15" s="18" t="s">
        <v>147</v>
      </c>
      <c r="D15" s="40" t="str">
        <f>'GAINS - PRIORITIZATION MATRIX'!C5</f>
        <v>Improved productivity and well-being</v>
      </c>
    </row>
    <row r="16" spans="1:4" ht="35.1" customHeight="1">
      <c r="C16" s="18" t="s">
        <v>147</v>
      </c>
      <c r="D16" s="40" t="str">
        <f>'GAINS - PRIORITIZATION MATRIX'!C7</f>
        <v>Reduced operational costs and scalability</v>
      </c>
    </row>
    <row r="17" spans="2:4" ht="35.1" customHeight="1">
      <c r="C17" s="19" t="s">
        <v>147</v>
      </c>
      <c r="D17" s="41" t="str">
        <f>'GAINS - PRIORITIZATION MATRIX'!C12</f>
        <v>Access to flexible, well-designed workspaces</v>
      </c>
    </row>
    <row r="18" spans="2:4" ht="35.1" customHeight="1">
      <c r="C18" s="4"/>
    </row>
    <row r="19" spans="2:4" ht="35.1" customHeight="1">
      <c r="C19" s="4"/>
    </row>
    <row r="20" spans="2:4" ht="35.1" customHeight="1">
      <c r="C20" s="4"/>
    </row>
    <row r="21" spans="2:4" ht="30" customHeight="1">
      <c r="B21" s="6"/>
      <c r="C21" s="4"/>
    </row>
    <row r="22" spans="2:4" ht="30" customHeight="1">
      <c r="B22" s="6"/>
      <c r="C22" s="6"/>
      <c r="D22" s="6"/>
    </row>
    <row r="23" spans="2:4" ht="30" customHeight="1">
      <c r="B23" s="6"/>
      <c r="C23" s="6"/>
      <c r="D23" s="6"/>
    </row>
    <row r="24" spans="2:4" ht="30" customHeight="1">
      <c r="B24" s="6"/>
      <c r="C24" s="6"/>
      <c r="D24" s="6"/>
    </row>
    <row r="25" spans="2:4" ht="30" customHeight="1">
      <c r="B25" s="6"/>
      <c r="C25" s="6"/>
      <c r="D25" s="6"/>
    </row>
    <row r="26" spans="2:4">
      <c r="B26" s="6"/>
      <c r="C26" s="6"/>
      <c r="D26" s="6"/>
    </row>
    <row r="27" spans="2:4">
      <c r="B27" s="6"/>
      <c r="C27" s="6"/>
      <c r="D27" s="6"/>
    </row>
    <row r="28" spans="2:4">
      <c r="B28" s="6"/>
      <c r="C28" s="6"/>
      <c r="D28" s="6"/>
    </row>
    <row r="29" spans="2:4">
      <c r="B29" s="6"/>
      <c r="C29" s="6"/>
      <c r="D29" s="6"/>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Elena</dc:creator>
  <cp:keywords/>
  <dc:description/>
  <cp:lastModifiedBy>Guest User</cp:lastModifiedBy>
  <cp:revision/>
  <dcterms:created xsi:type="dcterms:W3CDTF">2022-01-11T10:32:50Z</dcterms:created>
  <dcterms:modified xsi:type="dcterms:W3CDTF">2025-03-24T04:28:24Z</dcterms:modified>
  <cp:category/>
  <cp:contentStatus/>
</cp:coreProperties>
</file>