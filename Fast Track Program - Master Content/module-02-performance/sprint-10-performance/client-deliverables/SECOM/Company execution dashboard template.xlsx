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62" documentId="13_ncr:1_{8C32977B-3F9E-2248-A36E-F1BEA348F857}" xr6:coauthVersionLast="47" xr6:coauthVersionMax="47" xr10:uidLastSave="{7F50B9C9-94C4-4918-A54A-3D0FB3494196}"/>
  <bookViews>
    <workbookView xWindow="0" yWindow="500" windowWidth="51200" windowHeight="26800" firstSheet="2" xr2:uid="{00000000-000D-0000-FFFF-FFFF00000000}"/>
  </bookViews>
  <sheets>
    <sheet name="Company Planning" sheetId="1" r:id="rId1"/>
    <sheet name="Department 1 - Q Planning" sheetId="4" r:id="rId2"/>
    <sheet name="Department 1 - Week Performance" sheetId="2" r:id="rId3"/>
    <sheet name="Dropdowns" sheetId="3" state="hidden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Rv2/knMcplRfS5pxEvBOBoYF+5A=="/>
    </ext>
  </extLst>
</workbook>
</file>

<file path=xl/calcChain.xml><?xml version="1.0" encoding="utf-8"?>
<calcChain xmlns="http://schemas.openxmlformats.org/spreadsheetml/2006/main">
  <c r="I76" i="2" l="1"/>
  <c r="I75" i="2"/>
  <c r="I74" i="2"/>
  <c r="Q74" i="2" s="1"/>
  <c r="Y74" i="2" s="1"/>
  <c r="I73" i="2"/>
  <c r="Q73" i="2" s="1"/>
  <c r="Y73" i="2" s="1"/>
  <c r="I72" i="2"/>
  <c r="Q72" i="2" s="1"/>
  <c r="Y72" i="2" s="1"/>
  <c r="E76" i="2"/>
  <c r="E75" i="2"/>
  <c r="E74" i="2"/>
  <c r="E73" i="2"/>
  <c r="M73" i="2" s="1"/>
  <c r="U73" i="2" s="1"/>
  <c r="E72" i="2"/>
  <c r="M72" i="2" s="1"/>
  <c r="U72" i="2" s="1"/>
  <c r="E109" i="2"/>
  <c r="E108" i="2"/>
  <c r="E107" i="2"/>
  <c r="E106" i="2"/>
  <c r="M106" i="2" s="1"/>
  <c r="U106" i="2" s="1"/>
  <c r="I109" i="2"/>
  <c r="Q109" i="2" s="1"/>
  <c r="Y109" i="2" s="1"/>
  <c r="I108" i="2"/>
  <c r="Q108" i="2" s="1"/>
  <c r="Y108" i="2" s="1"/>
  <c r="I107" i="2"/>
  <c r="Q107" i="2" s="1"/>
  <c r="Y107" i="2" s="1"/>
  <c r="I106" i="2"/>
  <c r="I105" i="2"/>
  <c r="Q105" i="2" s="1"/>
  <c r="Y105" i="2" s="1"/>
  <c r="E105" i="2"/>
  <c r="M105" i="2" s="1"/>
  <c r="U105" i="2" s="1"/>
  <c r="I142" i="2"/>
  <c r="Q142" i="2" s="1"/>
  <c r="Y142" i="2" s="1"/>
  <c r="I141" i="2"/>
  <c r="Q141" i="2" s="1"/>
  <c r="Y141" i="2" s="1"/>
  <c r="I140" i="2"/>
  <c r="Q140" i="2" s="1"/>
  <c r="Y140" i="2" s="1"/>
  <c r="I139" i="2"/>
  <c r="Q139" i="2" s="1"/>
  <c r="Y139" i="2" s="1"/>
  <c r="I138" i="2"/>
  <c r="Q138" i="2" s="1"/>
  <c r="Y138" i="2" s="1"/>
  <c r="E142" i="2"/>
  <c r="E141" i="2"/>
  <c r="E140" i="2"/>
  <c r="E139" i="2"/>
  <c r="M139" i="2" s="1"/>
  <c r="U139" i="2" s="1"/>
  <c r="E138" i="2"/>
  <c r="M138" i="2" s="1"/>
  <c r="U138" i="2" s="1"/>
  <c r="I175" i="2"/>
  <c r="Q175" i="2" s="1"/>
  <c r="Y175" i="2" s="1"/>
  <c r="I174" i="2"/>
  <c r="Q174" i="2" s="1"/>
  <c r="Y174" i="2" s="1"/>
  <c r="I173" i="2"/>
  <c r="Q173" i="2" s="1"/>
  <c r="Y173" i="2" s="1"/>
  <c r="I172" i="2"/>
  <c r="Q172" i="2" s="1"/>
  <c r="Y172" i="2" s="1"/>
  <c r="I171" i="2"/>
  <c r="E175" i="2"/>
  <c r="M175" i="2" s="1"/>
  <c r="U175" i="2" s="1"/>
  <c r="E174" i="2"/>
  <c r="M174" i="2" s="1"/>
  <c r="U174" i="2" s="1"/>
  <c r="E173" i="2"/>
  <c r="E172" i="2"/>
  <c r="M172" i="2" s="1"/>
  <c r="U172" i="2" s="1"/>
  <c r="E171" i="2"/>
  <c r="M171" i="2" s="1"/>
  <c r="U171" i="2" s="1"/>
  <c r="C169" i="2"/>
  <c r="K169" i="2" s="1"/>
  <c r="S169" i="2" s="1"/>
  <c r="C136" i="2"/>
  <c r="K136" i="2" s="1"/>
  <c r="S136" i="2" s="1"/>
  <c r="M177" i="2"/>
  <c r="U177" i="2" s="1"/>
  <c r="M173" i="2"/>
  <c r="U173" i="2" s="1"/>
  <c r="Q171" i="2"/>
  <c r="Y171" i="2" s="1"/>
  <c r="M144" i="2"/>
  <c r="U144" i="2" s="1"/>
  <c r="M142" i="2"/>
  <c r="U142" i="2" s="1"/>
  <c r="M141" i="2"/>
  <c r="U141" i="2" s="1"/>
  <c r="M140" i="2"/>
  <c r="U140" i="2" s="1"/>
  <c r="C103" i="2"/>
  <c r="K103" i="2" s="1"/>
  <c r="S103" i="2" s="1"/>
  <c r="C70" i="2"/>
  <c r="K70" i="2" s="1"/>
  <c r="S70" i="2" s="1"/>
  <c r="U45" i="2"/>
  <c r="M111" i="2"/>
  <c r="U111" i="2" s="1"/>
  <c r="M78" i="2"/>
  <c r="U78" i="2" s="1"/>
  <c r="M12" i="2"/>
  <c r="U12" i="2" s="1"/>
  <c r="M45" i="2"/>
  <c r="I43" i="2"/>
  <c r="Q43" i="2" s="1"/>
  <c r="Y43" i="2" s="1"/>
  <c r="I42" i="2"/>
  <c r="Q42" i="2" s="1"/>
  <c r="Y42" i="2" s="1"/>
  <c r="I41" i="2"/>
  <c r="Q41" i="2" s="1"/>
  <c r="Y41" i="2" s="1"/>
  <c r="I40" i="2"/>
  <c r="Q40" i="2" s="1"/>
  <c r="Y40" i="2" s="1"/>
  <c r="I39" i="2"/>
  <c r="Q39" i="2" s="1"/>
  <c r="Y39" i="2" s="1"/>
  <c r="E43" i="2"/>
  <c r="M43" i="2" s="1"/>
  <c r="U43" i="2" s="1"/>
  <c r="E42" i="2"/>
  <c r="M42" i="2" s="1"/>
  <c r="U42" i="2" s="1"/>
  <c r="E41" i="2"/>
  <c r="M41" i="2" s="1"/>
  <c r="U41" i="2" s="1"/>
  <c r="E40" i="2"/>
  <c r="M40" i="2" s="1"/>
  <c r="U40" i="2" s="1"/>
  <c r="E39" i="2"/>
  <c r="M39" i="2" s="1"/>
  <c r="U39" i="2" s="1"/>
  <c r="C37" i="2"/>
  <c r="K37" i="2" s="1"/>
  <c r="S37" i="2" s="1"/>
  <c r="C4" i="2"/>
  <c r="K4" i="2" s="1"/>
  <c r="S4" i="2" s="1"/>
  <c r="M109" i="2"/>
  <c r="U109" i="2" s="1"/>
  <c r="M108" i="2"/>
  <c r="U108" i="2" s="1"/>
  <c r="M107" i="2"/>
  <c r="U107" i="2" s="1"/>
  <c r="Q106" i="2"/>
  <c r="Y106" i="2" s="1"/>
  <c r="Q76" i="2"/>
  <c r="Y76" i="2" s="1"/>
  <c r="M76" i="2"/>
  <c r="U76" i="2" s="1"/>
  <c r="Q75" i="2"/>
  <c r="Y75" i="2" s="1"/>
  <c r="M75" i="2"/>
  <c r="U75" i="2" s="1"/>
  <c r="M74" i="2"/>
  <c r="U74" i="2" s="1"/>
  <c r="I10" i="2"/>
  <c r="Q10" i="2" s="1"/>
  <c r="Y10" i="2" s="1"/>
  <c r="I9" i="2"/>
  <c r="Q9" i="2" s="1"/>
  <c r="Y9" i="2" s="1"/>
  <c r="I8" i="2"/>
  <c r="Q8" i="2" s="1"/>
  <c r="Y8" i="2" s="1"/>
  <c r="I7" i="2"/>
  <c r="Q7" i="2" s="1"/>
  <c r="Y7" i="2" s="1"/>
  <c r="I6" i="2"/>
  <c r="Q6" i="2" s="1"/>
  <c r="Y6" i="2" s="1"/>
  <c r="E10" i="2"/>
  <c r="M10" i="2" s="1"/>
  <c r="U10" i="2" s="1"/>
  <c r="E9" i="2"/>
  <c r="M9" i="2" s="1"/>
  <c r="U9" i="2" s="1"/>
  <c r="E8" i="2"/>
  <c r="M8" i="2" s="1"/>
  <c r="U8" i="2" s="1"/>
  <c r="E7" i="2"/>
  <c r="M7" i="2" s="1"/>
  <c r="U7" i="2" s="1"/>
  <c r="E6" i="2"/>
  <c r="M6" i="2" s="1"/>
  <c r="U6" i="2" s="1"/>
</calcChain>
</file>

<file path=xl/sharedStrings.xml><?xml version="1.0" encoding="utf-8"?>
<sst xmlns="http://schemas.openxmlformats.org/spreadsheetml/2006/main" count="713" uniqueCount="187">
  <si>
    <t xml:space="preserve">Company Annual Targets </t>
  </si>
  <si>
    <t>MARKET SHARE (US si GR)</t>
  </si>
  <si>
    <t>CASH (CCC)</t>
  </si>
  <si>
    <t>EBIT</t>
  </si>
  <si>
    <t>NET REVENUE (CAN)</t>
  </si>
  <si>
    <t>B2C ACTIVE UNIQUE CUSTOMERS</t>
  </si>
  <si>
    <t xml:space="preserve"> SHARE GOOD ROUTINE (value &amp; %)</t>
  </si>
  <si>
    <t>SHARE OF A PLAYERS</t>
  </si>
  <si>
    <t xml:space="preserve"> Company Annual priorities (big rocks) </t>
  </si>
  <si>
    <t>WHO</t>
  </si>
  <si>
    <t>KPI</t>
  </si>
  <si>
    <t>Improve portfolio mix</t>
  </si>
  <si>
    <t>Tudor &amp; Mada</t>
  </si>
  <si>
    <t>share vs immunity</t>
  </si>
  <si>
    <t>JBPs with national chains</t>
  </si>
  <si>
    <t>Lucia / Paul</t>
  </si>
  <si>
    <t>net revenue</t>
  </si>
  <si>
    <r>
      <t>Consolidate RTM -</t>
    </r>
    <r>
      <rPr>
        <i/>
        <sz val="11"/>
        <color rgb="FF000000"/>
        <rFont val="Aptos"/>
      </rPr>
      <t xml:space="preserve"> launch Pediatric division, incentive, SIS, accelerator program, telesales, vizibilitate Secom in farmacii</t>
    </r>
  </si>
  <si>
    <t>Deploy digital sales channels</t>
  </si>
  <si>
    <t>Radu</t>
  </si>
  <si>
    <t>10% of net online sales</t>
  </si>
  <si>
    <t>Launch the new Retail concept</t>
  </si>
  <si>
    <t>1st of May</t>
  </si>
  <si>
    <r>
      <t xml:space="preserve">Improve execution of commercial calender - </t>
    </r>
    <r>
      <rPr>
        <i/>
        <sz val="11"/>
        <color rgb="FF000000"/>
        <rFont val="Aptos"/>
      </rPr>
      <t>day by day, launch the new US campaign - de la scump la premium, commercial routines, launch brand etic corporate campaign</t>
    </r>
  </si>
  <si>
    <t>95% OTIF</t>
  </si>
  <si>
    <t>Launch Good Routine Kids</t>
  </si>
  <si>
    <t>Mada</t>
  </si>
  <si>
    <t>Net revenue</t>
  </si>
  <si>
    <t>Launch Good Routine Wellness Foods</t>
  </si>
  <si>
    <t>Andrei</t>
  </si>
  <si>
    <t>Portfolio</t>
  </si>
  <si>
    <r>
      <t xml:space="preserve">AI in business - </t>
    </r>
    <r>
      <rPr>
        <i/>
        <sz val="11"/>
        <color rgb="FF000000"/>
        <rFont val="Aptos"/>
      </rPr>
      <t>discovering tools that can increase market share</t>
    </r>
  </si>
  <si>
    <t>Johnny</t>
  </si>
  <si>
    <t> </t>
  </si>
  <si>
    <t>Pilot in Modern Trade</t>
  </si>
  <si>
    <t>Paul</t>
  </si>
  <si>
    <r>
      <t xml:space="preserve">Digitalize/Automize top 5 processes - </t>
    </r>
    <r>
      <rPr>
        <i/>
        <sz val="11"/>
        <color rgb="FF000000"/>
        <rFont val="Aptos"/>
      </rPr>
      <t>Forecast &amp; Purchasing, Order to Cash, Reporting</t>
    </r>
  </si>
  <si>
    <t>Cost reduction program</t>
  </si>
  <si>
    <t>Adina</t>
  </si>
  <si>
    <t>Talent Management program</t>
  </si>
  <si>
    <t>Andreia</t>
  </si>
  <si>
    <t>Sustenabilitate</t>
  </si>
  <si>
    <t>Alina / Lucia</t>
  </si>
  <si>
    <t>80% din Obiective</t>
  </si>
  <si>
    <r>
      <t xml:space="preserve">Logistics Excellence - </t>
    </r>
    <r>
      <rPr>
        <i/>
        <sz val="11"/>
        <color rgb="FF000000"/>
        <rFont val="Aptos"/>
        <family val="2"/>
      </rPr>
      <t>TBD</t>
    </r>
    <r>
      <rPr>
        <sz val="11"/>
        <color rgb="FF000000"/>
        <rFont val="Aptos"/>
      </rPr>
      <t xml:space="preserve"> </t>
    </r>
    <r>
      <rPr>
        <i/>
        <sz val="11"/>
        <color rgb="FF000000"/>
        <rFont val="Aptos"/>
        <family val="2"/>
      </rPr>
      <t>Idei</t>
    </r>
    <r>
      <rPr>
        <sz val="11"/>
        <color rgb="FF000000"/>
        <rFont val="Aptos"/>
      </rPr>
      <t xml:space="preserve"> </t>
    </r>
  </si>
  <si>
    <t>George</t>
  </si>
  <si>
    <t>Customer Centricity -&gt; Share idei per Stakeholder (%)</t>
  </si>
  <si>
    <t>Alexandra / Adina</t>
  </si>
  <si>
    <t>100 Idei Implementate</t>
  </si>
  <si>
    <t xml:space="preserve">Company Q1 targets </t>
  </si>
  <si>
    <t>MARKET SHARE</t>
  </si>
  <si>
    <t>CASH</t>
  </si>
  <si>
    <t>NET REVENUE</t>
  </si>
  <si>
    <t>FINALIZE NEW RETAIL CONCEPT</t>
  </si>
  <si>
    <t>MARKET SHARE GOOD ROUTINE vs  SHARE GOOD ROUTINE (value &amp; %)</t>
  </si>
  <si>
    <t>FINALIZE TALENT MANAGEMENT CONCEPT &amp; EVALUATION</t>
  </si>
  <si>
    <t xml:space="preserve"> Company Q1 priorities (big rocks) </t>
  </si>
  <si>
    <t>Department 1</t>
  </si>
  <si>
    <t>SAles</t>
  </si>
  <si>
    <t>Marketing US</t>
  </si>
  <si>
    <t>HR</t>
  </si>
  <si>
    <t>GR</t>
  </si>
  <si>
    <t>BT</t>
  </si>
  <si>
    <t xml:space="preserve">Q1 targets </t>
  </si>
  <si>
    <t>Net Revenue US (CAN per Q)</t>
  </si>
  <si>
    <t>Market Share US portfolio  Q1 2025: 5.49%</t>
  </si>
  <si>
    <t xml:space="preserve">Talent Management process deployed </t>
  </si>
  <si>
    <t>Net Revenues (CAN) BU</t>
  </si>
  <si>
    <t>Forecast Tool in BI</t>
  </si>
  <si>
    <t>Net Revenue Good Routine</t>
  </si>
  <si>
    <t>SOV TV Q1 pentru C, D3, CHLD: minim 10%</t>
  </si>
  <si>
    <t>Merit increase - keep in the budget</t>
  </si>
  <si>
    <t>Market Share &amp; Share GR</t>
  </si>
  <si>
    <t>SMART Reporting Automations (PBI / JetBI)</t>
  </si>
  <si>
    <t>Distribution GR Kids &amp; nonImmunity</t>
  </si>
  <si>
    <t xml:space="preserve">CAN Childlife total brand: 8.195 K lei </t>
  </si>
  <si>
    <t>Recruit L&amp;D</t>
  </si>
  <si>
    <t>Good Routine for Kids launch</t>
  </si>
  <si>
    <t>Retail Customer Data Platform</t>
  </si>
  <si>
    <t>DSO</t>
  </si>
  <si>
    <t xml:space="preserve">CAN Prio 1.2.3 (Vit D3&amp; Vit C adulti):  7.666 K lei </t>
  </si>
  <si>
    <t xml:space="preserve">Organize National Conference </t>
  </si>
  <si>
    <t>Commercial roadmap execution</t>
  </si>
  <si>
    <t>Build AI squad in the company</t>
  </si>
  <si>
    <t>Listing GR in Dr. Max &amp; Catena</t>
  </si>
  <si>
    <t xml:space="preserve">OTIF Social Media plans pentu US Q1 pentru brandurile din PRIO 1/2/3 </t>
  </si>
  <si>
    <t>Finish Performance management process for 2024</t>
  </si>
  <si>
    <t>Contribution Margin (CM) BU</t>
  </si>
  <si>
    <t xml:space="preserve">Q1 priorities </t>
  </si>
  <si>
    <t>Close JBPs with National Chains &amp; Kas by 31.03</t>
  </si>
  <si>
    <t>KAs</t>
  </si>
  <si>
    <t>OTIF</t>
  </si>
  <si>
    <t>Shopper Childlife (Catena &amp; Tei)</t>
  </si>
  <si>
    <t>Alexandra S</t>
  </si>
  <si>
    <t>Doris</t>
  </si>
  <si>
    <t>In budget</t>
  </si>
  <si>
    <t>Execute commercial roadmap</t>
  </si>
  <si>
    <t>Andreea N</t>
  </si>
  <si>
    <t>Setup BI data model (sources and input) for Baseline Forecast
Implement predictive algorithm for Forecast in BI</t>
  </si>
  <si>
    <t>M. Rizea</t>
  </si>
  <si>
    <t>Define &amp; start execute tools for DS: incentive, telesales, accelerator, cash collection</t>
  </si>
  <si>
    <t>Cristi</t>
  </si>
  <si>
    <t>Shopper Secom Direct Imunitate</t>
  </si>
  <si>
    <t>Deploy Talent Management process &amp; organize session for Managers of managers</t>
  </si>
  <si>
    <t>End of March</t>
  </si>
  <si>
    <t>Launch GR for Kids</t>
  </si>
  <si>
    <t>SMART Reporting - Analyze reporting process and needs across organization
SMART Reporting -  Develop report automations in JetBI or PBI</t>
  </si>
  <si>
    <t>I. Burtea</t>
  </si>
  <si>
    <t>Launch Pediatric Division in January</t>
  </si>
  <si>
    <t>Andreea</t>
  </si>
  <si>
    <t xml:space="preserve">Campanie TV Childlife Q1 2025 </t>
  </si>
  <si>
    <t>Ruxandra S</t>
  </si>
  <si>
    <t>Analyse, propose &amp; do Merit increase  - 15 mar</t>
  </si>
  <si>
    <t>In time &amp; in budget</t>
  </si>
  <si>
    <t>Implement Customer Data Module in Klavyio
Redesign Customer Data Processes (GDPR) for CDP</t>
  </si>
  <si>
    <t xml:space="preserve">L. Boca </t>
  </si>
  <si>
    <t>Define SEM role &amp; activities</t>
  </si>
  <si>
    <t>Distributie (sell in) CHLD non imunitate pentru pregatire Shopper Q2: Hepatocare, Allercare, Pure DHA, Cod liver Oil, Colostrum powder</t>
  </si>
  <si>
    <t>paritate distributie cu GR kids, pt activare in Q2</t>
  </si>
  <si>
    <t>20-Feb</t>
  </si>
  <si>
    <t>Prepare delivrables for Kids Shopper</t>
  </si>
  <si>
    <t>Mihaela P</t>
  </si>
  <si>
    <t>Define AI Squad Objectives and Team</t>
  </si>
  <si>
    <t>Pilot Kaufland</t>
  </si>
  <si>
    <t>Diana</t>
  </si>
  <si>
    <t>Team in full (incl. induction by end Q1)</t>
  </si>
  <si>
    <t>Tudor G</t>
  </si>
  <si>
    <t>0 vacancies</t>
  </si>
  <si>
    <t>Dina</t>
  </si>
  <si>
    <t>End of Jan</t>
  </si>
  <si>
    <t>Support and prepare Wellness Foods launch</t>
  </si>
  <si>
    <t>Alexandra</t>
  </si>
  <si>
    <t>Priority 5</t>
  </si>
  <si>
    <t>DEPARTMENT 1 [NAME] QUARTERLY PLAN</t>
  </si>
  <si>
    <t>Team member 1 (Name)</t>
  </si>
  <si>
    <t>Team member 2(Name)</t>
  </si>
  <si>
    <t>Team member  3 (Name)</t>
  </si>
  <si>
    <t>Team member  4 (Name)</t>
  </si>
  <si>
    <t>Team member 5 (Name)</t>
  </si>
  <si>
    <t>Team member 6 (Name)</t>
  </si>
  <si>
    <t>Organize National Conference</t>
  </si>
  <si>
    <t>in the budget</t>
  </si>
  <si>
    <t>Priority 1</t>
  </si>
  <si>
    <t>%</t>
  </si>
  <si>
    <t xml:space="preserve">Training Telesales Team </t>
  </si>
  <si>
    <t>Over 90% test score</t>
  </si>
  <si>
    <t>Priority 2</t>
  </si>
  <si>
    <t>Finish Performance management process for 2024 &amp; Start &amp; update Performance Management for 2025</t>
  </si>
  <si>
    <t>End of Feb</t>
  </si>
  <si>
    <t>Priority 3</t>
  </si>
  <si>
    <t>date</t>
  </si>
  <si>
    <t>#</t>
  </si>
  <si>
    <t>Priority 4</t>
  </si>
  <si>
    <t>DEPARTMENT 1 [NAME] WEEKLY AND DAILY PERFORMANCE</t>
  </si>
  <si>
    <t>Link to A</t>
  </si>
  <si>
    <t>Q PRIORITIES</t>
  </si>
  <si>
    <t>WEEKLY PRIORITIES</t>
  </si>
  <si>
    <t>Link to Q</t>
  </si>
  <si>
    <t xml:space="preserve">DAY </t>
  </si>
  <si>
    <t>Completed?</t>
  </si>
  <si>
    <t>Reason if not completed</t>
  </si>
  <si>
    <t>WEEKLY LEARNING</t>
  </si>
  <si>
    <t>Agree the presentation deck for Conference</t>
  </si>
  <si>
    <t>List the Nominees for Awards</t>
  </si>
  <si>
    <t>Confirm the participation list</t>
  </si>
  <si>
    <t>Follow up with the Agency for the Conference activities</t>
  </si>
  <si>
    <t>Create the Merit increase template and share the proposals with the BU directors</t>
  </si>
  <si>
    <t>Link to W</t>
  </si>
  <si>
    <t>DAILY PRIORITIES</t>
  </si>
  <si>
    <t>TIME</t>
  </si>
  <si>
    <t>DAILY LEARNING</t>
  </si>
  <si>
    <t>M</t>
  </si>
  <si>
    <t>Share with Board members the contect and the template design for Conference</t>
  </si>
  <si>
    <t>T</t>
  </si>
  <si>
    <t>W</t>
  </si>
  <si>
    <t>F</t>
  </si>
  <si>
    <t>Screening 50 cv's for L&amp;D</t>
  </si>
  <si>
    <t>Select the best 10 and gave the short interview, propose min. 3. If not, screen again.</t>
  </si>
  <si>
    <t xml:space="preserve">COMPLETION </t>
  </si>
  <si>
    <t>Yes</t>
  </si>
  <si>
    <t>Bad scheduling</t>
  </si>
  <si>
    <t>No</t>
  </si>
  <si>
    <t xml:space="preserve">Not enough time </t>
  </si>
  <si>
    <t>Lack of capabilities</t>
  </si>
  <si>
    <t>Lack of resources</t>
  </si>
  <si>
    <t xml:space="preserve">No discipline </t>
  </si>
  <si>
    <t>Emergencies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</si>
</sst>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4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ptos"/>
    </font>
    <font>
      <sz val="11"/>
      <color rgb="FF000000"/>
      <name val="Aptos"/>
    </font>
    <font>
      <sz val="11"/>
      <color theme="0"/>
      <name val="Aptos"/>
    </font>
    <font>
      <sz val="11"/>
      <name val="Aptos"/>
    </font>
    <font>
      <sz val="12"/>
      <color rgb="FF000000"/>
      <name val="Aptos"/>
    </font>
    <font>
      <sz val="11"/>
      <color rgb="FFFFFFFF"/>
      <name val="Aptos"/>
    </font>
    <font>
      <b/>
      <sz val="10"/>
      <color theme="0"/>
      <name val="Aptos"/>
    </font>
    <font>
      <sz val="10"/>
      <color theme="0"/>
      <name val="Aptos"/>
    </font>
    <font>
      <sz val="10"/>
      <color theme="1"/>
      <name val="Aptos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8"/>
      <color theme="1"/>
      <name val="Plaak 3 Trial Regular Bold"/>
    </font>
    <font>
      <b/>
      <sz val="18"/>
      <color theme="1"/>
      <name val="Arial Black"/>
      <family val="2"/>
    </font>
    <font>
      <b/>
      <sz val="10"/>
      <color rgb="FFFFFFFF"/>
      <name val="Aptos"/>
    </font>
    <font>
      <i/>
      <sz val="11"/>
      <color rgb="FF000000"/>
      <name val="Aptos"/>
    </font>
    <font>
      <i/>
      <sz val="11"/>
      <color rgb="FF000000"/>
      <name val="Aptos"/>
      <family val="2"/>
    </font>
    <font>
      <sz val="11"/>
      <color rgb="FF000000"/>
      <name val="Aptos"/>
      <family val="2"/>
    </font>
    <font>
      <sz val="10"/>
      <color rgb="FF00000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DCE6F1"/>
        <bgColor rgb="FF00000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4" borderId="0" xfId="0" applyFill="1"/>
    <xf numFmtId="0" fontId="3" fillId="2" borderId="1" xfId="0" applyFont="1" applyFill="1" applyBorder="1"/>
    <xf numFmtId="0" fontId="4" fillId="4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 wrapText="1"/>
    </xf>
    <xf numFmtId="0" fontId="16" fillId="9" borderId="6" xfId="0" applyFont="1" applyFill="1" applyBorder="1" applyAlignment="1">
      <alignment horizontal="center" vertical="top"/>
    </xf>
    <xf numFmtId="0" fontId="15" fillId="9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11" fontId="12" fillId="0" borderId="5" xfId="0" applyNumberFormat="1" applyFont="1" applyBorder="1" applyAlignment="1">
      <alignment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/>
    </xf>
    <xf numFmtId="0" fontId="16" fillId="10" borderId="5" xfId="0" applyFont="1" applyFill="1" applyBorder="1" applyAlignment="1">
      <alignment horizontal="left" vertical="top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12" fillId="8" borderId="11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3" fillId="6" borderId="15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left" vertical="center"/>
    </xf>
    <xf numFmtId="0" fontId="13" fillId="6" borderId="21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0" fontId="3" fillId="2" borderId="5" xfId="0" applyFont="1" applyFill="1" applyBorder="1"/>
    <xf numFmtId="0" fontId="3" fillId="13" borderId="5" xfId="0" applyFont="1" applyFill="1" applyBorder="1" applyAlignment="1">
      <alignment vertical="center"/>
    </xf>
    <xf numFmtId="0" fontId="3" fillId="13" borderId="9" xfId="0" applyFont="1" applyFill="1" applyBorder="1" applyAlignment="1">
      <alignment vertical="center"/>
    </xf>
    <xf numFmtId="0" fontId="3" fillId="13" borderId="6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4" fontId="5" fillId="3" borderId="26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4" fontId="5" fillId="3" borderId="5" xfId="0" applyNumberFormat="1" applyFont="1" applyFill="1" applyBorder="1" applyAlignment="1">
      <alignment vertical="center"/>
    </xf>
    <xf numFmtId="0" fontId="4" fillId="0" borderId="5" xfId="0" applyFont="1" applyBorder="1"/>
    <xf numFmtId="14" fontId="4" fillId="0" borderId="5" xfId="0" applyNumberFormat="1" applyFont="1" applyBorder="1"/>
    <xf numFmtId="0" fontId="10" fillId="1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0" fillId="4" borderId="7" xfId="0" applyFill="1" applyBorder="1"/>
    <xf numFmtId="0" fontId="17" fillId="4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vertical="center"/>
    </xf>
    <xf numFmtId="0" fontId="3" fillId="2" borderId="16" xfId="0" applyFont="1" applyFill="1" applyBorder="1"/>
    <xf numFmtId="0" fontId="4" fillId="0" borderId="16" xfId="0" applyFont="1" applyBorder="1"/>
    <xf numFmtId="0" fontId="18" fillId="4" borderId="7" xfId="0" applyFont="1" applyFill="1" applyBorder="1" applyAlignment="1">
      <alignment horizontal="left"/>
    </xf>
    <xf numFmtId="0" fontId="11" fillId="15" borderId="13" xfId="0" applyFont="1" applyFill="1" applyBorder="1" applyAlignment="1">
      <alignment horizontal="left" vertical="center" wrapText="1"/>
    </xf>
    <xf numFmtId="0" fontId="4" fillId="16" borderId="5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/>
    </xf>
    <xf numFmtId="0" fontId="3" fillId="15" borderId="11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14" fillId="6" borderId="13" xfId="0" applyFont="1" applyFill="1" applyBorder="1" applyAlignment="1">
      <alignment horizontal="left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19" fillId="5" borderId="5" xfId="0" applyFont="1" applyFill="1" applyBorder="1" applyAlignment="1">
      <alignment vertical="center"/>
    </xf>
    <xf numFmtId="0" fontId="19" fillId="5" borderId="12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vertical="center"/>
    </xf>
    <xf numFmtId="9" fontId="16" fillId="7" borderId="8" xfId="1" applyFont="1" applyFill="1" applyBorder="1" applyAlignment="1">
      <alignment horizontal="center" vertical="top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164" fontId="10" fillId="14" borderId="5" xfId="0" applyNumberFormat="1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left" vertical="center"/>
    </xf>
    <xf numFmtId="0" fontId="3" fillId="15" borderId="11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 wrapText="1"/>
    </xf>
    <xf numFmtId="0" fontId="3" fillId="15" borderId="11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164" fontId="5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164" fontId="10" fillId="14" borderId="13" xfId="0" applyNumberFormat="1" applyFont="1" applyFill="1" applyBorder="1" applyAlignment="1">
      <alignment horizontal="center" vertical="center"/>
    </xf>
    <xf numFmtId="164" fontId="10" fillId="14" borderId="11" xfId="0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left" vertical="center" readingOrder="1"/>
    </xf>
    <xf numFmtId="0" fontId="12" fillId="8" borderId="11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6" fillId="10" borderId="9" xfId="0" applyFont="1" applyFill="1" applyBorder="1" applyAlignment="1">
      <alignment horizontal="left" vertical="top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left" vertical="top" wrapText="1"/>
    </xf>
    <xf numFmtId="0" fontId="16" fillId="10" borderId="14" xfId="0" applyFont="1" applyFill="1" applyBorder="1" applyAlignment="1">
      <alignment horizontal="left" vertical="top" wrapText="1"/>
    </xf>
    <xf numFmtId="0" fontId="16" fillId="10" borderId="10" xfId="0" applyFont="1" applyFill="1" applyBorder="1" applyAlignment="1">
      <alignment horizontal="left" vertical="top" wrapText="1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7" fillId="17" borderId="13" xfId="0" applyFont="1" applyFill="1" applyBorder="1" applyAlignment="1"/>
    <xf numFmtId="0" fontId="7" fillId="17" borderId="11" xfId="0" applyFont="1" applyFill="1" applyBorder="1" applyAlignment="1"/>
    <xf numFmtId="0" fontId="7" fillId="17" borderId="12" xfId="0" applyFont="1" applyFill="1" applyBorder="1" applyAlignment="1"/>
    <xf numFmtId="0" fontId="4" fillId="17" borderId="13" xfId="0" applyFont="1" applyFill="1" applyBorder="1" applyAlignment="1"/>
    <xf numFmtId="0" fontId="4" fillId="17" borderId="11" xfId="0" applyFont="1" applyFill="1" applyBorder="1" applyAlignment="1"/>
    <xf numFmtId="0" fontId="4" fillId="17" borderId="12" xfId="0" applyFont="1" applyFill="1" applyBorder="1" applyAlignment="1"/>
    <xf numFmtId="0" fontId="4" fillId="0" borderId="3" xfId="0" applyFont="1" applyFill="1" applyBorder="1" applyAlignment="1"/>
    <xf numFmtId="0" fontId="4" fillId="0" borderId="27" xfId="0" applyFont="1" applyFill="1" applyBorder="1" applyAlignment="1"/>
    <xf numFmtId="0" fontId="4" fillId="17" borderId="13" xfId="0" applyFont="1" applyFill="1" applyBorder="1" applyAlignment="1">
      <alignment wrapText="1"/>
    </xf>
    <xf numFmtId="0" fontId="4" fillId="17" borderId="11" xfId="0" applyFont="1" applyFill="1" applyBorder="1" applyAlignment="1">
      <alignment wrapText="1"/>
    </xf>
    <xf numFmtId="0" fontId="4" fillId="17" borderId="12" xfId="0" applyFont="1" applyFill="1" applyBorder="1" applyAlignment="1">
      <alignment wrapText="1"/>
    </xf>
    <xf numFmtId="0" fontId="4" fillId="17" borderId="28" xfId="0" applyFont="1" applyFill="1" applyBorder="1" applyAlignment="1"/>
    <xf numFmtId="0" fontId="3" fillId="17" borderId="8" xfId="0" applyFont="1" applyFill="1" applyBorder="1" applyAlignment="1"/>
    <xf numFmtId="0" fontId="4" fillId="17" borderId="8" xfId="0" applyFont="1" applyFill="1" applyBorder="1" applyAlignment="1"/>
    <xf numFmtId="0" fontId="22" fillId="17" borderId="13" xfId="0" applyFont="1" applyFill="1" applyBorder="1" applyAlignment="1"/>
    <xf numFmtId="0" fontId="22" fillId="17" borderId="11" xfId="0" applyFont="1" applyFill="1" applyBorder="1" applyAlignment="1"/>
    <xf numFmtId="0" fontId="22" fillId="17" borderId="12" xfId="0" applyFont="1" applyFill="1" applyBorder="1" applyAlignment="1"/>
    <xf numFmtId="0" fontId="23" fillId="18" borderId="13" xfId="0" applyFont="1" applyFill="1" applyBorder="1" applyAlignment="1"/>
    <xf numFmtId="0" fontId="23" fillId="18" borderId="11" xfId="0" applyFont="1" applyFill="1" applyBorder="1" applyAlignment="1"/>
    <xf numFmtId="0" fontId="23" fillId="18" borderId="28" xfId="0" applyFont="1" applyFill="1" applyBorder="1" applyAlignment="1"/>
    <xf numFmtId="0" fontId="3" fillId="18" borderId="13" xfId="0" applyFont="1" applyFill="1" applyBorder="1" applyAlignment="1"/>
    <xf numFmtId="0" fontId="3" fillId="18" borderId="11" xfId="0" applyFont="1" applyFill="1" applyBorder="1" applyAlignment="1"/>
    <xf numFmtId="0" fontId="3" fillId="18" borderId="28" xfId="0" applyFont="1" applyFill="1" applyBorder="1" applyAlignment="1"/>
    <xf numFmtId="0" fontId="23" fillId="18" borderId="13" xfId="0" applyFont="1" applyFill="1" applyBorder="1" applyAlignment="1">
      <alignment wrapText="1"/>
    </xf>
    <xf numFmtId="0" fontId="23" fillId="18" borderId="11" xfId="0" applyFont="1" applyFill="1" applyBorder="1" applyAlignment="1">
      <alignment wrapText="1"/>
    </xf>
    <xf numFmtId="0" fontId="23" fillId="18" borderId="28" xfId="0" applyFont="1" applyFill="1" applyBorder="1" applyAlignment="1">
      <alignment wrapText="1"/>
    </xf>
    <xf numFmtId="0" fontId="4" fillId="19" borderId="12" xfId="0" applyFont="1" applyFill="1" applyBorder="1" applyAlignment="1">
      <alignment wrapText="1"/>
    </xf>
    <xf numFmtId="0" fontId="22" fillId="19" borderId="12" xfId="0" applyFont="1" applyFill="1" applyBorder="1" applyAlignment="1">
      <alignment wrapText="1"/>
    </xf>
    <xf numFmtId="0" fontId="3" fillId="18" borderId="13" xfId="0" applyFont="1" applyFill="1" applyBorder="1" applyAlignment="1">
      <alignment wrapText="1"/>
    </xf>
    <xf numFmtId="0" fontId="3" fillId="18" borderId="11" xfId="0" applyFont="1" applyFill="1" applyBorder="1" applyAlignment="1">
      <alignment wrapText="1"/>
    </xf>
    <xf numFmtId="0" fontId="3" fillId="18" borderId="28" xfId="0" applyFont="1" applyFill="1" applyBorder="1" applyAlignment="1">
      <alignment wrapText="1"/>
    </xf>
    <xf numFmtId="0" fontId="4" fillId="18" borderId="8" xfId="0" applyFont="1" applyFill="1" applyBorder="1" applyAlignment="1">
      <alignment wrapText="1"/>
    </xf>
    <xf numFmtId="0" fontId="22" fillId="18" borderId="8" xfId="0" applyFont="1" applyFill="1" applyBorder="1" applyAlignment="1">
      <alignment wrapText="1"/>
    </xf>
    <xf numFmtId="0" fontId="4" fillId="19" borderId="8" xfId="0" applyFont="1" applyFill="1" applyBorder="1" applyAlignment="1">
      <alignment wrapText="1"/>
    </xf>
    <xf numFmtId="0" fontId="22" fillId="19" borderId="8" xfId="0" applyFont="1" applyFill="1" applyBorder="1" applyAlignment="1">
      <alignment wrapText="1"/>
    </xf>
    <xf numFmtId="0" fontId="22" fillId="0" borderId="12" xfId="0" applyFont="1" applyFill="1" applyBorder="1" applyAlignment="1">
      <alignment wrapText="1"/>
    </xf>
    <xf numFmtId="0" fontId="22" fillId="0" borderId="8" xfId="0" applyFont="1" applyFill="1" applyBorder="1" applyAlignment="1">
      <alignment wrapText="1"/>
    </xf>
    <xf numFmtId="0" fontId="3" fillId="18" borderId="13" xfId="0" applyFont="1" applyFill="1" applyBorder="1" applyAlignment="1"/>
    <xf numFmtId="0" fontId="3" fillId="18" borderId="11" xfId="0" applyFont="1" applyFill="1" applyBorder="1" applyAlignment="1"/>
    <xf numFmtId="0" fontId="3" fillId="18" borderId="28" xfId="0" applyFont="1" applyFill="1" applyBorder="1" applyAlignment="1"/>
    <xf numFmtId="0" fontId="3" fillId="15" borderId="13" xfId="0" applyFont="1" applyFill="1" applyBorder="1" applyAlignment="1">
      <alignment vertical="center" wrapText="1"/>
    </xf>
    <xf numFmtId="0" fontId="3" fillId="15" borderId="13" xfId="0" applyFont="1" applyFill="1" applyBorder="1" applyAlignment="1">
      <alignment vertical="center"/>
    </xf>
    <xf numFmtId="0" fontId="3" fillId="15" borderId="11" xfId="0" applyFont="1" applyFill="1" applyBorder="1" applyAlignment="1">
      <alignment vertical="center"/>
    </xf>
    <xf numFmtId="0" fontId="3" fillId="15" borderId="12" xfId="0" applyFont="1" applyFill="1" applyBorder="1" applyAlignment="1">
      <alignment vertical="center"/>
    </xf>
    <xf numFmtId="164" fontId="10" fillId="14" borderId="12" xfId="0" applyNumberFormat="1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wrapText="1"/>
    </xf>
    <xf numFmtId="0" fontId="3" fillId="18" borderId="6" xfId="0" applyFont="1" applyFill="1" applyBorder="1" applyAlignment="1">
      <alignment wrapText="1"/>
    </xf>
    <xf numFmtId="0" fontId="3" fillId="18" borderId="13" xfId="0" applyFont="1" applyFill="1" applyBorder="1" applyAlignment="1">
      <alignment wrapText="1"/>
    </xf>
    <xf numFmtId="0" fontId="4" fillId="19" borderId="5" xfId="0" applyFont="1" applyFill="1" applyBorder="1" applyAlignment="1">
      <alignment wrapText="1"/>
    </xf>
    <xf numFmtId="0" fontId="3" fillId="18" borderId="29" xfId="0" applyFont="1" applyFill="1" applyBorder="1" applyAlignment="1">
      <alignment wrapText="1"/>
    </xf>
    <xf numFmtId="0" fontId="4" fillId="19" borderId="6" xfId="0" applyFont="1" applyFill="1" applyBorder="1" applyAlignment="1">
      <alignment wrapText="1"/>
    </xf>
    <xf numFmtId="0" fontId="12" fillId="0" borderId="6" xfId="0" applyFont="1" applyFill="1" applyBorder="1" applyAlignment="1">
      <alignment wrapText="1"/>
    </xf>
    <xf numFmtId="0" fontId="15" fillId="0" borderId="8" xfId="0" applyFont="1" applyFill="1" applyBorder="1" applyAlignment="1">
      <alignment wrapText="1"/>
    </xf>
    <xf numFmtId="0" fontId="15" fillId="0" borderId="5" xfId="0" applyFont="1" applyFill="1" applyBorder="1" applyAlignment="1">
      <alignment wrapText="1"/>
    </xf>
    <xf numFmtId="0" fontId="4" fillId="0" borderId="5" xfId="0" applyFont="1" applyBorder="1" applyAlignment="1"/>
    <xf numFmtId="0" fontId="6" fillId="0" borderId="5" xfId="0" applyFont="1" applyBorder="1" applyAlignment="1"/>
  </cellXfs>
  <cellStyles count="2">
    <cellStyle name="Normal" xfId="0" builtinId="0"/>
    <cellStyle name="Percent" xfId="1" builtinId="5"/>
  </cellStyles>
  <dxfs count="108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239761</xdr:colOff>
      <xdr:row>1</xdr:row>
      <xdr:rowOff>119960</xdr:rowOff>
    </xdr:from>
    <xdr:ext cx="120015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761" y="269836"/>
          <a:ext cx="120015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97366</xdr:rowOff>
    </xdr:from>
    <xdr:to>
      <xdr:col>0</xdr:col>
      <xdr:colOff>509045</xdr:colOff>
      <xdr:row>0</xdr:row>
      <xdr:rowOff>465666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D707C-B7DE-F643-B6A7-0650FC1D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7366"/>
          <a:ext cx="331245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141159</xdr:rowOff>
    </xdr:from>
    <xdr:to>
      <xdr:col>0</xdr:col>
      <xdr:colOff>509045</xdr:colOff>
      <xdr:row>0</xdr:row>
      <xdr:rowOff>507999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6FF9E-5D2B-4B4F-8C07-7F59F640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41159"/>
          <a:ext cx="331245" cy="3668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Quarterl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8"/>
  <sheetViews>
    <sheetView tabSelected="1" topLeftCell="B1" zoomScale="112" workbookViewId="0">
      <selection activeCell="F4" sqref="F4"/>
    </sheetView>
  </sheetViews>
  <sheetFormatPr defaultColWidth="14.42578125" defaultRowHeight="15" customHeight="1"/>
  <cols>
    <col min="1" max="1" width="6.7109375" style="6" hidden="1" customWidth="1"/>
    <col min="2" max="3" width="3.28515625" style="6" customWidth="1"/>
    <col min="4" max="5" width="8.85546875" style="6" customWidth="1"/>
    <col min="6" max="6" width="21.7109375" style="6" customWidth="1"/>
    <col min="7" max="7" width="12.140625" style="6" customWidth="1"/>
    <col min="8" max="8" width="10.7109375" style="6" customWidth="1"/>
    <col min="9" max="9" width="8.85546875" style="6" customWidth="1"/>
    <col min="10" max="10" width="4.140625" style="6" customWidth="1"/>
    <col min="11" max="11" width="14.85546875" style="6" customWidth="1"/>
    <col min="12" max="12" width="12.28515625" style="6" customWidth="1"/>
    <col min="13" max="13" width="5.42578125" style="6" customWidth="1"/>
    <col min="14" max="15" width="13.140625" style="6" customWidth="1"/>
    <col min="16" max="16" width="8" style="6" customWidth="1"/>
    <col min="17" max="17" width="4.140625" style="6" customWidth="1"/>
    <col min="18" max="18" width="14.85546875" style="6" customWidth="1"/>
    <col min="19" max="19" width="12.28515625" style="6" customWidth="1"/>
    <col min="20" max="20" width="5.42578125" style="6" customWidth="1"/>
    <col min="21" max="22" width="13.140625" style="6" customWidth="1"/>
    <col min="23" max="23" width="5.7109375" style="6" customWidth="1"/>
    <col min="24" max="24" width="4.140625" style="6" customWidth="1"/>
    <col min="25" max="25" width="14.85546875" style="6" customWidth="1"/>
    <col min="26" max="26" width="12.28515625" style="6" customWidth="1"/>
    <col min="27" max="27" width="5.42578125" style="6" customWidth="1"/>
    <col min="28" max="29" width="13.140625" style="6" customWidth="1"/>
    <col min="30" max="30" width="8.85546875" style="6" customWidth="1"/>
    <col min="31" max="31" width="4.140625" style="6" customWidth="1"/>
    <col min="32" max="32" width="14.85546875" style="6" customWidth="1"/>
    <col min="33" max="33" width="12.28515625" style="6" customWidth="1"/>
    <col min="34" max="34" width="5.42578125" style="6" customWidth="1"/>
    <col min="35" max="36" width="13.140625" style="6" customWidth="1"/>
    <col min="37" max="37" width="5.7109375" style="6" customWidth="1"/>
    <col min="38" max="38" width="13.28515625" style="6" customWidth="1"/>
    <col min="39" max="39" width="15.140625" style="6" customWidth="1"/>
    <col min="40" max="40" width="8.85546875" style="6" customWidth="1"/>
    <col min="41" max="41" width="14.42578125" style="3" customWidth="1"/>
    <col min="42" max="16384" width="14.42578125" style="3"/>
  </cols>
  <sheetData>
    <row r="1" spans="1:40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s="9" customFormat="1">
      <c r="A7" s="7"/>
      <c r="B7" s="8"/>
      <c r="C7" s="50"/>
      <c r="D7" s="99" t="s">
        <v>0</v>
      </c>
      <c r="E7" s="97"/>
      <c r="F7" s="97"/>
      <c r="G7" s="97"/>
      <c r="H7" s="97"/>
      <c r="I7" s="97"/>
      <c r="J7" s="97"/>
      <c r="K7" s="97"/>
      <c r="L7" s="9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5.75" customHeight="1">
      <c r="A8" s="2"/>
      <c r="B8" s="2"/>
      <c r="C8" s="49">
        <v>1</v>
      </c>
      <c r="D8" s="117" t="s">
        <v>1</v>
      </c>
      <c r="E8" s="118"/>
      <c r="F8" s="118"/>
      <c r="G8" s="118"/>
      <c r="H8" s="118"/>
      <c r="I8" s="118"/>
      <c r="J8" s="118"/>
      <c r="K8" s="118"/>
      <c r="L8" s="119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"/>
      <c r="AD8" s="2"/>
      <c r="AE8" s="8"/>
      <c r="AF8" s="8"/>
      <c r="AG8" s="8"/>
      <c r="AH8" s="8"/>
      <c r="AI8" s="8"/>
      <c r="AJ8" s="8"/>
      <c r="AK8" s="8"/>
      <c r="AL8" s="2"/>
      <c r="AM8" s="2"/>
      <c r="AN8" s="2"/>
    </row>
    <row r="9" spans="1:40" ht="12.75" customHeight="1">
      <c r="A9" s="2"/>
      <c r="B9" s="2"/>
      <c r="C9" s="49">
        <v>2</v>
      </c>
      <c r="D9" s="117" t="s">
        <v>2</v>
      </c>
      <c r="E9" s="118"/>
      <c r="F9" s="118"/>
      <c r="G9" s="118"/>
      <c r="H9" s="118"/>
      <c r="I9" s="118"/>
      <c r="J9" s="118"/>
      <c r="K9" s="118"/>
      <c r="L9" s="119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"/>
      <c r="AD9" s="2"/>
      <c r="AE9" s="8"/>
      <c r="AF9" s="8"/>
      <c r="AG9" s="8"/>
      <c r="AH9" s="8"/>
      <c r="AI9" s="8"/>
      <c r="AJ9" s="8"/>
      <c r="AK9" s="8"/>
      <c r="AL9" s="2"/>
      <c r="AM9" s="2"/>
      <c r="AN9" s="2"/>
    </row>
    <row r="10" spans="1:40" ht="12.75" customHeight="1">
      <c r="A10" s="2"/>
      <c r="B10" s="2"/>
      <c r="C10" s="49">
        <v>3</v>
      </c>
      <c r="D10" s="117" t="s">
        <v>3</v>
      </c>
      <c r="E10" s="118"/>
      <c r="F10" s="118"/>
      <c r="G10" s="118"/>
      <c r="H10" s="118"/>
      <c r="I10" s="118"/>
      <c r="J10" s="118"/>
      <c r="K10" s="118"/>
      <c r="L10" s="119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"/>
      <c r="AD10" s="2"/>
      <c r="AE10" s="8"/>
      <c r="AF10" s="8"/>
      <c r="AG10" s="8"/>
      <c r="AH10" s="8"/>
      <c r="AI10" s="8"/>
      <c r="AJ10" s="8"/>
      <c r="AK10" s="8"/>
      <c r="AL10" s="2"/>
      <c r="AM10" s="2"/>
      <c r="AN10" s="2"/>
    </row>
    <row r="11" spans="1:40" ht="12.75" customHeight="1">
      <c r="A11" s="2"/>
      <c r="B11" s="2"/>
      <c r="C11" s="49">
        <v>4</v>
      </c>
      <c r="D11" s="117" t="s">
        <v>4</v>
      </c>
      <c r="E11" s="118"/>
      <c r="F11" s="118"/>
      <c r="G11" s="118"/>
      <c r="H11" s="118"/>
      <c r="I11" s="118"/>
      <c r="J11" s="118"/>
      <c r="K11" s="118"/>
      <c r="L11" s="119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"/>
      <c r="AD11" s="2"/>
      <c r="AE11" s="8"/>
      <c r="AF11" s="8"/>
      <c r="AG11" s="8"/>
      <c r="AH11" s="8"/>
      <c r="AI11" s="8"/>
      <c r="AJ11" s="8"/>
      <c r="AK11" s="8"/>
      <c r="AL11" s="2"/>
      <c r="AM11" s="2"/>
      <c r="AN11" s="2"/>
    </row>
    <row r="12" spans="1:40" ht="12.75" customHeight="1">
      <c r="A12" s="2"/>
      <c r="B12" s="2"/>
      <c r="C12" s="49">
        <v>5</v>
      </c>
      <c r="D12" s="117" t="s">
        <v>5</v>
      </c>
      <c r="E12" s="118"/>
      <c r="F12" s="118"/>
      <c r="G12" s="118"/>
      <c r="H12" s="118"/>
      <c r="I12" s="118"/>
      <c r="J12" s="118"/>
      <c r="K12" s="118"/>
      <c r="L12" s="119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2"/>
      <c r="AD12" s="2"/>
      <c r="AE12" s="8"/>
      <c r="AF12" s="8"/>
      <c r="AG12" s="8"/>
      <c r="AH12" s="8"/>
      <c r="AI12" s="8"/>
      <c r="AJ12" s="8"/>
      <c r="AK12" s="8"/>
      <c r="AL12" s="2"/>
      <c r="AM12" s="2"/>
      <c r="AN12" s="2"/>
    </row>
    <row r="13" spans="1:40" ht="12.75" customHeight="1">
      <c r="A13" s="2"/>
      <c r="B13" s="2"/>
      <c r="C13" s="49">
        <v>6</v>
      </c>
      <c r="D13" s="117" t="s">
        <v>6</v>
      </c>
      <c r="E13" s="118"/>
      <c r="F13" s="118"/>
      <c r="G13" s="118"/>
      <c r="H13" s="118"/>
      <c r="I13" s="118"/>
      <c r="J13" s="118"/>
      <c r="K13" s="118"/>
      <c r="L13" s="119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"/>
      <c r="AD13" s="2"/>
      <c r="AE13" s="8"/>
      <c r="AF13" s="8"/>
      <c r="AG13" s="8"/>
      <c r="AH13" s="8"/>
      <c r="AI13" s="8"/>
      <c r="AJ13" s="8"/>
      <c r="AK13" s="8"/>
      <c r="AL13" s="2"/>
      <c r="AM13" s="2"/>
      <c r="AN13" s="2"/>
    </row>
    <row r="14" spans="1:40" ht="12.75" customHeight="1">
      <c r="A14" s="2"/>
      <c r="B14" s="2"/>
      <c r="C14" s="49">
        <v>7</v>
      </c>
      <c r="D14" s="117" t="s">
        <v>7</v>
      </c>
      <c r="E14" s="118"/>
      <c r="F14" s="118"/>
      <c r="G14" s="118"/>
      <c r="H14" s="118"/>
      <c r="I14" s="118"/>
      <c r="J14" s="118"/>
      <c r="K14" s="118"/>
      <c r="L14" s="119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2"/>
      <c r="AD14" s="2"/>
      <c r="AE14" s="8"/>
      <c r="AF14" s="8"/>
      <c r="AG14" s="8"/>
      <c r="AH14" s="8"/>
      <c r="AI14" s="8"/>
      <c r="AJ14" s="8"/>
      <c r="AK14" s="8"/>
      <c r="AL14" s="2"/>
      <c r="AM14" s="2"/>
      <c r="AN14" s="2"/>
    </row>
    <row r="15" spans="1:40" s="9" customFormat="1">
      <c r="A15" s="7"/>
      <c r="B15" s="8"/>
      <c r="C15" s="52"/>
      <c r="D15" s="100" t="s">
        <v>8</v>
      </c>
      <c r="E15" s="101"/>
      <c r="F15" s="101"/>
      <c r="G15" s="101"/>
      <c r="H15" s="101"/>
      <c r="I15" s="101"/>
      <c r="J15" s="102"/>
      <c r="K15" s="53" t="s">
        <v>9</v>
      </c>
      <c r="L15" s="54" t="s">
        <v>10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2.75" customHeight="1">
      <c r="A16" s="2"/>
      <c r="B16" s="2"/>
      <c r="C16" s="49">
        <v>1</v>
      </c>
      <c r="D16" s="120" t="s">
        <v>11</v>
      </c>
      <c r="E16" s="121"/>
      <c r="F16" s="121"/>
      <c r="G16" s="121"/>
      <c r="H16" s="121"/>
      <c r="I16" s="121"/>
      <c r="J16" s="122"/>
      <c r="K16" s="123" t="s">
        <v>12</v>
      </c>
      <c r="L16" s="123" t="s">
        <v>13</v>
      </c>
      <c r="M16" s="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"/>
      <c r="AD16" s="2"/>
      <c r="AE16" s="8"/>
      <c r="AF16" s="8"/>
      <c r="AG16" s="8"/>
      <c r="AH16" s="8"/>
      <c r="AI16" s="8"/>
      <c r="AJ16" s="8"/>
      <c r="AK16" s="8"/>
      <c r="AL16" s="2"/>
      <c r="AM16" s="2"/>
      <c r="AN16" s="2"/>
    </row>
    <row r="17" spans="1:40" ht="12.75" customHeight="1">
      <c r="A17" s="2"/>
      <c r="B17" s="2"/>
      <c r="C17" s="49">
        <v>2</v>
      </c>
      <c r="D17" s="120" t="s">
        <v>14</v>
      </c>
      <c r="E17" s="121"/>
      <c r="F17" s="121"/>
      <c r="G17" s="121"/>
      <c r="H17" s="121"/>
      <c r="I17" s="121"/>
      <c r="J17" s="122"/>
      <c r="K17" s="124" t="s">
        <v>15</v>
      </c>
      <c r="L17" s="124" t="s">
        <v>16</v>
      </c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"/>
      <c r="AD17" s="2"/>
      <c r="AE17" s="8"/>
      <c r="AF17" s="8"/>
      <c r="AG17" s="8"/>
      <c r="AH17" s="8"/>
      <c r="AI17" s="8"/>
      <c r="AJ17" s="8"/>
      <c r="AK17" s="8"/>
      <c r="AL17" s="2"/>
      <c r="AM17" s="2"/>
      <c r="AN17" s="2"/>
    </row>
    <row r="18" spans="1:40" ht="12.75" customHeight="1">
      <c r="A18" s="2"/>
      <c r="B18" s="2"/>
      <c r="C18" s="49">
        <v>3</v>
      </c>
      <c r="D18" s="125" t="s">
        <v>17</v>
      </c>
      <c r="E18" s="126"/>
      <c r="F18" s="126"/>
      <c r="G18" s="126"/>
      <c r="H18" s="126"/>
      <c r="I18" s="126"/>
      <c r="J18" s="127"/>
      <c r="K18" s="124" t="s">
        <v>15</v>
      </c>
      <c r="L18" s="124" t="s">
        <v>16</v>
      </c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"/>
      <c r="AD18" s="2"/>
      <c r="AE18" s="8"/>
      <c r="AF18" s="8"/>
      <c r="AG18" s="8"/>
      <c r="AH18" s="8"/>
      <c r="AI18" s="8"/>
      <c r="AJ18" s="8"/>
      <c r="AK18" s="8"/>
      <c r="AL18" s="2"/>
      <c r="AM18" s="2"/>
      <c r="AN18" s="2"/>
    </row>
    <row r="19" spans="1:40" ht="12.75" customHeight="1">
      <c r="A19" s="2"/>
      <c r="B19" s="2"/>
      <c r="C19" s="49">
        <v>4</v>
      </c>
      <c r="D19" s="125" t="s">
        <v>18</v>
      </c>
      <c r="E19" s="126"/>
      <c r="F19" s="126"/>
      <c r="G19" s="126"/>
      <c r="H19" s="126"/>
      <c r="I19" s="126"/>
      <c r="J19" s="127"/>
      <c r="K19" s="124" t="s">
        <v>19</v>
      </c>
      <c r="L19" s="124" t="s">
        <v>20</v>
      </c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  <c r="AE19" s="8"/>
      <c r="AF19" s="8"/>
      <c r="AG19" s="8"/>
      <c r="AH19" s="8"/>
      <c r="AI19" s="8"/>
      <c r="AJ19" s="8"/>
      <c r="AK19" s="8"/>
      <c r="AL19" s="2"/>
      <c r="AM19" s="2"/>
      <c r="AN19" s="2"/>
    </row>
    <row r="20" spans="1:40" ht="12.75" customHeight="1">
      <c r="A20" s="2"/>
      <c r="B20" s="2"/>
      <c r="C20" s="49">
        <v>5</v>
      </c>
      <c r="D20" s="120" t="s">
        <v>21</v>
      </c>
      <c r="E20" s="121"/>
      <c r="F20" s="121"/>
      <c r="G20" s="121"/>
      <c r="H20" s="121"/>
      <c r="I20" s="121"/>
      <c r="J20" s="122"/>
      <c r="K20" s="124" t="s">
        <v>19</v>
      </c>
      <c r="L20" s="124" t="s">
        <v>22</v>
      </c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  <c r="AE20" s="8"/>
      <c r="AF20" s="8"/>
      <c r="AG20" s="8"/>
      <c r="AH20" s="8"/>
      <c r="AI20" s="8"/>
      <c r="AJ20" s="8"/>
      <c r="AK20" s="8"/>
      <c r="AL20" s="2"/>
      <c r="AM20" s="2"/>
      <c r="AN20" s="2"/>
    </row>
    <row r="21" spans="1:40" ht="12.75" customHeight="1">
      <c r="A21" s="2"/>
      <c r="B21" s="2"/>
      <c r="C21" s="49">
        <v>6</v>
      </c>
      <c r="D21" s="125" t="s">
        <v>23</v>
      </c>
      <c r="E21" s="126"/>
      <c r="F21" s="126"/>
      <c r="G21" s="126"/>
      <c r="H21" s="126"/>
      <c r="I21" s="126"/>
      <c r="J21" s="127"/>
      <c r="K21" s="124" t="s">
        <v>12</v>
      </c>
      <c r="L21" s="124" t="s">
        <v>24</v>
      </c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2"/>
      <c r="AD21" s="2"/>
      <c r="AE21" s="8"/>
      <c r="AF21" s="8"/>
      <c r="AG21" s="8"/>
      <c r="AH21" s="8"/>
      <c r="AI21" s="8"/>
      <c r="AJ21" s="8"/>
      <c r="AK21" s="8"/>
      <c r="AL21" s="2"/>
      <c r="AM21" s="2"/>
      <c r="AN21" s="2"/>
    </row>
    <row r="22" spans="1:40" ht="12.75" customHeight="1">
      <c r="A22" s="2"/>
      <c r="B22" s="2"/>
      <c r="C22" s="49">
        <v>7</v>
      </c>
      <c r="D22" s="120" t="s">
        <v>25</v>
      </c>
      <c r="E22" s="121"/>
      <c r="F22" s="121"/>
      <c r="G22" s="121"/>
      <c r="H22" s="121"/>
      <c r="I22" s="121"/>
      <c r="J22" s="122"/>
      <c r="K22" s="124" t="s">
        <v>26</v>
      </c>
      <c r="L22" s="124" t="s">
        <v>27</v>
      </c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2"/>
      <c r="AD22" s="2"/>
      <c r="AE22" s="8"/>
      <c r="AF22" s="8"/>
      <c r="AG22" s="8"/>
      <c r="AH22" s="8"/>
      <c r="AI22" s="8"/>
      <c r="AJ22" s="8"/>
      <c r="AK22" s="8"/>
      <c r="AL22" s="2"/>
      <c r="AM22" s="2"/>
      <c r="AN22" s="2"/>
    </row>
    <row r="23" spans="1:40" ht="12.75" customHeight="1">
      <c r="A23" s="2"/>
      <c r="B23" s="2"/>
      <c r="C23" s="49">
        <v>8</v>
      </c>
      <c r="D23" s="120" t="s">
        <v>28</v>
      </c>
      <c r="E23" s="121"/>
      <c r="F23" s="121"/>
      <c r="G23" s="121"/>
      <c r="H23" s="121"/>
      <c r="I23" s="121"/>
      <c r="J23" s="122"/>
      <c r="K23" s="124" t="s">
        <v>29</v>
      </c>
      <c r="L23" s="124" t="s">
        <v>30</v>
      </c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2"/>
      <c r="AD23" s="2"/>
      <c r="AE23" s="8"/>
      <c r="AF23" s="8"/>
      <c r="AG23" s="8"/>
      <c r="AH23" s="8"/>
      <c r="AI23" s="8"/>
      <c r="AJ23" s="8"/>
      <c r="AK23" s="8"/>
      <c r="AL23" s="2"/>
      <c r="AM23" s="2"/>
      <c r="AN23" s="2"/>
    </row>
    <row r="24" spans="1:40" ht="12.75" customHeight="1">
      <c r="A24" s="2"/>
      <c r="B24" s="2"/>
      <c r="C24" s="49">
        <v>9</v>
      </c>
      <c r="D24" s="120" t="s">
        <v>31</v>
      </c>
      <c r="E24" s="121"/>
      <c r="F24" s="121"/>
      <c r="G24" s="121"/>
      <c r="H24" s="121"/>
      <c r="I24" s="121"/>
      <c r="J24" s="122"/>
      <c r="K24" s="124" t="s">
        <v>32</v>
      </c>
      <c r="L24" s="124" t="s">
        <v>33</v>
      </c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2"/>
      <c r="AD24" s="2"/>
      <c r="AE24" s="8"/>
      <c r="AF24" s="8"/>
      <c r="AG24" s="8"/>
      <c r="AH24" s="8"/>
      <c r="AI24" s="8"/>
      <c r="AJ24" s="8"/>
      <c r="AK24" s="8"/>
      <c r="AL24" s="2"/>
      <c r="AM24" s="2"/>
      <c r="AN24" s="2"/>
    </row>
    <row r="25" spans="1:40" ht="12.75" customHeight="1">
      <c r="A25" s="2"/>
      <c r="B25" s="2"/>
      <c r="C25" s="49">
        <v>10</v>
      </c>
      <c r="D25" s="120" t="s">
        <v>34</v>
      </c>
      <c r="E25" s="121"/>
      <c r="F25" s="121"/>
      <c r="G25" s="121"/>
      <c r="H25" s="121"/>
      <c r="I25" s="121"/>
      <c r="J25" s="128"/>
      <c r="K25" s="124" t="s">
        <v>35</v>
      </c>
      <c r="L25" s="124" t="s">
        <v>33</v>
      </c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"/>
      <c r="AD25" s="2"/>
      <c r="AE25" s="8"/>
      <c r="AF25" s="8"/>
      <c r="AG25" s="8"/>
      <c r="AH25" s="8"/>
      <c r="AI25" s="8"/>
      <c r="AJ25" s="8"/>
      <c r="AK25" s="8"/>
      <c r="AL25" s="2"/>
      <c r="AM25" s="2"/>
      <c r="AN25" s="2"/>
    </row>
    <row r="26" spans="1:40" ht="12.75" customHeight="1">
      <c r="A26" s="2"/>
      <c r="B26" s="2"/>
      <c r="C26" s="49">
        <v>11</v>
      </c>
      <c r="D26" s="120" t="s">
        <v>36</v>
      </c>
      <c r="E26" s="121"/>
      <c r="F26" s="121"/>
      <c r="G26" s="121"/>
      <c r="H26" s="121"/>
      <c r="I26" s="121"/>
      <c r="J26" s="122"/>
      <c r="K26" s="124" t="s">
        <v>32</v>
      </c>
      <c r="L26" s="124" t="s">
        <v>33</v>
      </c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"/>
      <c r="AD26" s="2"/>
      <c r="AE26" s="8"/>
      <c r="AF26" s="8"/>
      <c r="AG26" s="8"/>
      <c r="AH26" s="8"/>
      <c r="AI26" s="8"/>
      <c r="AJ26" s="8"/>
      <c r="AK26" s="8"/>
      <c r="AL26" s="2"/>
      <c r="AM26" s="2"/>
      <c r="AN26" s="2"/>
    </row>
    <row r="27" spans="1:40" ht="12.75" customHeight="1">
      <c r="A27" s="2"/>
      <c r="B27" s="2"/>
      <c r="C27" s="49">
        <v>12</v>
      </c>
      <c r="D27" s="120" t="s">
        <v>37</v>
      </c>
      <c r="E27" s="121"/>
      <c r="F27" s="121"/>
      <c r="G27" s="121"/>
      <c r="H27" s="121"/>
      <c r="I27" s="121"/>
      <c r="J27" s="122"/>
      <c r="K27" s="124" t="s">
        <v>38</v>
      </c>
      <c r="L27" s="124" t="s">
        <v>33</v>
      </c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"/>
      <c r="AD27" s="2"/>
      <c r="AE27" s="8"/>
      <c r="AF27" s="8"/>
      <c r="AG27" s="8"/>
      <c r="AH27" s="8"/>
      <c r="AI27" s="8"/>
      <c r="AJ27" s="8"/>
      <c r="AK27" s="8"/>
      <c r="AL27" s="2"/>
      <c r="AM27" s="2"/>
      <c r="AN27" s="2"/>
    </row>
    <row r="28" spans="1:40" ht="12.75" customHeight="1">
      <c r="A28" s="2"/>
      <c r="B28" s="2"/>
      <c r="C28" s="49">
        <v>13</v>
      </c>
      <c r="D28" s="120" t="s">
        <v>39</v>
      </c>
      <c r="E28" s="121"/>
      <c r="F28" s="121"/>
      <c r="G28" s="121"/>
      <c r="H28" s="121"/>
      <c r="I28" s="121"/>
      <c r="J28" s="122"/>
      <c r="K28" s="129" t="s">
        <v>40</v>
      </c>
      <c r="L28" s="130" t="s">
        <v>33</v>
      </c>
      <c r="M28" s="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"/>
      <c r="AD28" s="2"/>
      <c r="AE28" s="8"/>
      <c r="AF28" s="8"/>
      <c r="AG28" s="8"/>
      <c r="AH28" s="8"/>
      <c r="AI28" s="8"/>
      <c r="AJ28" s="8"/>
      <c r="AK28" s="8"/>
      <c r="AL28" s="2"/>
      <c r="AM28" s="2"/>
      <c r="AN28" s="2"/>
    </row>
    <row r="29" spans="1:40" ht="12.75" customHeight="1">
      <c r="A29" s="2"/>
      <c r="B29" s="2"/>
      <c r="C29" s="49">
        <v>14</v>
      </c>
      <c r="D29" s="120" t="s">
        <v>41</v>
      </c>
      <c r="E29" s="121"/>
      <c r="F29" s="121"/>
      <c r="G29" s="121"/>
      <c r="H29" s="121"/>
      <c r="I29" s="121"/>
      <c r="J29" s="122"/>
      <c r="K29" s="129" t="s">
        <v>42</v>
      </c>
      <c r="L29" s="130" t="s">
        <v>43</v>
      </c>
      <c r="M29" s="2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"/>
      <c r="AD29" s="2"/>
      <c r="AE29" s="8"/>
      <c r="AF29" s="8"/>
      <c r="AG29" s="8"/>
      <c r="AH29" s="8"/>
      <c r="AI29" s="8"/>
      <c r="AJ29" s="8"/>
      <c r="AK29" s="8"/>
      <c r="AL29" s="2"/>
      <c r="AM29" s="2"/>
      <c r="AN29" s="2"/>
    </row>
    <row r="30" spans="1:40" ht="12.75" customHeight="1">
      <c r="A30" s="2"/>
      <c r="B30" s="2"/>
      <c r="C30" s="49">
        <v>15</v>
      </c>
      <c r="D30" s="131" t="s">
        <v>44</v>
      </c>
      <c r="E30" s="132"/>
      <c r="F30" s="132"/>
      <c r="G30" s="132"/>
      <c r="H30" s="132"/>
      <c r="I30" s="132"/>
      <c r="J30" s="133"/>
      <c r="K30" s="129" t="s">
        <v>45</v>
      </c>
      <c r="L30" s="130" t="s">
        <v>33</v>
      </c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"/>
      <c r="AD30" s="2"/>
      <c r="AE30" s="8"/>
      <c r="AF30" s="8"/>
      <c r="AG30" s="8"/>
      <c r="AH30" s="8"/>
      <c r="AI30" s="8"/>
      <c r="AJ30" s="8"/>
      <c r="AK30" s="8"/>
      <c r="AL30" s="2"/>
      <c r="AM30" s="2"/>
      <c r="AN30" s="2"/>
    </row>
    <row r="31" spans="1:40" ht="12.75" customHeight="1">
      <c r="A31" s="2"/>
      <c r="B31" s="2"/>
      <c r="C31" s="49">
        <v>16</v>
      </c>
      <c r="D31" s="120" t="s">
        <v>46</v>
      </c>
      <c r="E31" s="121"/>
      <c r="F31" s="121"/>
      <c r="G31" s="121"/>
      <c r="H31" s="121"/>
      <c r="I31" s="121"/>
      <c r="J31" s="122"/>
      <c r="K31" s="129" t="s">
        <v>47</v>
      </c>
      <c r="L31" s="129" t="s">
        <v>48</v>
      </c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"/>
      <c r="AD31" s="2"/>
      <c r="AE31" s="8"/>
      <c r="AF31" s="8"/>
      <c r="AG31" s="8"/>
      <c r="AH31" s="8"/>
      <c r="AI31" s="8"/>
      <c r="AJ31" s="8"/>
      <c r="AK31" s="8"/>
      <c r="AL31" s="2"/>
      <c r="AM31" s="2"/>
      <c r="AN31" s="2"/>
    </row>
    <row r="32" spans="1:40" s="2" customFormat="1" ht="12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E32" s="8"/>
      <c r="AF32" s="8"/>
      <c r="AG32" s="8"/>
      <c r="AH32" s="8"/>
      <c r="AI32" s="8"/>
      <c r="AJ32" s="8"/>
      <c r="AK32" s="8"/>
    </row>
    <row r="33" spans="1:40" s="9" customFormat="1">
      <c r="A33" s="7"/>
      <c r="B33" s="8"/>
      <c r="C33" s="50"/>
      <c r="D33" s="98" t="s">
        <v>49</v>
      </c>
      <c r="E33" s="97"/>
      <c r="F33" s="97"/>
      <c r="G33" s="97"/>
      <c r="H33" s="97"/>
      <c r="I33" s="97"/>
      <c r="J33" s="97"/>
      <c r="K33" s="97"/>
      <c r="L33" s="9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0" ht="12.75" customHeight="1">
      <c r="A34" s="4"/>
      <c r="B34" s="2"/>
      <c r="C34" s="49">
        <v>1</v>
      </c>
      <c r="D34" s="117" t="s">
        <v>50</v>
      </c>
      <c r="E34" s="118"/>
      <c r="F34" s="118"/>
      <c r="G34" s="118"/>
      <c r="H34" s="118"/>
      <c r="I34" s="118"/>
      <c r="J34" s="118"/>
      <c r="K34" s="118"/>
      <c r="L34" s="119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"/>
      <c r="AD34" s="2"/>
      <c r="AE34" s="8"/>
      <c r="AF34" s="8"/>
      <c r="AG34" s="8"/>
      <c r="AH34" s="8"/>
      <c r="AI34" s="8"/>
      <c r="AJ34" s="8"/>
      <c r="AK34" s="8"/>
      <c r="AL34" s="2"/>
      <c r="AM34" s="2"/>
      <c r="AN34" s="2"/>
    </row>
    <row r="35" spans="1:40" ht="12.75" customHeight="1">
      <c r="A35" s="4"/>
      <c r="B35" s="2"/>
      <c r="C35" s="49">
        <v>2</v>
      </c>
      <c r="D35" s="117" t="s">
        <v>51</v>
      </c>
      <c r="E35" s="118"/>
      <c r="F35" s="118"/>
      <c r="G35" s="118"/>
      <c r="H35" s="118"/>
      <c r="I35" s="118"/>
      <c r="J35" s="118"/>
      <c r="K35" s="118"/>
      <c r="L35" s="119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"/>
      <c r="AD35" s="2"/>
      <c r="AE35" s="8"/>
      <c r="AF35" s="8"/>
      <c r="AG35" s="8"/>
      <c r="AH35" s="8"/>
      <c r="AI35" s="8"/>
      <c r="AJ35" s="8"/>
      <c r="AK35" s="8"/>
      <c r="AL35" s="2"/>
      <c r="AM35" s="2"/>
      <c r="AN35" s="2"/>
    </row>
    <row r="36" spans="1:40" ht="12.75" customHeight="1">
      <c r="A36" s="4"/>
      <c r="B36" s="2"/>
      <c r="C36" s="49">
        <v>3</v>
      </c>
      <c r="D36" s="117" t="s">
        <v>3</v>
      </c>
      <c r="E36" s="118"/>
      <c r="F36" s="118"/>
      <c r="G36" s="118"/>
      <c r="H36" s="118"/>
      <c r="I36" s="118"/>
      <c r="J36" s="118"/>
      <c r="K36" s="118"/>
      <c r="L36" s="119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"/>
      <c r="AD36" s="2"/>
      <c r="AE36" s="8"/>
      <c r="AF36" s="8"/>
      <c r="AG36" s="8"/>
      <c r="AH36" s="8"/>
      <c r="AI36" s="8"/>
      <c r="AJ36" s="8"/>
      <c r="AK36" s="8"/>
      <c r="AL36" s="2"/>
      <c r="AM36" s="2"/>
      <c r="AN36" s="2"/>
    </row>
    <row r="37" spans="1:40" ht="12.75" customHeight="1">
      <c r="A37" s="4"/>
      <c r="B37" s="2"/>
      <c r="C37" s="49">
        <v>4</v>
      </c>
      <c r="D37" s="117" t="s">
        <v>52</v>
      </c>
      <c r="E37" s="118"/>
      <c r="F37" s="118"/>
      <c r="G37" s="118"/>
      <c r="H37" s="118"/>
      <c r="I37" s="118"/>
      <c r="J37" s="118"/>
      <c r="K37" s="118"/>
      <c r="L37" s="119"/>
      <c r="M37" s="2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2"/>
      <c r="AD37" s="2"/>
      <c r="AE37" s="8"/>
      <c r="AF37" s="8"/>
      <c r="AG37" s="8"/>
      <c r="AH37" s="8"/>
      <c r="AI37" s="8"/>
      <c r="AJ37" s="8"/>
      <c r="AK37" s="8"/>
      <c r="AL37" s="2"/>
      <c r="AM37" s="2"/>
      <c r="AN37" s="2"/>
    </row>
    <row r="38" spans="1:40" ht="12.75" customHeight="1">
      <c r="A38" s="4"/>
      <c r="B38" s="2"/>
      <c r="C38" s="49">
        <v>5</v>
      </c>
      <c r="D38" s="117" t="s">
        <v>53</v>
      </c>
      <c r="E38" s="118"/>
      <c r="F38" s="118"/>
      <c r="G38" s="118"/>
      <c r="H38" s="118"/>
      <c r="I38" s="118"/>
      <c r="J38" s="118"/>
      <c r="K38" s="118"/>
      <c r="L38" s="119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2"/>
      <c r="AD38" s="2"/>
      <c r="AE38" s="8"/>
      <c r="AF38" s="8"/>
      <c r="AG38" s="8"/>
      <c r="AH38" s="8"/>
      <c r="AI38" s="8"/>
      <c r="AJ38" s="8"/>
      <c r="AK38" s="8"/>
      <c r="AL38" s="2"/>
      <c r="AM38" s="2"/>
      <c r="AN38" s="2"/>
    </row>
    <row r="39" spans="1:40" ht="12.75" customHeight="1">
      <c r="A39" s="4"/>
      <c r="B39" s="2"/>
      <c r="C39" s="49">
        <v>6</v>
      </c>
      <c r="D39" s="117" t="s">
        <v>54</v>
      </c>
      <c r="E39" s="118"/>
      <c r="F39" s="118"/>
      <c r="G39" s="118"/>
      <c r="H39" s="118"/>
      <c r="I39" s="118"/>
      <c r="J39" s="118"/>
      <c r="K39" s="118"/>
      <c r="L39" s="119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2"/>
      <c r="AD39" s="2"/>
      <c r="AE39" s="8"/>
      <c r="AF39" s="8"/>
      <c r="AG39" s="8"/>
      <c r="AH39" s="8"/>
      <c r="AI39" s="8"/>
      <c r="AJ39" s="8"/>
      <c r="AK39" s="8"/>
      <c r="AL39" s="2"/>
      <c r="AM39" s="2"/>
      <c r="AN39" s="2"/>
    </row>
    <row r="40" spans="1:40" ht="12.75" customHeight="1">
      <c r="A40" s="4"/>
      <c r="B40" s="2"/>
      <c r="C40" s="49">
        <v>7</v>
      </c>
      <c r="D40" s="117" t="s">
        <v>55</v>
      </c>
      <c r="E40" s="118"/>
      <c r="F40" s="118"/>
      <c r="G40" s="118"/>
      <c r="H40" s="118"/>
      <c r="I40" s="118"/>
      <c r="J40" s="118"/>
      <c r="K40" s="118"/>
      <c r="L40" s="119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2"/>
      <c r="AD40" s="2"/>
      <c r="AE40" s="8"/>
      <c r="AF40" s="8"/>
      <c r="AG40" s="8"/>
      <c r="AH40" s="8"/>
      <c r="AI40" s="8"/>
      <c r="AJ40" s="8"/>
      <c r="AK40" s="8"/>
      <c r="AL40" s="2"/>
      <c r="AM40" s="2"/>
      <c r="AN40" s="2"/>
    </row>
    <row r="41" spans="1:40" s="9" customFormat="1">
      <c r="A41" s="7"/>
      <c r="B41" s="8"/>
      <c r="C41" s="50"/>
      <c r="D41" s="96" t="s">
        <v>56</v>
      </c>
      <c r="E41" s="97"/>
      <c r="F41" s="97"/>
      <c r="G41" s="97"/>
      <c r="H41" s="97"/>
      <c r="I41" s="97"/>
      <c r="J41" s="97"/>
      <c r="K41" s="55" t="s">
        <v>9</v>
      </c>
      <c r="L41" s="56" t="s">
        <v>10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ht="12.75" customHeight="1">
      <c r="A42" s="4"/>
      <c r="B42" s="2"/>
      <c r="C42" s="49">
        <v>1</v>
      </c>
      <c r="D42" s="171"/>
      <c r="E42" s="172"/>
      <c r="F42" s="172"/>
      <c r="G42" s="172"/>
      <c r="H42" s="172"/>
      <c r="I42" s="172"/>
      <c r="J42" s="172"/>
      <c r="K42" s="57" t="s">
        <v>57</v>
      </c>
      <c r="L42" s="58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8"/>
      <c r="AF42" s="8"/>
      <c r="AG42" s="8"/>
      <c r="AH42" s="8"/>
      <c r="AI42" s="8"/>
      <c r="AJ42" s="8"/>
      <c r="AK42" s="8"/>
      <c r="AL42" s="2"/>
      <c r="AM42" s="2"/>
      <c r="AN42" s="2"/>
    </row>
    <row r="43" spans="1:40" ht="12.75" customHeight="1">
      <c r="A43" s="4"/>
      <c r="B43" s="2"/>
      <c r="C43" s="49">
        <v>2</v>
      </c>
      <c r="D43" s="171"/>
      <c r="E43" s="172"/>
      <c r="F43" s="172"/>
      <c r="G43" s="172"/>
      <c r="H43" s="172"/>
      <c r="I43" s="172"/>
      <c r="J43" s="172"/>
      <c r="K43" s="57"/>
      <c r="L43" s="58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8"/>
      <c r="AF43" s="8"/>
      <c r="AG43" s="8"/>
      <c r="AH43" s="8"/>
      <c r="AI43" s="8"/>
      <c r="AJ43" s="8"/>
      <c r="AK43" s="8"/>
      <c r="AL43" s="2"/>
      <c r="AM43" s="2"/>
      <c r="AN43" s="2"/>
    </row>
    <row r="44" spans="1:40" ht="12.75" customHeight="1">
      <c r="A44" s="4"/>
      <c r="B44" s="2"/>
      <c r="C44" s="49">
        <v>3</v>
      </c>
      <c r="D44" s="171"/>
      <c r="E44" s="172"/>
      <c r="F44" s="172"/>
      <c r="G44" s="172"/>
      <c r="H44" s="172"/>
      <c r="I44" s="172"/>
      <c r="J44" s="172"/>
      <c r="K44" s="57"/>
      <c r="L44" s="58"/>
      <c r="M44" s="2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2"/>
      <c r="AD44" s="2"/>
      <c r="AE44" s="8"/>
      <c r="AF44" s="8"/>
      <c r="AG44" s="8"/>
      <c r="AH44" s="8"/>
      <c r="AI44" s="8"/>
      <c r="AJ44" s="8"/>
      <c r="AK44" s="8"/>
      <c r="AL44" s="2"/>
      <c r="AM44" s="2"/>
      <c r="AN44" s="2"/>
    </row>
    <row r="45" spans="1:40" ht="12.75" customHeight="1">
      <c r="A45" s="4"/>
      <c r="B45" s="2"/>
      <c r="C45" s="49">
        <v>4</v>
      </c>
      <c r="D45" s="171"/>
      <c r="E45" s="172"/>
      <c r="F45" s="172"/>
      <c r="G45" s="172"/>
      <c r="H45" s="172"/>
      <c r="I45" s="172"/>
      <c r="J45" s="172"/>
      <c r="K45" s="57"/>
      <c r="L45" s="58"/>
      <c r="M45" s="2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2"/>
      <c r="AD45" s="2"/>
      <c r="AE45" s="8"/>
      <c r="AF45" s="8"/>
      <c r="AG45" s="8"/>
      <c r="AH45" s="8"/>
      <c r="AI45" s="8"/>
      <c r="AJ45" s="8"/>
      <c r="AK45" s="8"/>
      <c r="AL45" s="2"/>
      <c r="AM45" s="2"/>
      <c r="AN45" s="2"/>
    </row>
    <row r="46" spans="1:40" ht="12.75" customHeight="1">
      <c r="A46" s="4"/>
      <c r="B46" s="2"/>
      <c r="C46" s="49">
        <v>5</v>
      </c>
      <c r="D46" s="171"/>
      <c r="E46" s="172"/>
      <c r="F46" s="172"/>
      <c r="G46" s="172"/>
      <c r="H46" s="172"/>
      <c r="I46" s="172"/>
      <c r="J46" s="172"/>
      <c r="K46" s="57"/>
      <c r="L46" s="58"/>
      <c r="M46" s="2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2"/>
      <c r="AD46" s="2"/>
      <c r="AE46" s="8"/>
      <c r="AF46" s="8"/>
      <c r="AG46" s="8"/>
      <c r="AH46" s="8"/>
      <c r="AI46" s="8"/>
      <c r="AJ46" s="8"/>
      <c r="AK46" s="8"/>
      <c r="AL46" s="2"/>
      <c r="AM46" s="2"/>
      <c r="AN46" s="2"/>
    </row>
    <row r="47" spans="1:40" ht="12.75" customHeight="1">
      <c r="A47" s="4"/>
      <c r="B47" s="2"/>
      <c r="C47" s="49">
        <v>6</v>
      </c>
      <c r="D47" s="171"/>
      <c r="E47" s="172"/>
      <c r="F47" s="172"/>
      <c r="G47" s="172"/>
      <c r="H47" s="172"/>
      <c r="I47" s="172"/>
      <c r="J47" s="172"/>
      <c r="K47" s="57"/>
      <c r="L47" s="58"/>
      <c r="M47" s="2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2"/>
      <c r="AD47" s="2"/>
      <c r="AE47" s="8"/>
      <c r="AF47" s="8"/>
      <c r="AG47" s="8"/>
      <c r="AH47" s="8"/>
      <c r="AI47" s="8"/>
      <c r="AJ47" s="8"/>
      <c r="AK47" s="8"/>
      <c r="AL47" s="2"/>
      <c r="AM47" s="2"/>
      <c r="AN47" s="2"/>
    </row>
    <row r="48" spans="1:40" ht="12.75" customHeight="1">
      <c r="A48" s="4"/>
      <c r="B48" s="2"/>
      <c r="C48" s="49">
        <v>7</v>
      </c>
      <c r="D48" s="171"/>
      <c r="E48" s="172"/>
      <c r="F48" s="172"/>
      <c r="G48" s="172"/>
      <c r="H48" s="172"/>
      <c r="I48" s="172"/>
      <c r="J48" s="172"/>
      <c r="K48" s="57"/>
      <c r="L48" s="58"/>
      <c r="M48" s="2"/>
      <c r="N48" s="2"/>
      <c r="O48" s="2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2"/>
      <c r="AB48" s="2"/>
      <c r="AC48" s="2"/>
      <c r="AD48" s="2"/>
      <c r="AE48" s="8"/>
      <c r="AF48" s="8"/>
      <c r="AG48" s="8"/>
      <c r="AH48" s="8"/>
      <c r="AI48" s="8"/>
      <c r="AJ48" s="8"/>
      <c r="AK48" s="8"/>
      <c r="AL48" s="2"/>
      <c r="AM48" s="2"/>
      <c r="AN48" s="2"/>
    </row>
    <row r="49" spans="1:44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4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4" s="9" customFormat="1">
      <c r="A51" s="8"/>
      <c r="B51" s="8"/>
      <c r="C51" s="51"/>
      <c r="D51" s="86" t="s">
        <v>58</v>
      </c>
      <c r="E51" s="87"/>
      <c r="F51" s="87"/>
      <c r="G51" s="87"/>
      <c r="H51" s="88"/>
      <c r="I51" s="8"/>
      <c r="J51" s="51"/>
      <c r="K51" s="86" t="s">
        <v>59</v>
      </c>
      <c r="L51" s="87"/>
      <c r="M51" s="87"/>
      <c r="N51" s="87"/>
      <c r="O51" s="88"/>
      <c r="P51" s="8"/>
      <c r="Q51" s="51"/>
      <c r="R51" s="86" t="s">
        <v>60</v>
      </c>
      <c r="S51" s="87"/>
      <c r="T51" s="87"/>
      <c r="U51" s="87"/>
      <c r="V51" s="88"/>
      <c r="W51" s="8"/>
      <c r="X51" s="51"/>
      <c r="Y51" s="86" t="s">
        <v>61</v>
      </c>
      <c r="Z51" s="87"/>
      <c r="AA51" s="87"/>
      <c r="AB51" s="87"/>
      <c r="AC51" s="88"/>
      <c r="AD51" s="8"/>
      <c r="AE51" s="51"/>
      <c r="AF51" s="86" t="s">
        <v>62</v>
      </c>
      <c r="AG51" s="87"/>
      <c r="AH51" s="87"/>
      <c r="AI51" s="87"/>
      <c r="AJ51" s="88"/>
      <c r="AK51" s="8"/>
      <c r="AL51" s="8"/>
      <c r="AM51" s="8"/>
      <c r="AN51" s="8"/>
      <c r="AO51" s="8"/>
      <c r="AP51" s="8"/>
      <c r="AQ51" s="8"/>
      <c r="AR51" s="8"/>
    </row>
    <row r="52" spans="1:44" s="9" customFormat="1">
      <c r="A52" s="8"/>
      <c r="B52" s="8"/>
      <c r="C52" s="89" t="s">
        <v>63</v>
      </c>
      <c r="D52" s="89"/>
      <c r="E52" s="89"/>
      <c r="F52" s="89"/>
      <c r="G52" s="89"/>
      <c r="H52" s="89"/>
      <c r="I52" s="8"/>
      <c r="J52" s="89" t="s">
        <v>63</v>
      </c>
      <c r="K52" s="89"/>
      <c r="L52" s="89"/>
      <c r="M52" s="89"/>
      <c r="N52" s="89"/>
      <c r="O52" s="89"/>
      <c r="P52" s="8"/>
      <c r="Q52" s="89" t="s">
        <v>63</v>
      </c>
      <c r="R52" s="89"/>
      <c r="S52" s="89"/>
      <c r="T52" s="89"/>
      <c r="U52" s="89"/>
      <c r="V52" s="89"/>
      <c r="W52" s="8"/>
      <c r="X52" s="89" t="s">
        <v>63</v>
      </c>
      <c r="Y52" s="89"/>
      <c r="Z52" s="89"/>
      <c r="AA52" s="89"/>
      <c r="AB52" s="89"/>
      <c r="AC52" s="89"/>
      <c r="AD52" s="8"/>
      <c r="AE52" s="89" t="s">
        <v>63</v>
      </c>
      <c r="AF52" s="89"/>
      <c r="AG52" s="89"/>
      <c r="AH52" s="89"/>
      <c r="AI52" s="89"/>
      <c r="AJ52" s="89"/>
      <c r="AK52" s="8"/>
      <c r="AL52" s="8"/>
      <c r="AM52" s="8"/>
      <c r="AN52" s="8"/>
      <c r="AO52" s="8"/>
      <c r="AP52" s="8"/>
      <c r="AQ52" s="8"/>
      <c r="AR52" s="8"/>
    </row>
    <row r="53" spans="1:44" s="9" customFormat="1">
      <c r="A53" s="8"/>
      <c r="B53" s="8"/>
      <c r="C53" s="60">
        <v>1</v>
      </c>
      <c r="D53" s="134" t="s">
        <v>64</v>
      </c>
      <c r="E53" s="135"/>
      <c r="F53" s="135"/>
      <c r="G53" s="135"/>
      <c r="H53" s="136"/>
      <c r="I53" s="8"/>
      <c r="J53" s="60">
        <v>1</v>
      </c>
      <c r="K53" s="137" t="s">
        <v>65</v>
      </c>
      <c r="L53" s="138"/>
      <c r="M53" s="138"/>
      <c r="N53" s="138"/>
      <c r="O53" s="139"/>
      <c r="P53" s="8"/>
      <c r="Q53" s="60">
        <v>1</v>
      </c>
      <c r="R53" s="137" t="s">
        <v>66</v>
      </c>
      <c r="S53" s="138"/>
      <c r="T53" s="138"/>
      <c r="U53" s="138"/>
      <c r="V53" s="139"/>
      <c r="W53" s="8"/>
      <c r="X53" s="60">
        <v>1</v>
      </c>
      <c r="Y53" s="134" t="s">
        <v>67</v>
      </c>
      <c r="Z53" s="135"/>
      <c r="AA53" s="135"/>
      <c r="AB53" s="135"/>
      <c r="AC53" s="136"/>
      <c r="AD53" s="8"/>
      <c r="AE53" s="60">
        <v>1</v>
      </c>
      <c r="AF53" s="134" t="s">
        <v>68</v>
      </c>
      <c r="AG53" s="135"/>
      <c r="AH53" s="135"/>
      <c r="AI53" s="135"/>
      <c r="AJ53" s="136"/>
      <c r="AK53" s="8"/>
      <c r="AL53" s="8"/>
      <c r="AM53" s="8"/>
      <c r="AN53" s="8"/>
      <c r="AO53" s="8"/>
      <c r="AP53" s="8"/>
      <c r="AQ53" s="8"/>
      <c r="AR53" s="8"/>
    </row>
    <row r="54" spans="1:44" s="9" customFormat="1">
      <c r="A54" s="8"/>
      <c r="B54" s="8"/>
      <c r="C54" s="60">
        <v>2</v>
      </c>
      <c r="D54" s="137" t="s">
        <v>69</v>
      </c>
      <c r="E54" s="138"/>
      <c r="F54" s="138"/>
      <c r="G54" s="138"/>
      <c r="H54" s="139"/>
      <c r="I54" s="8"/>
      <c r="J54" s="60">
        <v>2</v>
      </c>
      <c r="K54" s="137" t="s">
        <v>70</v>
      </c>
      <c r="L54" s="138"/>
      <c r="M54" s="138"/>
      <c r="N54" s="138"/>
      <c r="O54" s="139"/>
      <c r="P54" s="8"/>
      <c r="Q54" s="60">
        <v>2</v>
      </c>
      <c r="R54" s="137" t="s">
        <v>71</v>
      </c>
      <c r="S54" s="138"/>
      <c r="T54" s="138"/>
      <c r="U54" s="138"/>
      <c r="V54" s="139"/>
      <c r="W54" s="8"/>
      <c r="X54" s="60">
        <v>2</v>
      </c>
      <c r="Y54" s="137" t="s">
        <v>72</v>
      </c>
      <c r="Z54" s="138"/>
      <c r="AA54" s="138"/>
      <c r="AB54" s="138"/>
      <c r="AC54" s="139"/>
      <c r="AD54" s="8"/>
      <c r="AE54" s="60">
        <v>2</v>
      </c>
      <c r="AF54" s="134" t="s">
        <v>73</v>
      </c>
      <c r="AG54" s="135"/>
      <c r="AH54" s="135"/>
      <c r="AI54" s="135"/>
      <c r="AJ54" s="136"/>
      <c r="AK54" s="8"/>
      <c r="AL54" s="8"/>
      <c r="AM54" s="8"/>
      <c r="AN54" s="8"/>
      <c r="AO54" s="8"/>
      <c r="AP54" s="8"/>
      <c r="AQ54" s="8"/>
      <c r="AR54" s="8"/>
    </row>
    <row r="55" spans="1:44" s="9" customFormat="1">
      <c r="A55" s="8"/>
      <c r="B55" s="8"/>
      <c r="C55" s="60">
        <v>3</v>
      </c>
      <c r="D55" s="137" t="s">
        <v>74</v>
      </c>
      <c r="E55" s="138"/>
      <c r="F55" s="138"/>
      <c r="G55" s="138"/>
      <c r="H55" s="139"/>
      <c r="I55" s="8"/>
      <c r="J55" s="60">
        <v>3</v>
      </c>
      <c r="K55" s="137" t="s">
        <v>75</v>
      </c>
      <c r="L55" s="138"/>
      <c r="M55" s="138"/>
      <c r="N55" s="138"/>
      <c r="O55" s="139"/>
      <c r="P55" s="8"/>
      <c r="Q55" s="60">
        <v>3</v>
      </c>
      <c r="R55" s="137" t="s">
        <v>76</v>
      </c>
      <c r="S55" s="138"/>
      <c r="T55" s="138"/>
      <c r="U55" s="138"/>
      <c r="V55" s="139"/>
      <c r="W55" s="8"/>
      <c r="X55" s="60">
        <v>3</v>
      </c>
      <c r="Y55" s="137" t="s">
        <v>77</v>
      </c>
      <c r="Z55" s="138"/>
      <c r="AA55" s="138"/>
      <c r="AB55" s="138"/>
      <c r="AC55" s="139"/>
      <c r="AD55" s="8"/>
      <c r="AE55" s="60">
        <v>3</v>
      </c>
      <c r="AF55" s="134" t="s">
        <v>78</v>
      </c>
      <c r="AG55" s="135"/>
      <c r="AH55" s="135"/>
      <c r="AI55" s="135"/>
      <c r="AJ55" s="136"/>
      <c r="AK55" s="8"/>
      <c r="AL55" s="8"/>
      <c r="AM55" s="8"/>
      <c r="AN55" s="8"/>
      <c r="AO55" s="8"/>
      <c r="AP55" s="8"/>
      <c r="AQ55" s="8"/>
      <c r="AR55" s="8"/>
    </row>
    <row r="56" spans="1:44" s="9" customFormat="1">
      <c r="A56" s="8"/>
      <c r="B56" s="8"/>
      <c r="C56" s="60">
        <v>4</v>
      </c>
      <c r="D56" s="137" t="s">
        <v>79</v>
      </c>
      <c r="E56" s="138"/>
      <c r="F56" s="138"/>
      <c r="G56" s="138"/>
      <c r="H56" s="139"/>
      <c r="I56" s="8"/>
      <c r="J56" s="60">
        <v>4</v>
      </c>
      <c r="K56" s="134" t="s">
        <v>80</v>
      </c>
      <c r="L56" s="135"/>
      <c r="M56" s="135"/>
      <c r="N56" s="135"/>
      <c r="O56" s="136"/>
      <c r="P56" s="8"/>
      <c r="Q56" s="60">
        <v>4</v>
      </c>
      <c r="R56" s="90" t="s">
        <v>81</v>
      </c>
      <c r="S56" s="91"/>
      <c r="T56" s="91"/>
      <c r="U56" s="91"/>
      <c r="V56" s="92"/>
      <c r="W56" s="8"/>
      <c r="X56" s="60">
        <v>4</v>
      </c>
      <c r="Y56" s="137" t="s">
        <v>82</v>
      </c>
      <c r="Z56" s="138"/>
      <c r="AA56" s="138"/>
      <c r="AB56" s="138"/>
      <c r="AC56" s="139"/>
      <c r="AD56" s="8"/>
      <c r="AE56" s="60">
        <v>4</v>
      </c>
      <c r="AF56" s="134" t="s">
        <v>83</v>
      </c>
      <c r="AG56" s="135"/>
      <c r="AH56" s="135"/>
      <c r="AI56" s="135"/>
      <c r="AJ56" s="136"/>
      <c r="AK56" s="8"/>
      <c r="AL56" s="8"/>
      <c r="AM56" s="8"/>
      <c r="AN56" s="8"/>
      <c r="AO56" s="8"/>
      <c r="AP56" s="8"/>
      <c r="AQ56" s="8"/>
      <c r="AR56" s="8"/>
    </row>
    <row r="57" spans="1:44" s="9" customFormat="1">
      <c r="A57" s="8"/>
      <c r="B57" s="8"/>
      <c r="C57" s="60">
        <v>5</v>
      </c>
      <c r="D57" s="137" t="s">
        <v>84</v>
      </c>
      <c r="E57" s="138"/>
      <c r="F57" s="138"/>
      <c r="G57" s="138"/>
      <c r="H57" s="139"/>
      <c r="I57" s="8"/>
      <c r="J57" s="60">
        <v>5</v>
      </c>
      <c r="K57" s="134" t="s">
        <v>85</v>
      </c>
      <c r="L57" s="135"/>
      <c r="M57" s="135"/>
      <c r="N57" s="135"/>
      <c r="O57" s="136"/>
      <c r="P57" s="8"/>
      <c r="Q57" s="60">
        <v>5</v>
      </c>
      <c r="R57" s="70" t="s">
        <v>86</v>
      </c>
      <c r="S57" s="71"/>
      <c r="T57" s="71"/>
      <c r="U57" s="71"/>
      <c r="V57" s="72"/>
      <c r="W57" s="8"/>
      <c r="X57" s="60">
        <v>5</v>
      </c>
      <c r="Y57" s="134" t="s">
        <v>87</v>
      </c>
      <c r="Z57" s="135"/>
      <c r="AA57" s="135"/>
      <c r="AB57" s="135"/>
      <c r="AC57" s="136"/>
      <c r="AD57" s="8"/>
      <c r="AE57" s="60">
        <v>5</v>
      </c>
      <c r="AF57" s="70"/>
      <c r="AG57" s="71"/>
      <c r="AH57" s="71"/>
      <c r="AI57" s="71"/>
      <c r="AJ57" s="72"/>
      <c r="AK57" s="8"/>
      <c r="AL57" s="8"/>
      <c r="AM57" s="8"/>
      <c r="AN57" s="8"/>
      <c r="AO57" s="8"/>
      <c r="AP57" s="8"/>
      <c r="AQ57" s="8"/>
      <c r="AR57" s="8"/>
    </row>
    <row r="58" spans="1:44" s="9" customFormat="1">
      <c r="A58" s="8"/>
      <c r="B58" s="8"/>
      <c r="C58" s="89" t="s">
        <v>88</v>
      </c>
      <c r="D58" s="89"/>
      <c r="E58" s="89"/>
      <c r="F58" s="89"/>
      <c r="G58" s="59" t="s">
        <v>9</v>
      </c>
      <c r="H58" s="59" t="s">
        <v>10</v>
      </c>
      <c r="I58" s="8"/>
      <c r="J58" s="89" t="s">
        <v>88</v>
      </c>
      <c r="K58" s="89"/>
      <c r="L58" s="89"/>
      <c r="M58" s="89"/>
      <c r="N58" s="59" t="s">
        <v>9</v>
      </c>
      <c r="O58" s="59" t="s">
        <v>10</v>
      </c>
      <c r="P58" s="8"/>
      <c r="Q58" s="89" t="s">
        <v>88</v>
      </c>
      <c r="R58" s="89"/>
      <c r="S58" s="89"/>
      <c r="T58" s="89"/>
      <c r="U58" s="59" t="s">
        <v>9</v>
      </c>
      <c r="V58" s="59" t="s">
        <v>10</v>
      </c>
      <c r="W58" s="8"/>
      <c r="X58" s="89" t="s">
        <v>88</v>
      </c>
      <c r="Y58" s="89"/>
      <c r="Z58" s="89"/>
      <c r="AA58" s="89"/>
      <c r="AB58" s="59" t="s">
        <v>9</v>
      </c>
      <c r="AC58" s="59" t="s">
        <v>10</v>
      </c>
      <c r="AD58" s="8"/>
      <c r="AE58" s="89" t="s">
        <v>88</v>
      </c>
      <c r="AF58" s="89"/>
      <c r="AG58" s="89"/>
      <c r="AH58" s="89"/>
      <c r="AI58" s="59" t="s">
        <v>9</v>
      </c>
      <c r="AJ58" s="59" t="s">
        <v>10</v>
      </c>
      <c r="AK58" s="8"/>
      <c r="AL58" s="8"/>
      <c r="AM58" s="8"/>
      <c r="AN58" s="8"/>
      <c r="AO58" s="8"/>
      <c r="AP58" s="8"/>
      <c r="AQ58" s="8"/>
      <c r="AR58" s="8"/>
    </row>
    <row r="59" spans="1:44" s="9" customFormat="1" ht="15" customHeight="1">
      <c r="A59" s="5"/>
      <c r="B59" s="5"/>
      <c r="C59" s="60">
        <v>1</v>
      </c>
      <c r="D59" s="140" t="s">
        <v>89</v>
      </c>
      <c r="E59" s="141"/>
      <c r="F59" s="142"/>
      <c r="G59" s="143" t="s">
        <v>90</v>
      </c>
      <c r="H59" s="144" t="s">
        <v>91</v>
      </c>
      <c r="I59" s="8"/>
      <c r="J59" s="60">
        <v>1</v>
      </c>
      <c r="K59" s="145" t="s">
        <v>92</v>
      </c>
      <c r="L59" s="146"/>
      <c r="M59" s="147"/>
      <c r="N59" s="143" t="s">
        <v>93</v>
      </c>
      <c r="O59" s="143" t="s">
        <v>91</v>
      </c>
      <c r="P59" s="8"/>
      <c r="Q59" s="60">
        <v>1</v>
      </c>
      <c r="R59" s="93" t="s">
        <v>81</v>
      </c>
      <c r="S59" s="94"/>
      <c r="T59" s="95"/>
      <c r="U59" s="68" t="s">
        <v>94</v>
      </c>
      <c r="V59" s="68" t="s">
        <v>95</v>
      </c>
      <c r="W59" s="8"/>
      <c r="X59" s="60">
        <v>1</v>
      </c>
      <c r="Y59" s="145" t="s">
        <v>96</v>
      </c>
      <c r="Z59" s="146"/>
      <c r="AA59" s="147"/>
      <c r="AB59" s="152" t="s">
        <v>97</v>
      </c>
      <c r="AC59" s="152" t="s">
        <v>91</v>
      </c>
      <c r="AD59" s="8"/>
      <c r="AE59" s="60">
        <v>1</v>
      </c>
      <c r="AF59" s="140" t="s">
        <v>98</v>
      </c>
      <c r="AG59" s="141"/>
      <c r="AH59" s="142"/>
      <c r="AI59" s="144" t="s">
        <v>99</v>
      </c>
      <c r="AJ59" s="144" t="s">
        <v>91</v>
      </c>
      <c r="AK59" s="8"/>
      <c r="AL59" s="8"/>
      <c r="AM59" s="8"/>
      <c r="AN59" s="8"/>
      <c r="AO59" s="8"/>
      <c r="AP59" s="8"/>
      <c r="AQ59" s="8"/>
      <c r="AR59" s="8"/>
    </row>
    <row r="60" spans="1:44" s="9" customFormat="1" ht="15" customHeight="1">
      <c r="A60" s="5"/>
      <c r="B60" s="5"/>
      <c r="C60" s="60">
        <v>2</v>
      </c>
      <c r="D60" s="145" t="s">
        <v>100</v>
      </c>
      <c r="E60" s="146"/>
      <c r="F60" s="147"/>
      <c r="G60" s="148" t="s">
        <v>101</v>
      </c>
      <c r="H60" s="149" t="s">
        <v>91</v>
      </c>
      <c r="I60" s="8"/>
      <c r="J60" s="60">
        <v>2</v>
      </c>
      <c r="K60" s="145" t="s">
        <v>102</v>
      </c>
      <c r="L60" s="146"/>
      <c r="M60" s="147"/>
      <c r="N60" s="148" t="s">
        <v>93</v>
      </c>
      <c r="O60" s="148" t="s">
        <v>91</v>
      </c>
      <c r="P60" s="8"/>
      <c r="Q60" s="60">
        <v>2</v>
      </c>
      <c r="R60" s="90" t="s">
        <v>103</v>
      </c>
      <c r="S60" s="91"/>
      <c r="T60" s="92"/>
      <c r="U60" s="68" t="s">
        <v>40</v>
      </c>
      <c r="V60" s="68" t="s">
        <v>104</v>
      </c>
      <c r="W60" s="8"/>
      <c r="X60" s="60">
        <v>2</v>
      </c>
      <c r="Y60" s="145" t="s">
        <v>105</v>
      </c>
      <c r="Z60" s="146"/>
      <c r="AA60" s="147"/>
      <c r="AB60" s="153" t="s">
        <v>97</v>
      </c>
      <c r="AC60" s="153" t="s">
        <v>91</v>
      </c>
      <c r="AD60" s="8"/>
      <c r="AE60" s="60">
        <v>2</v>
      </c>
      <c r="AF60" s="140" t="s">
        <v>106</v>
      </c>
      <c r="AG60" s="141"/>
      <c r="AH60" s="142"/>
      <c r="AI60" s="149" t="s">
        <v>107</v>
      </c>
      <c r="AJ60" s="149" t="s">
        <v>91</v>
      </c>
      <c r="AK60" s="8"/>
      <c r="AL60" s="8"/>
      <c r="AM60" s="8"/>
      <c r="AN60" s="8"/>
      <c r="AO60" s="8"/>
      <c r="AP60" s="8"/>
      <c r="AQ60" s="8"/>
      <c r="AR60" s="8"/>
    </row>
    <row r="61" spans="1:44" s="9" customFormat="1" ht="29.25" customHeight="1">
      <c r="A61" s="5"/>
      <c r="B61" s="5"/>
      <c r="C61" s="60">
        <v>3</v>
      </c>
      <c r="D61" s="140" t="s">
        <v>108</v>
      </c>
      <c r="E61" s="141"/>
      <c r="F61" s="142"/>
      <c r="G61" s="150" t="s">
        <v>109</v>
      </c>
      <c r="H61" s="151" t="s">
        <v>91</v>
      </c>
      <c r="I61" s="8"/>
      <c r="J61" s="60">
        <v>3</v>
      </c>
      <c r="K61" s="145" t="s">
        <v>110</v>
      </c>
      <c r="L61" s="146"/>
      <c r="M61" s="147"/>
      <c r="N61" s="150" t="s">
        <v>111</v>
      </c>
      <c r="O61" s="150" t="s">
        <v>91</v>
      </c>
      <c r="P61" s="8"/>
      <c r="Q61" s="60">
        <v>3</v>
      </c>
      <c r="R61" s="90" t="s">
        <v>112</v>
      </c>
      <c r="S61" s="91"/>
      <c r="T61" s="92"/>
      <c r="U61" s="68" t="s">
        <v>94</v>
      </c>
      <c r="V61" s="68" t="s">
        <v>113</v>
      </c>
      <c r="W61" s="8"/>
      <c r="X61" s="60">
        <v>3</v>
      </c>
      <c r="Y61" s="140" t="s">
        <v>33</v>
      </c>
      <c r="Z61" s="141"/>
      <c r="AA61" s="142"/>
      <c r="AB61" s="153" t="s">
        <v>33</v>
      </c>
      <c r="AC61" s="153" t="s">
        <v>33</v>
      </c>
      <c r="AD61" s="8"/>
      <c r="AE61" s="60">
        <v>3</v>
      </c>
      <c r="AF61" s="140" t="s">
        <v>114</v>
      </c>
      <c r="AG61" s="141"/>
      <c r="AH61" s="142"/>
      <c r="AI61" s="151" t="s">
        <v>115</v>
      </c>
      <c r="AJ61" s="151" t="s">
        <v>91</v>
      </c>
      <c r="AK61" s="8"/>
      <c r="AL61" s="8"/>
      <c r="AM61" s="8"/>
      <c r="AN61" s="8"/>
      <c r="AO61" s="8"/>
      <c r="AP61" s="8"/>
      <c r="AQ61" s="8"/>
      <c r="AR61" s="8"/>
    </row>
    <row r="62" spans="1:44" s="9" customFormat="1" ht="72.75">
      <c r="A62" s="5"/>
      <c r="B62" s="5"/>
      <c r="C62" s="60">
        <v>4</v>
      </c>
      <c r="D62" s="145" t="s">
        <v>116</v>
      </c>
      <c r="E62" s="146"/>
      <c r="F62" s="147"/>
      <c r="G62" s="150" t="s">
        <v>15</v>
      </c>
      <c r="H62" s="151" t="s">
        <v>91</v>
      </c>
      <c r="I62" s="8"/>
      <c r="J62" s="60">
        <v>4</v>
      </c>
      <c r="K62" s="145" t="s">
        <v>117</v>
      </c>
      <c r="L62" s="146"/>
      <c r="M62" s="147"/>
      <c r="N62" s="150" t="s">
        <v>93</v>
      </c>
      <c r="O62" s="150" t="s">
        <v>118</v>
      </c>
      <c r="P62" s="8"/>
      <c r="Q62" s="60">
        <v>4</v>
      </c>
      <c r="R62" s="90" t="s">
        <v>86</v>
      </c>
      <c r="S62" s="91"/>
      <c r="T62" s="92"/>
      <c r="U62" s="68" t="s">
        <v>94</v>
      </c>
      <c r="V62" s="68" t="s">
        <v>119</v>
      </c>
      <c r="W62" s="8"/>
      <c r="X62" s="60">
        <v>4</v>
      </c>
      <c r="Y62" s="145" t="s">
        <v>120</v>
      </c>
      <c r="Z62" s="146"/>
      <c r="AA62" s="147"/>
      <c r="AB62" s="153" t="s">
        <v>121</v>
      </c>
      <c r="AC62" s="153" t="s">
        <v>91</v>
      </c>
      <c r="AD62" s="8"/>
      <c r="AE62" s="60">
        <v>4</v>
      </c>
      <c r="AF62" s="140" t="s">
        <v>122</v>
      </c>
      <c r="AG62" s="141"/>
      <c r="AH62" s="142"/>
      <c r="AI62" s="151" t="s">
        <v>107</v>
      </c>
      <c r="AJ62" s="151" t="s">
        <v>91</v>
      </c>
      <c r="AK62" s="8"/>
      <c r="AL62" s="8"/>
      <c r="AM62" s="8"/>
      <c r="AN62" s="8"/>
      <c r="AO62" s="8"/>
      <c r="AP62" s="8"/>
      <c r="AQ62" s="8"/>
      <c r="AR62" s="8"/>
    </row>
    <row r="63" spans="1:44" s="9" customFormat="1">
      <c r="A63" s="5"/>
      <c r="B63" s="5"/>
      <c r="C63" s="60">
        <v>5</v>
      </c>
      <c r="D63" s="145" t="s">
        <v>123</v>
      </c>
      <c r="E63" s="146"/>
      <c r="F63" s="147"/>
      <c r="G63" s="150" t="s">
        <v>124</v>
      </c>
      <c r="H63" s="151" t="s">
        <v>91</v>
      </c>
      <c r="I63" s="8"/>
      <c r="J63" s="60">
        <v>5</v>
      </c>
      <c r="K63" s="145" t="s">
        <v>125</v>
      </c>
      <c r="L63" s="146"/>
      <c r="M63" s="147"/>
      <c r="N63" s="150" t="s">
        <v>126</v>
      </c>
      <c r="O63" s="150" t="s">
        <v>127</v>
      </c>
      <c r="P63" s="8"/>
      <c r="Q63" s="60">
        <v>5</v>
      </c>
      <c r="R63" s="93" t="s">
        <v>76</v>
      </c>
      <c r="S63" s="94"/>
      <c r="T63" s="95"/>
      <c r="U63" s="68" t="s">
        <v>128</v>
      </c>
      <c r="V63" s="68" t="s">
        <v>129</v>
      </c>
      <c r="W63" s="8"/>
      <c r="X63" s="60">
        <v>5</v>
      </c>
      <c r="Y63" s="145" t="s">
        <v>130</v>
      </c>
      <c r="Z63" s="146"/>
      <c r="AA63" s="147"/>
      <c r="AB63" s="153" t="s">
        <v>131</v>
      </c>
      <c r="AC63" s="153" t="s">
        <v>91</v>
      </c>
      <c r="AD63" s="8"/>
      <c r="AE63" s="60">
        <v>5</v>
      </c>
      <c r="AF63" s="93" t="s">
        <v>132</v>
      </c>
      <c r="AG63" s="94"/>
      <c r="AH63" s="95"/>
      <c r="AI63" s="68"/>
      <c r="AJ63" s="68"/>
      <c r="AK63" s="8"/>
      <c r="AL63" s="8"/>
      <c r="AM63" s="8"/>
      <c r="AN63" s="8"/>
      <c r="AO63" s="8"/>
      <c r="AP63" s="8"/>
      <c r="AQ63" s="8"/>
      <c r="AR63" s="8"/>
    </row>
    <row r="64" spans="1:4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</sheetData>
  <mergeCells count="104">
    <mergeCell ref="AF62:AH62"/>
    <mergeCell ref="AF63:AH63"/>
    <mergeCell ref="D62:F62"/>
    <mergeCell ref="D63:F63"/>
    <mergeCell ref="R59:T59"/>
    <mergeCell ref="R60:T60"/>
    <mergeCell ref="R62:T62"/>
    <mergeCell ref="R63:T63"/>
    <mergeCell ref="R61:T61"/>
    <mergeCell ref="K62:M62"/>
    <mergeCell ref="K63:M63"/>
    <mergeCell ref="Y62:AA62"/>
    <mergeCell ref="Y63:AA63"/>
    <mergeCell ref="D46:J46"/>
    <mergeCell ref="D47:J47"/>
    <mergeCell ref="D48:J48"/>
    <mergeCell ref="D60:F60"/>
    <mergeCell ref="D61:F61"/>
    <mergeCell ref="D59:F59"/>
    <mergeCell ref="C58:F58"/>
    <mergeCell ref="D51:H51"/>
    <mergeCell ref="C52:H52"/>
    <mergeCell ref="D57:H57"/>
    <mergeCell ref="D12:L12"/>
    <mergeCell ref="D13:L13"/>
    <mergeCell ref="D14:L14"/>
    <mergeCell ref="D15:J15"/>
    <mergeCell ref="D45:J45"/>
    <mergeCell ref="D42:J42"/>
    <mergeCell ref="D43:J43"/>
    <mergeCell ref="D44:J44"/>
    <mergeCell ref="D22:J22"/>
    <mergeCell ref="D23:J23"/>
    <mergeCell ref="D24:J24"/>
    <mergeCell ref="D25:J25"/>
    <mergeCell ref="D37:L37"/>
    <mergeCell ref="D38:L38"/>
    <mergeCell ref="D39:L39"/>
    <mergeCell ref="D40:L40"/>
    <mergeCell ref="D7:L7"/>
    <mergeCell ref="D8:L8"/>
    <mergeCell ref="D9:L9"/>
    <mergeCell ref="D10:L10"/>
    <mergeCell ref="D11:L11"/>
    <mergeCell ref="D41:J41"/>
    <mergeCell ref="D27:J27"/>
    <mergeCell ref="D33:L33"/>
    <mergeCell ref="D34:L34"/>
    <mergeCell ref="D35:L35"/>
    <mergeCell ref="D36:L36"/>
    <mergeCell ref="D28:J28"/>
    <mergeCell ref="D31:J31"/>
    <mergeCell ref="D29:J29"/>
    <mergeCell ref="D30:J30"/>
    <mergeCell ref="D26:J26"/>
    <mergeCell ref="D16:J16"/>
    <mergeCell ref="D17:J17"/>
    <mergeCell ref="D18:J18"/>
    <mergeCell ref="D19:J19"/>
    <mergeCell ref="D20:J20"/>
    <mergeCell ref="D21:J21"/>
    <mergeCell ref="D53:H53"/>
    <mergeCell ref="D54:H54"/>
    <mergeCell ref="D55:H55"/>
    <mergeCell ref="D56:H56"/>
    <mergeCell ref="K51:O51"/>
    <mergeCell ref="J52:O52"/>
    <mergeCell ref="K53:O53"/>
    <mergeCell ref="K54:O54"/>
    <mergeCell ref="K55:O55"/>
    <mergeCell ref="R51:V51"/>
    <mergeCell ref="Q52:V52"/>
    <mergeCell ref="R53:V53"/>
    <mergeCell ref="R54:V54"/>
    <mergeCell ref="R55:V55"/>
    <mergeCell ref="R56:V56"/>
    <mergeCell ref="Q58:T58"/>
    <mergeCell ref="K59:M59"/>
    <mergeCell ref="K60:M60"/>
    <mergeCell ref="K61:M61"/>
    <mergeCell ref="K56:O56"/>
    <mergeCell ref="J58:M58"/>
    <mergeCell ref="K57:O57"/>
    <mergeCell ref="Y51:AC51"/>
    <mergeCell ref="X52:AC52"/>
    <mergeCell ref="Y53:AC53"/>
    <mergeCell ref="Y54:AC54"/>
    <mergeCell ref="Y55:AC55"/>
    <mergeCell ref="Y56:AC56"/>
    <mergeCell ref="X58:AA58"/>
    <mergeCell ref="Y59:AA59"/>
    <mergeCell ref="Y60:AA60"/>
    <mergeCell ref="Y61:AA61"/>
    <mergeCell ref="Y57:AC57"/>
    <mergeCell ref="AF56:AJ56"/>
    <mergeCell ref="AE58:AH58"/>
    <mergeCell ref="AF59:AH59"/>
    <mergeCell ref="AF60:AH60"/>
    <mergeCell ref="AF61:AH61"/>
    <mergeCell ref="AF51:AJ51"/>
    <mergeCell ref="AE52:AJ52"/>
    <mergeCell ref="AF53:AJ53"/>
    <mergeCell ref="AF54:AJ54"/>
    <mergeCell ref="AF55:AJ55"/>
  </mergeCells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00BD-9983-AB40-8542-DF171E49ED3A}">
  <dimension ref="A1:Y625"/>
  <sheetViews>
    <sheetView zoomScale="141" workbookViewId="0">
      <selection activeCell="H21" sqref="H21:I25"/>
    </sheetView>
  </sheetViews>
  <sheetFormatPr defaultColWidth="10.85546875" defaultRowHeight="15"/>
  <cols>
    <col min="1" max="1" width="9.140625" style="65" customWidth="1"/>
    <col min="2" max="3" width="4.140625" style="6" customWidth="1"/>
    <col min="4" max="4" width="51.7109375" style="6" customWidth="1"/>
    <col min="5" max="6" width="13.140625" style="6" customWidth="1"/>
    <col min="7" max="7" width="4.140625" style="6" customWidth="1"/>
    <col min="8" max="8" width="41" style="6" customWidth="1"/>
    <col min="9" max="9" width="13.140625" style="6" customWidth="1"/>
    <col min="10" max="10" width="4.28515625" style="6" customWidth="1"/>
    <col min="11" max="11" width="4.140625" style="6" customWidth="1"/>
    <col min="12" max="12" width="41" style="6" customWidth="1"/>
    <col min="13" max="13" width="13.140625" style="6" customWidth="1"/>
    <col min="14" max="14" width="6.7109375" style="6" customWidth="1"/>
    <col min="15" max="15" width="4.140625" style="6" customWidth="1"/>
    <col min="16" max="16" width="41" style="6" customWidth="1"/>
    <col min="17" max="17" width="13.140625" style="6" customWidth="1"/>
    <col min="18" max="18" width="5.42578125" style="6" customWidth="1"/>
    <col min="19" max="19" width="4.140625" style="6" customWidth="1"/>
    <col min="20" max="20" width="41" style="6" customWidth="1"/>
    <col min="21" max="21" width="13.140625" style="6" customWidth="1"/>
    <col min="22" max="22" width="6.7109375" style="6" customWidth="1"/>
    <col min="23" max="23" width="4.140625" style="6" customWidth="1"/>
    <col min="24" max="24" width="41" style="6" customWidth="1"/>
    <col min="25" max="25" width="13.140625" style="6" customWidth="1"/>
    <col min="26" max="16384" width="10.85546875" style="1"/>
  </cols>
  <sheetData>
    <row r="1" spans="1:25" s="61" customFormat="1" ht="41.1" customHeight="1">
      <c r="A1" s="63"/>
      <c r="C1" s="66" t="s">
        <v>133</v>
      </c>
      <c r="D1" s="62"/>
      <c r="G1" s="66"/>
      <c r="H1" s="62"/>
      <c r="K1" s="66"/>
      <c r="L1" s="62"/>
      <c r="O1" s="66"/>
      <c r="P1" s="62"/>
      <c r="S1" s="66"/>
      <c r="T1" s="62"/>
      <c r="W1" s="66"/>
      <c r="X1" s="62"/>
    </row>
    <row r="2" spans="1:25">
      <c r="A2" s="6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6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63"/>
      <c r="B4" s="8"/>
      <c r="C4" s="51"/>
      <c r="D4" s="86" t="s">
        <v>57</v>
      </c>
      <c r="E4" s="87"/>
      <c r="F4" s="8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63"/>
      <c r="B5" s="8"/>
      <c r="C5" s="89" t="s">
        <v>63</v>
      </c>
      <c r="D5" s="89"/>
      <c r="E5" s="89"/>
      <c r="F5" s="89"/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</row>
    <row r="6" spans="1:25">
      <c r="A6" s="64"/>
      <c r="B6" s="2"/>
      <c r="C6" s="49">
        <v>1</v>
      </c>
      <c r="D6" s="154" t="s">
        <v>66</v>
      </c>
      <c r="E6" s="155"/>
      <c r="F6" s="155"/>
      <c r="G6" s="155"/>
      <c r="H6" s="156"/>
      <c r="I6" s="2"/>
      <c r="J6" s="2"/>
      <c r="K6" s="2"/>
      <c r="L6" s="2"/>
      <c r="M6" s="2"/>
      <c r="N6" s="1"/>
      <c r="O6" s="2"/>
      <c r="P6" s="2"/>
      <c r="Q6" s="2"/>
      <c r="R6" s="1"/>
      <c r="S6" s="2"/>
      <c r="T6" s="2"/>
      <c r="U6" s="2"/>
      <c r="V6" s="1"/>
      <c r="W6" s="2"/>
      <c r="X6" s="2"/>
      <c r="Y6" s="2"/>
    </row>
    <row r="7" spans="1:25">
      <c r="A7" s="64"/>
      <c r="B7" s="2"/>
      <c r="C7" s="49">
        <v>2</v>
      </c>
      <c r="D7" s="154" t="s">
        <v>71</v>
      </c>
      <c r="E7" s="155"/>
      <c r="F7" s="155"/>
      <c r="G7" s="155"/>
      <c r="H7" s="156"/>
      <c r="I7" s="2"/>
      <c r="J7" s="2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</row>
    <row r="8" spans="1:25">
      <c r="A8" s="64"/>
      <c r="B8" s="2"/>
      <c r="C8" s="49">
        <v>3</v>
      </c>
      <c r="D8" s="154" t="s">
        <v>76</v>
      </c>
      <c r="E8" s="155"/>
      <c r="F8" s="155"/>
      <c r="G8" s="155"/>
      <c r="H8" s="156"/>
      <c r="I8" s="2"/>
      <c r="J8" s="2"/>
      <c r="K8" s="2"/>
      <c r="L8" s="2"/>
      <c r="M8" s="2"/>
      <c r="N8" s="1"/>
      <c r="O8" s="2"/>
      <c r="P8" s="2"/>
      <c r="Q8" s="2"/>
      <c r="R8" s="1"/>
      <c r="S8" s="2"/>
      <c r="T8" s="2"/>
      <c r="U8" s="2"/>
      <c r="V8" s="1"/>
      <c r="W8" s="2"/>
      <c r="X8" s="2"/>
      <c r="Y8" s="2"/>
    </row>
    <row r="9" spans="1:25">
      <c r="A9" s="64"/>
      <c r="B9" s="2"/>
      <c r="C9" s="49">
        <v>4</v>
      </c>
      <c r="D9" s="158" t="s">
        <v>81</v>
      </c>
      <c r="E9" s="159"/>
      <c r="F9" s="159"/>
      <c r="G9" s="159"/>
      <c r="H9" s="160"/>
      <c r="I9" s="2"/>
      <c r="J9" s="2"/>
      <c r="K9" s="2"/>
      <c r="L9" s="2"/>
      <c r="M9" s="2"/>
      <c r="N9" s="1"/>
      <c r="O9" s="2"/>
      <c r="P9" s="2"/>
      <c r="Q9" s="2"/>
      <c r="R9" s="1"/>
      <c r="S9" s="2"/>
      <c r="T9" s="2"/>
      <c r="U9" s="2"/>
      <c r="V9" s="1"/>
      <c r="W9" s="2"/>
      <c r="X9" s="2"/>
      <c r="Y9" s="2"/>
    </row>
    <row r="10" spans="1:25">
      <c r="A10" s="64"/>
      <c r="B10" s="2"/>
      <c r="C10" s="49">
        <v>5</v>
      </c>
      <c r="D10" s="158" t="s">
        <v>86</v>
      </c>
      <c r="E10" s="159"/>
      <c r="F10" s="159"/>
      <c r="G10" s="159"/>
      <c r="H10" s="160"/>
      <c r="I10" s="2"/>
      <c r="J10" s="2"/>
      <c r="K10" s="2"/>
      <c r="L10" s="2"/>
      <c r="M10" s="2"/>
      <c r="N10" s="1"/>
      <c r="O10" s="2"/>
      <c r="P10" s="2"/>
      <c r="Q10" s="2"/>
      <c r="R10" s="1"/>
      <c r="S10" s="2"/>
      <c r="T10" s="2"/>
      <c r="U10" s="2"/>
      <c r="V10" s="1"/>
      <c r="W10" s="2"/>
      <c r="X10" s="2"/>
      <c r="Y10" s="2"/>
    </row>
    <row r="11" spans="1:25">
      <c r="A11" s="63"/>
      <c r="B11" s="8"/>
      <c r="C11" s="89" t="s">
        <v>88</v>
      </c>
      <c r="D11" s="89"/>
      <c r="E11" s="59" t="s">
        <v>9</v>
      </c>
      <c r="F11" s="59" t="s">
        <v>10</v>
      </c>
      <c r="G11" s="2"/>
      <c r="H11" s="2"/>
      <c r="I11" s="2"/>
      <c r="J11" s="2"/>
      <c r="K11" s="2"/>
      <c r="L11" s="2"/>
      <c r="M11" s="2"/>
      <c r="N11" s="1"/>
      <c r="O11" s="2"/>
      <c r="P11" s="2"/>
      <c r="Q11" s="2"/>
      <c r="R11" s="1"/>
      <c r="S11" s="2"/>
      <c r="T11" s="2"/>
      <c r="U11" s="2"/>
      <c r="V11" s="1"/>
      <c r="W11" s="2"/>
      <c r="X11" s="2"/>
      <c r="Y11" s="2"/>
    </row>
    <row r="12" spans="1:25">
      <c r="A12" s="64"/>
      <c r="B12" s="2"/>
      <c r="C12" s="49">
        <v>1</v>
      </c>
      <c r="D12" s="157" t="s">
        <v>81</v>
      </c>
      <c r="E12" s="68" t="s">
        <v>94</v>
      </c>
      <c r="F12" s="68" t="s">
        <v>95</v>
      </c>
      <c r="G12" s="68"/>
      <c r="H12" s="68"/>
      <c r="I12" s="2"/>
      <c r="J12" s="2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</row>
    <row r="13" spans="1:25">
      <c r="A13" s="64"/>
      <c r="B13" s="2"/>
      <c r="C13" s="49">
        <v>2</v>
      </c>
      <c r="D13" s="158" t="s">
        <v>103</v>
      </c>
      <c r="E13" s="68" t="s">
        <v>40</v>
      </c>
      <c r="F13" s="68" t="s">
        <v>104</v>
      </c>
      <c r="G13" s="68"/>
      <c r="H13" s="68"/>
      <c r="I13" s="2"/>
      <c r="J13" s="2"/>
      <c r="K13" s="2"/>
      <c r="L13" s="2"/>
      <c r="M13" s="2"/>
      <c r="N13" s="1"/>
      <c r="O13" s="2"/>
      <c r="P13" s="2"/>
      <c r="Q13" s="2"/>
      <c r="R13" s="1"/>
      <c r="S13" s="2"/>
      <c r="T13" s="2"/>
      <c r="U13" s="2"/>
      <c r="V13" s="1"/>
      <c r="W13" s="2"/>
      <c r="X13" s="2"/>
      <c r="Y13" s="2"/>
    </row>
    <row r="14" spans="1:25" ht="29.25">
      <c r="A14" s="64"/>
      <c r="B14" s="2"/>
      <c r="C14" s="49">
        <v>3</v>
      </c>
      <c r="D14" s="158" t="s">
        <v>112</v>
      </c>
      <c r="E14" s="68" t="s">
        <v>94</v>
      </c>
      <c r="F14" s="68" t="s">
        <v>113</v>
      </c>
      <c r="G14" s="68"/>
      <c r="H14" s="68"/>
      <c r="I14" s="2"/>
      <c r="J14" s="2"/>
      <c r="K14" s="2"/>
      <c r="L14" s="2"/>
      <c r="M14" s="2"/>
      <c r="N14" s="1"/>
      <c r="O14" s="2"/>
      <c r="P14" s="2"/>
      <c r="Q14" s="2"/>
      <c r="R14" s="1"/>
      <c r="S14" s="2"/>
      <c r="T14" s="2"/>
      <c r="U14" s="2"/>
      <c r="V14" s="1"/>
      <c r="W14" s="2"/>
      <c r="X14" s="2"/>
      <c r="Y14" s="2"/>
    </row>
    <row r="15" spans="1:25">
      <c r="A15" s="64"/>
      <c r="B15" s="2"/>
      <c r="C15" s="49">
        <v>4</v>
      </c>
      <c r="D15" s="158" t="s">
        <v>86</v>
      </c>
      <c r="E15" s="68" t="s">
        <v>94</v>
      </c>
      <c r="F15" s="68" t="s">
        <v>119</v>
      </c>
      <c r="G15" s="68"/>
      <c r="H15" s="6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64"/>
      <c r="B16" s="2"/>
      <c r="C16" s="49">
        <v>5</v>
      </c>
      <c r="D16" s="157" t="s">
        <v>76</v>
      </c>
      <c r="E16" s="68" t="s">
        <v>128</v>
      </c>
      <c r="F16" s="68" t="s">
        <v>129</v>
      </c>
      <c r="G16" s="68"/>
      <c r="H16" s="6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6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6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64"/>
      <c r="B19" s="2"/>
      <c r="C19" s="81"/>
      <c r="D19" s="73" t="s">
        <v>134</v>
      </c>
      <c r="E19" s="81"/>
      <c r="F19" s="1"/>
      <c r="G19" s="81"/>
      <c r="H19" s="73" t="s">
        <v>135</v>
      </c>
      <c r="I19" s="81"/>
      <c r="J19" s="2"/>
      <c r="K19" s="81"/>
      <c r="L19" s="73" t="s">
        <v>136</v>
      </c>
      <c r="M19" s="81"/>
      <c r="N19" s="2"/>
      <c r="O19" s="81"/>
      <c r="P19" s="73" t="s">
        <v>137</v>
      </c>
      <c r="Q19" s="81"/>
      <c r="R19" s="2"/>
      <c r="S19" s="81"/>
      <c r="T19" s="73" t="s">
        <v>138</v>
      </c>
      <c r="U19" s="81"/>
      <c r="V19" s="2"/>
      <c r="W19" s="82"/>
      <c r="X19" s="83" t="s">
        <v>139</v>
      </c>
      <c r="Y19" s="84"/>
    </row>
    <row r="20" spans="1:25">
      <c r="A20" s="64"/>
      <c r="B20" s="2"/>
      <c r="C20" s="103" t="s">
        <v>88</v>
      </c>
      <c r="D20" s="161"/>
      <c r="E20" s="59" t="s">
        <v>10</v>
      </c>
      <c r="F20" s="2"/>
      <c r="G20" s="103" t="s">
        <v>88</v>
      </c>
      <c r="H20" s="104"/>
      <c r="I20" s="59" t="s">
        <v>10</v>
      </c>
      <c r="J20" s="2"/>
      <c r="K20" s="103" t="s">
        <v>88</v>
      </c>
      <c r="L20" s="104"/>
      <c r="M20" s="59" t="s">
        <v>10</v>
      </c>
      <c r="N20" s="2"/>
      <c r="O20" s="103" t="s">
        <v>88</v>
      </c>
      <c r="P20" s="104"/>
      <c r="Q20" s="59" t="s">
        <v>10</v>
      </c>
      <c r="R20" s="2"/>
      <c r="S20" s="103" t="s">
        <v>88</v>
      </c>
      <c r="T20" s="104"/>
      <c r="U20" s="59" t="s">
        <v>10</v>
      </c>
      <c r="V20" s="2"/>
      <c r="W20" s="103" t="s">
        <v>88</v>
      </c>
      <c r="X20" s="104"/>
      <c r="Y20" s="59" t="s">
        <v>10</v>
      </c>
    </row>
    <row r="21" spans="1:25">
      <c r="A21" s="64"/>
      <c r="B21" s="2"/>
      <c r="C21" s="60">
        <v>1</v>
      </c>
      <c r="D21" s="162" t="s">
        <v>140</v>
      </c>
      <c r="E21" s="143" t="s">
        <v>141</v>
      </c>
      <c r="F21" s="2"/>
      <c r="G21" s="60">
        <v>1</v>
      </c>
      <c r="H21" s="164" t="s">
        <v>140</v>
      </c>
      <c r="I21" s="165" t="s">
        <v>141</v>
      </c>
      <c r="J21" s="2"/>
      <c r="K21" s="60">
        <v>1</v>
      </c>
      <c r="L21" s="67" t="s">
        <v>142</v>
      </c>
      <c r="M21" s="68" t="s">
        <v>143</v>
      </c>
      <c r="N21" s="2"/>
      <c r="O21" s="60">
        <v>1</v>
      </c>
      <c r="P21" s="67" t="s">
        <v>142</v>
      </c>
      <c r="Q21" s="68" t="s">
        <v>143</v>
      </c>
      <c r="R21" s="2"/>
      <c r="S21" s="60">
        <v>1</v>
      </c>
      <c r="T21" s="67" t="s">
        <v>142</v>
      </c>
      <c r="U21" s="68" t="s">
        <v>143</v>
      </c>
      <c r="V21" s="2"/>
      <c r="W21" s="60">
        <v>1</v>
      </c>
      <c r="X21" s="67" t="s">
        <v>142</v>
      </c>
      <c r="Y21" s="68" t="s">
        <v>143</v>
      </c>
    </row>
    <row r="22" spans="1:25" ht="29.25">
      <c r="A22" s="64"/>
      <c r="B22" s="2"/>
      <c r="C22" s="60">
        <v>2</v>
      </c>
      <c r="D22" s="163" t="s">
        <v>112</v>
      </c>
      <c r="E22" s="150" t="s">
        <v>104</v>
      </c>
      <c r="F22" s="2"/>
      <c r="G22" s="60">
        <v>2</v>
      </c>
      <c r="H22" s="166" t="s">
        <v>144</v>
      </c>
      <c r="I22" s="167" t="s">
        <v>145</v>
      </c>
      <c r="J22" s="2"/>
      <c r="K22" s="60">
        <v>2</v>
      </c>
      <c r="L22" s="69" t="s">
        <v>146</v>
      </c>
      <c r="M22" s="68" t="s">
        <v>143</v>
      </c>
      <c r="N22" s="2"/>
      <c r="O22" s="60">
        <v>2</v>
      </c>
      <c r="P22" s="69" t="s">
        <v>146</v>
      </c>
      <c r="Q22" s="68" t="s">
        <v>143</v>
      </c>
      <c r="R22" s="2"/>
      <c r="S22" s="60">
        <v>2</v>
      </c>
      <c r="T22" s="69" t="s">
        <v>146</v>
      </c>
      <c r="U22" s="68" t="s">
        <v>143</v>
      </c>
      <c r="V22" s="2"/>
      <c r="W22" s="60">
        <v>2</v>
      </c>
      <c r="X22" s="69" t="s">
        <v>146</v>
      </c>
      <c r="Y22" s="68" t="s">
        <v>143</v>
      </c>
    </row>
    <row r="23" spans="1:25" ht="25.5">
      <c r="A23" s="64"/>
      <c r="B23" s="2"/>
      <c r="C23" s="60">
        <v>3</v>
      </c>
      <c r="D23" s="163" t="s">
        <v>147</v>
      </c>
      <c r="E23" s="150" t="s">
        <v>148</v>
      </c>
      <c r="F23" s="2"/>
      <c r="G23" s="60">
        <v>3</v>
      </c>
      <c r="H23" s="166" t="s">
        <v>76</v>
      </c>
      <c r="I23" s="167" t="s">
        <v>129</v>
      </c>
      <c r="J23" s="2"/>
      <c r="K23" s="60">
        <v>3</v>
      </c>
      <c r="L23" s="69" t="s">
        <v>149</v>
      </c>
      <c r="M23" s="68" t="s">
        <v>150</v>
      </c>
      <c r="N23" s="2"/>
      <c r="O23" s="60">
        <v>3</v>
      </c>
      <c r="P23" s="69" t="s">
        <v>149</v>
      </c>
      <c r="Q23" s="68" t="s">
        <v>150</v>
      </c>
      <c r="R23" s="2"/>
      <c r="S23" s="60">
        <v>3</v>
      </c>
      <c r="T23" s="69" t="s">
        <v>149</v>
      </c>
      <c r="U23" s="68" t="s">
        <v>151</v>
      </c>
      <c r="V23" s="2"/>
      <c r="W23" s="60">
        <v>3</v>
      </c>
      <c r="X23" s="69" t="s">
        <v>149</v>
      </c>
      <c r="Y23" s="68" t="s">
        <v>151</v>
      </c>
    </row>
    <row r="24" spans="1:25">
      <c r="A24" s="64"/>
      <c r="B24" s="2"/>
      <c r="C24" s="60">
        <v>4</v>
      </c>
      <c r="D24" s="163" t="s">
        <v>152</v>
      </c>
      <c r="E24" s="150" t="s">
        <v>151</v>
      </c>
      <c r="F24" s="2"/>
      <c r="G24" s="60">
        <v>4</v>
      </c>
      <c r="H24" s="166" t="s">
        <v>152</v>
      </c>
      <c r="I24" s="167" t="s">
        <v>151</v>
      </c>
      <c r="J24" s="2"/>
      <c r="K24" s="60">
        <v>4</v>
      </c>
      <c r="L24" s="69" t="s">
        <v>152</v>
      </c>
      <c r="M24" s="68" t="s">
        <v>151</v>
      </c>
      <c r="N24" s="2"/>
      <c r="O24" s="60">
        <v>4</v>
      </c>
      <c r="P24" s="69" t="s">
        <v>152</v>
      </c>
      <c r="Q24" s="68" t="s">
        <v>151</v>
      </c>
      <c r="R24" s="2"/>
      <c r="S24" s="60">
        <v>4</v>
      </c>
      <c r="T24" s="69" t="s">
        <v>152</v>
      </c>
      <c r="U24" s="68" t="s">
        <v>151</v>
      </c>
      <c r="V24" s="2"/>
      <c r="W24" s="60">
        <v>4</v>
      </c>
      <c r="X24" s="69" t="s">
        <v>152</v>
      </c>
      <c r="Y24" s="68" t="s">
        <v>151</v>
      </c>
    </row>
    <row r="25" spans="1:25">
      <c r="A25" s="64"/>
      <c r="B25" s="2"/>
      <c r="C25" s="60">
        <v>5</v>
      </c>
      <c r="D25" s="163" t="s">
        <v>132</v>
      </c>
      <c r="E25" s="150" t="s">
        <v>143</v>
      </c>
      <c r="F25" s="2"/>
      <c r="G25" s="60">
        <v>5</v>
      </c>
      <c r="H25" s="166" t="s">
        <v>132</v>
      </c>
      <c r="I25" s="167" t="s">
        <v>143</v>
      </c>
      <c r="J25" s="2"/>
      <c r="K25" s="60">
        <v>5</v>
      </c>
      <c r="L25" s="69" t="s">
        <v>132</v>
      </c>
      <c r="M25" s="68" t="s">
        <v>143</v>
      </c>
      <c r="N25" s="2"/>
      <c r="O25" s="60">
        <v>5</v>
      </c>
      <c r="P25" s="69" t="s">
        <v>132</v>
      </c>
      <c r="Q25" s="68" t="s">
        <v>143</v>
      </c>
      <c r="R25" s="2"/>
      <c r="S25" s="60">
        <v>5</v>
      </c>
      <c r="T25" s="69" t="s">
        <v>132</v>
      </c>
      <c r="U25" s="68" t="s">
        <v>143</v>
      </c>
      <c r="V25" s="2"/>
      <c r="W25" s="60">
        <v>5</v>
      </c>
      <c r="X25" s="69" t="s">
        <v>132</v>
      </c>
      <c r="Y25" s="68" t="s">
        <v>143</v>
      </c>
    </row>
    <row r="26" spans="1:25">
      <c r="A26" s="6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6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6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6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6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6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6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6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6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6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6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6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6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6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6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6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6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6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6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6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6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6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6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6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6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6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6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6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6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6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6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6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6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6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6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6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6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6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6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6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6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6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6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6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6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6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6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6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6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6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6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6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6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6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6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6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6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6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6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6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6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6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6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6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6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6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6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6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6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6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6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6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6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6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6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6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6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6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6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6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6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6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6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6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6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6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6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6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6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6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6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6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6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6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6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6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6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6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6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6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6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6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6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6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6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6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6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6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6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6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6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6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6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6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6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6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6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6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6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6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6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6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6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6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6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6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6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6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6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6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6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6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6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6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6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6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6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6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6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6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6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6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6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6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6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6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6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6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6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6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6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6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6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6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6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6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6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6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6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6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6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6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6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6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6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6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6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6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6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6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6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6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6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6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6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6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6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6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6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6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6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6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6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6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6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6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6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6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6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6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6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6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6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6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6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6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6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6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6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6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6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6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6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6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6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6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6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6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6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6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6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6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6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6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6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6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6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6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6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6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6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6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6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6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6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6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6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6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6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6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6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6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6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6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6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6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6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6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6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6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6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6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6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6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6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6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6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6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6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6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6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6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6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6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6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6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6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6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6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6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6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6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6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6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6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6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6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6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6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6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6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6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6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6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6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6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6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6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6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6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6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6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6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6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6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6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6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6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6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6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6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6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6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6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6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6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6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6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6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6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6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6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6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6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6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6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6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6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6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6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6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6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6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6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6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6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6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6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6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6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6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6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6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6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6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6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6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6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6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6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6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6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6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6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6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6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6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6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6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6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6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6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6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6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6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6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6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6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6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6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6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6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6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6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6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6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6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6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6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6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6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6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6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6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6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6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6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6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6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6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6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6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6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6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6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6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6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6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6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6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6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6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6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6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6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6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6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6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6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6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6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6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6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6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6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6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6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6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6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6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6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6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6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6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6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6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6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6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6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6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6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6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6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6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6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6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6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6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6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6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6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6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6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6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6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6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6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6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6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6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6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6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6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6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6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6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6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6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6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6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6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6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6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6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6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6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6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6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6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6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6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6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6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6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6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6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6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6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6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6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6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6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6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6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6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6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6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6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6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6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6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6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6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6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6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6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6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6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6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6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6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6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6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6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6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6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6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6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6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6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6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6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6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6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6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6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6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6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6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6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6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6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6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6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6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6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6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6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6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6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6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6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6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6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6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6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6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6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6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6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6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6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6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6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6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6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6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6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6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6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6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6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6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6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6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6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6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6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6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6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6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6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6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6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6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6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6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6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6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6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6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6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6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6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6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6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6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6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6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6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6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6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6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6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6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6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6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6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6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6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6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6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6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6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6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6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6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6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6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6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6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6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6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6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6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6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6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</sheetData>
  <mergeCells count="9">
    <mergeCell ref="C20:D20"/>
    <mergeCell ref="C11:D11"/>
    <mergeCell ref="D4:F4"/>
    <mergeCell ref="C5:F5"/>
    <mergeCell ref="K20:L20"/>
    <mergeCell ref="O20:P20"/>
    <mergeCell ref="S20:T20"/>
    <mergeCell ref="W20:X20"/>
    <mergeCell ref="G20:H20"/>
  </mergeCells>
  <hyperlinks>
    <hyperlink ref="C1" location="Quarterly!A1" display="QUARTELY" xr:uid="{E4D3CED4-57CB-3F4E-BE49-182CBDEDA39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C4F-6CA7-024A-B037-B816FA5D04BB}">
  <dimension ref="A1:Y623"/>
  <sheetViews>
    <sheetView zoomScale="87" workbookViewId="0">
      <selection activeCell="E46" sqref="E46:E48"/>
    </sheetView>
  </sheetViews>
  <sheetFormatPr defaultColWidth="10.85546875" defaultRowHeight="15"/>
  <cols>
    <col min="1" max="1" width="9.140625" style="65" customWidth="1"/>
    <col min="2" max="2" width="4.7109375" style="1" customWidth="1"/>
    <col min="3" max="3" width="7.42578125" style="36" customWidth="1"/>
    <col min="4" max="4" width="5.140625" style="37" customWidth="1"/>
    <col min="5" max="5" width="106.140625" style="36" customWidth="1"/>
    <col min="6" max="6" width="15.28515625" style="38" customWidth="1"/>
    <col min="7" max="7" width="11.7109375" style="36" customWidth="1"/>
    <col min="8" max="8" width="20.85546875" style="36" customWidth="1"/>
    <col min="9" max="9" width="46.28515625" style="36" customWidth="1"/>
    <col min="10" max="10" width="10.85546875" style="1"/>
    <col min="11" max="11" width="7.42578125" style="36" customWidth="1"/>
    <col min="12" max="12" width="5.140625" style="37" customWidth="1"/>
    <col min="13" max="13" width="106.140625" style="36" customWidth="1"/>
    <col min="14" max="14" width="15.28515625" style="38" customWidth="1"/>
    <col min="15" max="15" width="11.7109375" style="36" customWidth="1"/>
    <col min="16" max="16" width="19.7109375" style="36" bestFit="1" customWidth="1"/>
    <col min="17" max="17" width="46.28515625" style="36" customWidth="1"/>
    <col min="18" max="18" width="10.85546875" style="1"/>
    <col min="19" max="19" width="7.42578125" style="36" customWidth="1"/>
    <col min="20" max="20" width="5.140625" style="37" customWidth="1"/>
    <col min="21" max="21" width="106.140625" style="36" customWidth="1"/>
    <col min="22" max="22" width="15.28515625" style="38" customWidth="1"/>
    <col min="23" max="23" width="11.7109375" style="36" customWidth="1"/>
    <col min="24" max="24" width="19.7109375" style="36" bestFit="1" customWidth="1"/>
    <col min="25" max="25" width="46.28515625" style="36" customWidth="1"/>
    <col min="26" max="16384" width="10.85546875" style="1"/>
  </cols>
  <sheetData>
    <row r="1" spans="1:25" s="61" customFormat="1" ht="41.1" customHeight="1">
      <c r="A1" s="63"/>
      <c r="C1" s="66" t="s">
        <v>153</v>
      </c>
      <c r="D1" s="62"/>
      <c r="G1" s="66"/>
      <c r="H1" s="62"/>
      <c r="K1" s="66"/>
      <c r="L1" s="62"/>
      <c r="O1" s="66"/>
      <c r="P1" s="62"/>
      <c r="S1" s="66"/>
      <c r="T1" s="62"/>
      <c r="W1" s="66"/>
      <c r="X1" s="62"/>
    </row>
    <row r="2" spans="1:25">
      <c r="A2" s="63"/>
      <c r="C2" s="1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5">
      <c r="A3" s="63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5" ht="15.95" thickBot="1">
      <c r="A4" s="64"/>
      <c r="C4" s="114" t="str">
        <f>'Department 1 - Q Planning'!D19</f>
        <v>Team member 1 (Name)</v>
      </c>
      <c r="D4" s="115"/>
      <c r="E4" s="115"/>
      <c r="F4" s="115"/>
      <c r="G4" s="115"/>
      <c r="H4" s="115"/>
      <c r="I4" s="116"/>
      <c r="K4" s="114" t="str">
        <f>C4</f>
        <v>Team member 1 (Name)</v>
      </c>
      <c r="L4" s="115"/>
      <c r="M4" s="115"/>
      <c r="N4" s="115"/>
      <c r="O4" s="115"/>
      <c r="P4" s="115"/>
      <c r="Q4" s="116"/>
      <c r="S4" s="114" t="str">
        <f>K4</f>
        <v>Team member 1 (Name)</v>
      </c>
      <c r="T4" s="115"/>
      <c r="U4" s="115"/>
      <c r="V4" s="115"/>
      <c r="W4" s="115"/>
      <c r="X4" s="115"/>
      <c r="Y4" s="116"/>
    </row>
    <row r="5" spans="1:25">
      <c r="A5" s="64"/>
      <c r="C5" s="43" t="s">
        <v>154</v>
      </c>
      <c r="D5" s="10" t="s">
        <v>151</v>
      </c>
      <c r="E5" s="48" t="s">
        <v>155</v>
      </c>
      <c r="F5" s="46"/>
      <c r="G5" s="47"/>
      <c r="H5" s="47"/>
      <c r="I5" s="44" t="s">
        <v>10</v>
      </c>
      <c r="K5" s="43" t="s">
        <v>154</v>
      </c>
      <c r="L5" s="10" t="s">
        <v>151</v>
      </c>
      <c r="M5" s="48" t="s">
        <v>155</v>
      </c>
      <c r="N5" s="46"/>
      <c r="O5" s="47"/>
      <c r="P5" s="47"/>
      <c r="Q5" s="44" t="s">
        <v>10</v>
      </c>
      <c r="S5" s="43" t="s">
        <v>154</v>
      </c>
      <c r="T5" s="10" t="s">
        <v>151</v>
      </c>
      <c r="U5" s="48" t="s">
        <v>155</v>
      </c>
      <c r="V5" s="46"/>
      <c r="W5" s="47"/>
      <c r="X5" s="47"/>
      <c r="Y5" s="44" t="s">
        <v>10</v>
      </c>
    </row>
    <row r="6" spans="1:25">
      <c r="A6" s="64"/>
      <c r="C6" s="11"/>
      <c r="D6" s="12">
        <v>1</v>
      </c>
      <c r="E6" s="105" t="str">
        <f>'Department 1 - Q Planning'!D21</f>
        <v>Organize National Conference</v>
      </c>
      <c r="F6" s="106"/>
      <c r="G6" s="106"/>
      <c r="H6" s="107"/>
      <c r="I6" s="85" t="str">
        <f>'Department 1 - Q Planning'!E21</f>
        <v>in the budget</v>
      </c>
      <c r="K6" s="11"/>
      <c r="L6" s="12">
        <v>1</v>
      </c>
      <c r="M6" s="105" t="str">
        <f>E6</f>
        <v>Organize National Conference</v>
      </c>
      <c r="N6" s="106"/>
      <c r="O6" s="106"/>
      <c r="P6" s="107"/>
      <c r="Q6" s="85" t="str">
        <f>I6</f>
        <v>in the budget</v>
      </c>
      <c r="S6" s="11"/>
      <c r="T6" s="12">
        <v>1</v>
      </c>
      <c r="U6" s="105" t="str">
        <f>M6</f>
        <v>Organize National Conference</v>
      </c>
      <c r="V6" s="106"/>
      <c r="W6" s="106"/>
      <c r="X6" s="107"/>
      <c r="Y6" s="45" t="str">
        <f>Q6</f>
        <v>in the budget</v>
      </c>
    </row>
    <row r="7" spans="1:25">
      <c r="A7" s="64"/>
      <c r="C7" s="13"/>
      <c r="D7" s="14">
        <v>2</v>
      </c>
      <c r="E7" s="34" t="str">
        <f>'Department 1 - Q Planning'!D22</f>
        <v>Analyse, propose &amp; do Merit increase  - 15 mar</v>
      </c>
      <c r="F7" s="32"/>
      <c r="G7" s="32"/>
      <c r="H7" s="33"/>
      <c r="I7" s="45" t="str">
        <f>'Department 1 - Q Planning'!E22</f>
        <v>End of March</v>
      </c>
      <c r="K7" s="13"/>
      <c r="L7" s="14">
        <v>2</v>
      </c>
      <c r="M7" s="34" t="str">
        <f>E7</f>
        <v>Analyse, propose &amp; do Merit increase  - 15 mar</v>
      </c>
      <c r="N7" s="32"/>
      <c r="O7" s="32"/>
      <c r="P7" s="33"/>
      <c r="Q7" s="85" t="str">
        <f>I7</f>
        <v>End of March</v>
      </c>
      <c r="S7" s="13"/>
      <c r="T7" s="14">
        <v>2</v>
      </c>
      <c r="U7" s="34" t="str">
        <f>M7</f>
        <v>Analyse, propose &amp; do Merit increase  - 15 mar</v>
      </c>
      <c r="V7" s="32"/>
      <c r="W7" s="32"/>
      <c r="X7" s="33"/>
      <c r="Y7" s="45" t="str">
        <f>Q7</f>
        <v>End of March</v>
      </c>
    </row>
    <row r="8" spans="1:25">
      <c r="A8" s="64"/>
      <c r="C8" s="13"/>
      <c r="D8" s="14">
        <v>3</v>
      </c>
      <c r="E8" s="34" t="str">
        <f>'Department 1 - Q Planning'!D23</f>
        <v>Finish Performance management process for 2024 &amp; Start &amp; update Performance Management for 2025</v>
      </c>
      <c r="F8" s="32"/>
      <c r="G8" s="32"/>
      <c r="H8" s="33"/>
      <c r="I8" s="45" t="str">
        <f>'Department 1 - Q Planning'!E23</f>
        <v>End of Feb</v>
      </c>
      <c r="K8" s="13"/>
      <c r="L8" s="14">
        <v>3</v>
      </c>
      <c r="M8" s="34" t="str">
        <f>E8</f>
        <v>Finish Performance management process for 2024 &amp; Start &amp; update Performance Management for 2025</v>
      </c>
      <c r="N8" s="32"/>
      <c r="O8" s="32"/>
      <c r="P8" s="33"/>
      <c r="Q8" s="85" t="str">
        <f>I8</f>
        <v>End of Feb</v>
      </c>
      <c r="S8" s="13"/>
      <c r="T8" s="14">
        <v>3</v>
      </c>
      <c r="U8" s="34" t="str">
        <f>M8</f>
        <v>Finish Performance management process for 2024 &amp; Start &amp; update Performance Management for 2025</v>
      </c>
      <c r="V8" s="32"/>
      <c r="W8" s="32"/>
      <c r="X8" s="33"/>
      <c r="Y8" s="45" t="str">
        <f>Q8</f>
        <v>End of Feb</v>
      </c>
    </row>
    <row r="9" spans="1:25">
      <c r="A9" s="63"/>
      <c r="C9" s="13"/>
      <c r="D9" s="14">
        <v>4</v>
      </c>
      <c r="E9" s="34" t="str">
        <f>'Department 1 - Q Planning'!D24</f>
        <v>Priority 4</v>
      </c>
      <c r="F9" s="32"/>
      <c r="G9" s="32"/>
      <c r="H9" s="33"/>
      <c r="I9" s="45" t="str">
        <f>'Department 1 - Q Planning'!E24</f>
        <v>#</v>
      </c>
      <c r="K9" s="13"/>
      <c r="L9" s="14">
        <v>4</v>
      </c>
      <c r="M9" s="34" t="str">
        <f>E9</f>
        <v>Priority 4</v>
      </c>
      <c r="N9" s="32"/>
      <c r="O9" s="32"/>
      <c r="P9" s="33"/>
      <c r="Q9" s="85" t="str">
        <f>I9</f>
        <v>#</v>
      </c>
      <c r="S9" s="13"/>
      <c r="T9" s="14">
        <v>4</v>
      </c>
      <c r="U9" s="34" t="str">
        <f>M9</f>
        <v>Priority 4</v>
      </c>
      <c r="V9" s="32"/>
      <c r="W9" s="32"/>
      <c r="X9" s="33"/>
      <c r="Y9" s="45" t="str">
        <f>Q9</f>
        <v>#</v>
      </c>
    </row>
    <row r="10" spans="1:25">
      <c r="A10" s="64"/>
      <c r="C10" s="13"/>
      <c r="D10" s="14">
        <v>5</v>
      </c>
      <c r="E10" s="34" t="str">
        <f>'Department 1 - Q Planning'!D25</f>
        <v>Priority 5</v>
      </c>
      <c r="F10" s="32"/>
      <c r="G10" s="32"/>
      <c r="H10" s="33"/>
      <c r="I10" s="45" t="str">
        <f>'Department 1 - Q Planning'!E25</f>
        <v>%</v>
      </c>
      <c r="K10" s="13"/>
      <c r="L10" s="14">
        <v>5</v>
      </c>
      <c r="M10" s="34" t="str">
        <f>E10</f>
        <v>Priority 5</v>
      </c>
      <c r="N10" s="32"/>
      <c r="O10" s="32"/>
      <c r="P10" s="33"/>
      <c r="Q10" s="85" t="str">
        <f>I10</f>
        <v>%</v>
      </c>
      <c r="S10" s="13"/>
      <c r="T10" s="14">
        <v>5</v>
      </c>
      <c r="U10" s="34" t="str">
        <f>M10</f>
        <v>Priority 5</v>
      </c>
      <c r="V10" s="32"/>
      <c r="W10" s="32"/>
      <c r="X10" s="33"/>
      <c r="Y10" s="45" t="str">
        <f>Q10</f>
        <v>%</v>
      </c>
    </row>
    <row r="11" spans="1:25" ht="17.100000000000001" customHeight="1">
      <c r="A11" s="64"/>
      <c r="C11" s="74"/>
      <c r="D11" s="75"/>
      <c r="E11" s="75" t="s">
        <v>156</v>
      </c>
      <c r="F11" s="75"/>
      <c r="G11" s="75"/>
      <c r="H11" s="75"/>
      <c r="I11" s="76"/>
      <c r="K11" s="74"/>
      <c r="L11" s="75"/>
      <c r="M11" s="75" t="s">
        <v>156</v>
      </c>
      <c r="N11" s="75"/>
      <c r="O11" s="75"/>
      <c r="P11" s="75"/>
      <c r="Q11" s="76"/>
      <c r="S11" s="74"/>
      <c r="T11" s="75"/>
      <c r="U11" s="75" t="s">
        <v>156</v>
      </c>
      <c r="V11" s="75"/>
      <c r="W11" s="75"/>
      <c r="X11" s="75"/>
      <c r="Y11" s="76"/>
    </row>
    <row r="12" spans="1:25">
      <c r="A12" s="64"/>
      <c r="C12" s="78" t="s">
        <v>157</v>
      </c>
      <c r="D12" s="79" t="s">
        <v>151</v>
      </c>
      <c r="E12" s="79">
        <v>47</v>
      </c>
      <c r="F12" s="79" t="s">
        <v>158</v>
      </c>
      <c r="G12" s="79" t="s">
        <v>159</v>
      </c>
      <c r="H12" s="79" t="s">
        <v>160</v>
      </c>
      <c r="I12" s="80" t="s">
        <v>161</v>
      </c>
      <c r="K12" s="78" t="s">
        <v>157</v>
      </c>
      <c r="L12" s="79" t="s">
        <v>151</v>
      </c>
      <c r="M12" s="79">
        <f>E12+1</f>
        <v>48</v>
      </c>
      <c r="N12" s="79" t="s">
        <v>158</v>
      </c>
      <c r="O12" s="79" t="s">
        <v>159</v>
      </c>
      <c r="P12" s="79" t="s">
        <v>160</v>
      </c>
      <c r="Q12" s="80" t="s">
        <v>161</v>
      </c>
      <c r="S12" s="78" t="s">
        <v>157</v>
      </c>
      <c r="T12" s="79" t="s">
        <v>151</v>
      </c>
      <c r="U12" s="79">
        <f>M12+1</f>
        <v>49</v>
      </c>
      <c r="V12" s="79" t="s">
        <v>158</v>
      </c>
      <c r="W12" s="79" t="s">
        <v>159</v>
      </c>
      <c r="X12" s="79" t="s">
        <v>160</v>
      </c>
      <c r="Y12" s="80" t="s">
        <v>161</v>
      </c>
    </row>
    <row r="13" spans="1:25">
      <c r="A13" s="64"/>
      <c r="C13" s="15"/>
      <c r="D13" s="16">
        <v>1</v>
      </c>
      <c r="E13" s="168" t="s">
        <v>162</v>
      </c>
      <c r="F13" s="169">
        <v>1</v>
      </c>
      <c r="G13" s="19"/>
      <c r="H13" s="19"/>
      <c r="I13" s="112"/>
      <c r="K13" s="15"/>
      <c r="L13" s="16">
        <v>1</v>
      </c>
      <c r="M13" s="77"/>
      <c r="N13" s="18"/>
      <c r="O13" s="19"/>
      <c r="P13" s="19"/>
      <c r="Q13" s="112"/>
      <c r="S13" s="15"/>
      <c r="T13" s="16">
        <v>1</v>
      </c>
      <c r="U13" s="77"/>
      <c r="V13" s="18"/>
      <c r="W13" s="19"/>
      <c r="X13" s="19"/>
      <c r="Y13" s="112"/>
    </row>
    <row r="14" spans="1:25">
      <c r="A14" s="64"/>
      <c r="C14" s="20"/>
      <c r="D14" s="21">
        <v>2</v>
      </c>
      <c r="E14" s="168" t="s">
        <v>163</v>
      </c>
      <c r="F14" s="169">
        <v>2</v>
      </c>
      <c r="G14" s="19"/>
      <c r="H14" s="19"/>
      <c r="I14" s="113"/>
      <c r="K14" s="20"/>
      <c r="L14" s="21">
        <v>2</v>
      </c>
      <c r="M14" s="17"/>
      <c r="N14" s="18"/>
      <c r="O14" s="19"/>
      <c r="P14" s="19"/>
      <c r="Q14" s="113"/>
      <c r="S14" s="20"/>
      <c r="T14" s="21">
        <v>2</v>
      </c>
      <c r="U14" s="17"/>
      <c r="V14" s="18"/>
      <c r="W14" s="19"/>
      <c r="X14" s="19"/>
      <c r="Y14" s="113"/>
    </row>
    <row r="15" spans="1:25">
      <c r="A15" s="64"/>
      <c r="C15" s="20"/>
      <c r="D15" s="21">
        <v>3</v>
      </c>
      <c r="E15" s="168" t="s">
        <v>164</v>
      </c>
      <c r="F15" s="169">
        <v>3</v>
      </c>
      <c r="G15" s="19"/>
      <c r="H15" s="19"/>
      <c r="I15" s="113"/>
      <c r="K15" s="20"/>
      <c r="L15" s="21">
        <v>3</v>
      </c>
      <c r="M15" s="22"/>
      <c r="N15" s="23"/>
      <c r="O15" s="19"/>
      <c r="P15" s="19"/>
      <c r="Q15" s="113"/>
      <c r="S15" s="20"/>
      <c r="T15" s="21">
        <v>3</v>
      </c>
      <c r="U15" s="22"/>
      <c r="V15" s="23"/>
      <c r="W15" s="19"/>
      <c r="X15" s="19"/>
      <c r="Y15" s="113"/>
    </row>
    <row r="16" spans="1:25">
      <c r="A16" s="64"/>
      <c r="C16" s="20"/>
      <c r="D16" s="21">
        <v>4</v>
      </c>
      <c r="E16" s="168" t="s">
        <v>165</v>
      </c>
      <c r="F16" s="169">
        <v>4</v>
      </c>
      <c r="G16" s="19"/>
      <c r="H16" s="19"/>
      <c r="I16" s="113"/>
      <c r="K16" s="20"/>
      <c r="L16" s="21">
        <v>4</v>
      </c>
      <c r="M16" s="17"/>
      <c r="N16" s="23"/>
      <c r="O16" s="19"/>
      <c r="P16" s="19"/>
      <c r="Q16" s="113"/>
      <c r="S16" s="20"/>
      <c r="T16" s="21">
        <v>4</v>
      </c>
      <c r="U16" s="17"/>
      <c r="V16" s="23"/>
      <c r="W16" s="19"/>
      <c r="X16" s="19"/>
      <c r="Y16" s="113"/>
    </row>
    <row r="17" spans="1:25">
      <c r="A17" s="64"/>
      <c r="C17" s="20"/>
      <c r="D17" s="21">
        <v>5</v>
      </c>
      <c r="E17" s="168" t="s">
        <v>166</v>
      </c>
      <c r="F17" s="169">
        <v>5</v>
      </c>
      <c r="G17" s="19"/>
      <c r="H17" s="19"/>
      <c r="I17" s="113"/>
      <c r="K17" s="20"/>
      <c r="L17" s="21">
        <v>5</v>
      </c>
      <c r="M17" s="24"/>
      <c r="N17" s="23"/>
      <c r="O17" s="19"/>
      <c r="P17" s="19"/>
      <c r="Q17" s="113"/>
      <c r="S17" s="20"/>
      <c r="T17" s="21">
        <v>5</v>
      </c>
      <c r="U17" s="24"/>
      <c r="V17" s="23"/>
      <c r="W17" s="19"/>
      <c r="X17" s="19"/>
      <c r="Y17" s="113"/>
    </row>
    <row r="18" spans="1:25">
      <c r="A18" s="64"/>
      <c r="C18" s="20"/>
      <c r="D18" s="21">
        <v>6</v>
      </c>
      <c r="E18" s="17"/>
      <c r="F18" s="23"/>
      <c r="G18" s="19"/>
      <c r="H18" s="19"/>
      <c r="I18" s="113"/>
      <c r="K18" s="20"/>
      <c r="L18" s="21">
        <v>6</v>
      </c>
      <c r="M18" s="17"/>
      <c r="N18" s="23"/>
      <c r="O18" s="19"/>
      <c r="P18" s="19"/>
      <c r="Q18" s="113"/>
      <c r="S18" s="20"/>
      <c r="T18" s="21">
        <v>6</v>
      </c>
      <c r="U18" s="17"/>
      <c r="V18" s="23"/>
      <c r="W18" s="19"/>
      <c r="X18" s="19"/>
      <c r="Y18" s="113"/>
    </row>
    <row r="19" spans="1:25">
      <c r="A19" s="64"/>
      <c r="C19" s="39"/>
      <c r="D19" s="40" t="s">
        <v>167</v>
      </c>
      <c r="E19" s="41" t="s">
        <v>168</v>
      </c>
      <c r="F19" s="41" t="s">
        <v>169</v>
      </c>
      <c r="G19" s="41" t="s">
        <v>159</v>
      </c>
      <c r="H19" s="41" t="s">
        <v>160</v>
      </c>
      <c r="I19" s="42" t="s">
        <v>170</v>
      </c>
      <c r="K19" s="39"/>
      <c r="L19" s="40" t="s">
        <v>167</v>
      </c>
      <c r="M19" s="41" t="s">
        <v>168</v>
      </c>
      <c r="N19" s="41" t="s">
        <v>169</v>
      </c>
      <c r="O19" s="41" t="s">
        <v>159</v>
      </c>
      <c r="P19" s="41" t="s">
        <v>160</v>
      </c>
      <c r="Q19" s="42" t="s">
        <v>170</v>
      </c>
      <c r="S19" s="39"/>
      <c r="T19" s="40" t="s">
        <v>167</v>
      </c>
      <c r="U19" s="41" t="s">
        <v>168</v>
      </c>
      <c r="V19" s="41" t="s">
        <v>169</v>
      </c>
      <c r="W19" s="41" t="s">
        <v>159</v>
      </c>
      <c r="X19" s="41" t="s">
        <v>160</v>
      </c>
      <c r="Y19" s="42" t="s">
        <v>170</v>
      </c>
    </row>
    <row r="20" spans="1:25">
      <c r="A20" s="64"/>
      <c r="C20" s="109" t="s">
        <v>171</v>
      </c>
      <c r="D20" s="25"/>
      <c r="E20" s="170" t="s">
        <v>172</v>
      </c>
      <c r="F20" s="27"/>
      <c r="G20" s="19"/>
      <c r="H20" s="19"/>
      <c r="I20" s="108"/>
      <c r="K20" s="109" t="s">
        <v>171</v>
      </c>
      <c r="L20" s="25"/>
      <c r="M20" s="26"/>
      <c r="N20" s="27"/>
      <c r="O20" s="19"/>
      <c r="P20" s="19"/>
      <c r="Q20" s="108"/>
      <c r="S20" s="109" t="s">
        <v>171</v>
      </c>
      <c r="T20" s="25"/>
      <c r="U20" s="26"/>
      <c r="V20" s="27"/>
      <c r="W20" s="19"/>
      <c r="X20" s="19"/>
      <c r="Y20" s="108"/>
    </row>
    <row r="21" spans="1:25">
      <c r="A21" s="64"/>
      <c r="C21" s="109"/>
      <c r="D21" s="25"/>
      <c r="E21" s="26"/>
      <c r="F21" s="28"/>
      <c r="G21" s="19"/>
      <c r="H21" s="19"/>
      <c r="I21" s="108"/>
      <c r="K21" s="109"/>
      <c r="L21" s="25"/>
      <c r="M21" s="26"/>
      <c r="N21" s="28"/>
      <c r="O21" s="19"/>
      <c r="P21" s="19"/>
      <c r="Q21" s="108"/>
      <c r="S21" s="109"/>
      <c r="T21" s="25"/>
      <c r="U21" s="26"/>
      <c r="V21" s="28"/>
      <c r="W21" s="19"/>
      <c r="X21" s="19"/>
      <c r="Y21" s="108"/>
    </row>
    <row r="22" spans="1:25">
      <c r="A22" s="64"/>
      <c r="C22" s="109"/>
      <c r="D22" s="25"/>
      <c r="E22" s="26"/>
      <c r="F22" s="28"/>
      <c r="G22" s="19"/>
      <c r="H22" s="19"/>
      <c r="I22" s="108"/>
      <c r="K22" s="109"/>
      <c r="L22" s="25"/>
      <c r="M22" s="26"/>
      <c r="N22" s="28"/>
      <c r="O22" s="19"/>
      <c r="P22" s="19"/>
      <c r="Q22" s="108"/>
      <c r="S22" s="109"/>
      <c r="T22" s="25"/>
      <c r="U22" s="26"/>
      <c r="V22" s="28"/>
      <c r="W22" s="19"/>
      <c r="X22" s="19"/>
      <c r="Y22" s="108"/>
    </row>
    <row r="23" spans="1:25">
      <c r="A23" s="64"/>
      <c r="C23" s="109" t="s">
        <v>173</v>
      </c>
      <c r="D23" s="25"/>
      <c r="E23" s="26"/>
      <c r="F23" s="28"/>
      <c r="G23" s="19"/>
      <c r="H23" s="19"/>
      <c r="I23" s="108"/>
      <c r="K23" s="109" t="s">
        <v>173</v>
      </c>
      <c r="L23" s="25"/>
      <c r="M23" s="26"/>
      <c r="N23" s="28"/>
      <c r="O23" s="19"/>
      <c r="P23" s="19"/>
      <c r="Q23" s="108"/>
      <c r="S23" s="109" t="s">
        <v>173</v>
      </c>
      <c r="T23" s="25"/>
      <c r="U23" s="26"/>
      <c r="V23" s="28"/>
      <c r="W23" s="19"/>
      <c r="X23" s="19"/>
      <c r="Y23" s="108"/>
    </row>
    <row r="24" spans="1:25">
      <c r="A24" s="64"/>
      <c r="C24" s="109"/>
      <c r="D24" s="25"/>
      <c r="E24" s="26"/>
      <c r="F24" s="28"/>
      <c r="G24" s="19"/>
      <c r="H24" s="19"/>
      <c r="I24" s="108"/>
      <c r="K24" s="109"/>
      <c r="L24" s="25"/>
      <c r="M24" s="26"/>
      <c r="N24" s="28"/>
      <c r="O24" s="19"/>
      <c r="P24" s="19"/>
      <c r="Q24" s="108"/>
      <c r="S24" s="109"/>
      <c r="T24" s="25"/>
      <c r="U24" s="26"/>
      <c r="V24" s="28"/>
      <c r="W24" s="19"/>
      <c r="X24" s="19"/>
      <c r="Y24" s="108"/>
    </row>
    <row r="25" spans="1:25">
      <c r="A25" s="64"/>
      <c r="C25" s="109"/>
      <c r="D25" s="25"/>
      <c r="E25" s="26"/>
      <c r="F25" s="28"/>
      <c r="G25" s="19"/>
      <c r="H25" s="19"/>
      <c r="I25" s="108"/>
      <c r="K25" s="109"/>
      <c r="L25" s="25"/>
      <c r="M25" s="26"/>
      <c r="N25" s="28"/>
      <c r="O25" s="19"/>
      <c r="P25" s="19"/>
      <c r="Q25" s="108"/>
      <c r="S25" s="109"/>
      <c r="T25" s="25"/>
      <c r="U25" s="26"/>
      <c r="V25" s="28"/>
      <c r="W25" s="19"/>
      <c r="X25" s="19"/>
      <c r="Y25" s="108"/>
    </row>
    <row r="26" spans="1:25">
      <c r="A26" s="64"/>
      <c r="C26" s="109" t="s">
        <v>174</v>
      </c>
      <c r="D26" s="25"/>
      <c r="E26" s="26"/>
      <c r="F26" s="28"/>
      <c r="G26" s="19"/>
      <c r="H26" s="19"/>
      <c r="I26" s="108"/>
      <c r="K26" s="109" t="s">
        <v>174</v>
      </c>
      <c r="L26" s="25"/>
      <c r="M26" s="26"/>
      <c r="N26" s="28"/>
      <c r="O26" s="19"/>
      <c r="P26" s="19"/>
      <c r="Q26" s="108"/>
      <c r="S26" s="109" t="s">
        <v>174</v>
      </c>
      <c r="T26" s="25"/>
      <c r="U26" s="26"/>
      <c r="V26" s="28"/>
      <c r="W26" s="19"/>
      <c r="X26" s="19"/>
      <c r="Y26" s="108"/>
    </row>
    <row r="27" spans="1:25">
      <c r="A27" s="64"/>
      <c r="C27" s="109"/>
      <c r="D27" s="25"/>
      <c r="E27" s="26"/>
      <c r="F27" s="28"/>
      <c r="G27" s="19"/>
      <c r="H27" s="19"/>
      <c r="I27" s="108"/>
      <c r="K27" s="109"/>
      <c r="L27" s="25"/>
      <c r="M27" s="26"/>
      <c r="N27" s="28"/>
      <c r="O27" s="19"/>
      <c r="P27" s="19"/>
      <c r="Q27" s="108"/>
      <c r="S27" s="109"/>
      <c r="T27" s="25"/>
      <c r="U27" s="26"/>
      <c r="V27" s="28"/>
      <c r="W27" s="19"/>
      <c r="X27" s="19"/>
      <c r="Y27" s="108"/>
    </row>
    <row r="28" spans="1:25">
      <c r="A28" s="64"/>
      <c r="C28" s="109"/>
      <c r="D28" s="25"/>
      <c r="E28" s="26"/>
      <c r="F28" s="28"/>
      <c r="G28" s="19"/>
      <c r="H28" s="19"/>
      <c r="I28" s="108"/>
      <c r="K28" s="109"/>
      <c r="L28" s="25"/>
      <c r="M28" s="26"/>
      <c r="N28" s="28"/>
      <c r="O28" s="19"/>
      <c r="P28" s="19"/>
      <c r="Q28" s="108"/>
      <c r="S28" s="109"/>
      <c r="T28" s="25"/>
      <c r="U28" s="26"/>
      <c r="V28" s="28"/>
      <c r="W28" s="19"/>
      <c r="X28" s="19"/>
      <c r="Y28" s="108"/>
    </row>
    <row r="29" spans="1:25">
      <c r="A29" s="64"/>
      <c r="C29" s="109" t="s">
        <v>173</v>
      </c>
      <c r="D29" s="25"/>
      <c r="E29" s="26"/>
      <c r="F29" s="28"/>
      <c r="G29" s="19"/>
      <c r="H29" s="19"/>
      <c r="I29" s="108"/>
      <c r="K29" s="109" t="s">
        <v>173</v>
      </c>
      <c r="L29" s="25"/>
      <c r="M29" s="26"/>
      <c r="N29" s="28"/>
      <c r="O29" s="19"/>
      <c r="P29" s="19"/>
      <c r="Q29" s="108"/>
      <c r="S29" s="109" t="s">
        <v>173</v>
      </c>
      <c r="T29" s="25"/>
      <c r="U29" s="26"/>
      <c r="V29" s="28"/>
      <c r="W29" s="19"/>
      <c r="X29" s="19"/>
      <c r="Y29" s="108"/>
    </row>
    <row r="30" spans="1:25">
      <c r="A30" s="64"/>
      <c r="C30" s="109"/>
      <c r="D30" s="25"/>
      <c r="E30" s="26"/>
      <c r="F30" s="28"/>
      <c r="G30" s="19"/>
      <c r="H30" s="19"/>
      <c r="I30" s="108"/>
      <c r="K30" s="109"/>
      <c r="L30" s="25"/>
      <c r="M30" s="26"/>
      <c r="N30" s="28"/>
      <c r="O30" s="19"/>
      <c r="P30" s="19"/>
      <c r="Q30" s="108"/>
      <c r="S30" s="109"/>
      <c r="T30" s="25"/>
      <c r="U30" s="26"/>
      <c r="V30" s="28"/>
      <c r="W30" s="19"/>
      <c r="X30" s="19"/>
      <c r="Y30" s="108"/>
    </row>
    <row r="31" spans="1:25">
      <c r="A31" s="64"/>
      <c r="C31" s="109"/>
      <c r="D31" s="25"/>
      <c r="E31" s="26"/>
      <c r="F31" s="28"/>
      <c r="G31" s="19"/>
      <c r="H31" s="19"/>
      <c r="I31" s="108"/>
      <c r="K31" s="109"/>
      <c r="L31" s="25"/>
      <c r="M31" s="26"/>
      <c r="N31" s="28"/>
      <c r="O31" s="19"/>
      <c r="P31" s="19"/>
      <c r="Q31" s="108"/>
      <c r="S31" s="109"/>
      <c r="T31" s="25"/>
      <c r="U31" s="26"/>
      <c r="V31" s="28"/>
      <c r="W31" s="19"/>
      <c r="X31" s="19"/>
      <c r="Y31" s="108"/>
    </row>
    <row r="32" spans="1:25">
      <c r="A32" s="64"/>
      <c r="C32" s="109" t="s">
        <v>175</v>
      </c>
      <c r="D32" s="25"/>
      <c r="E32" s="26"/>
      <c r="F32" s="28"/>
      <c r="G32" s="19"/>
      <c r="H32" s="19"/>
      <c r="I32" s="108"/>
      <c r="K32" s="109" t="s">
        <v>175</v>
      </c>
      <c r="L32" s="25"/>
      <c r="M32" s="26"/>
      <c r="N32" s="28"/>
      <c r="O32" s="19"/>
      <c r="P32" s="19"/>
      <c r="Q32" s="108"/>
      <c r="S32" s="109" t="s">
        <v>175</v>
      </c>
      <c r="T32" s="25"/>
      <c r="U32" s="26"/>
      <c r="V32" s="28"/>
      <c r="W32" s="19"/>
      <c r="X32" s="19"/>
      <c r="Y32" s="108"/>
    </row>
    <row r="33" spans="1:25">
      <c r="A33" s="64"/>
      <c r="C33" s="109"/>
      <c r="D33" s="25"/>
      <c r="E33" s="26"/>
      <c r="F33" s="28"/>
      <c r="G33" s="19"/>
      <c r="H33" s="19"/>
      <c r="I33" s="108"/>
      <c r="K33" s="109"/>
      <c r="L33" s="25"/>
      <c r="M33" s="26"/>
      <c r="N33" s="28"/>
      <c r="O33" s="19"/>
      <c r="P33" s="19"/>
      <c r="Q33" s="108"/>
      <c r="S33" s="109"/>
      <c r="T33" s="25"/>
      <c r="U33" s="26"/>
      <c r="V33" s="28"/>
      <c r="W33" s="19"/>
      <c r="X33" s="19"/>
      <c r="Y33" s="108"/>
    </row>
    <row r="34" spans="1:25">
      <c r="A34" s="64"/>
      <c r="C34" s="110"/>
      <c r="D34" s="25"/>
      <c r="E34" s="26"/>
      <c r="F34" s="28"/>
      <c r="G34" s="19"/>
      <c r="H34" s="19"/>
      <c r="I34" s="111"/>
      <c r="K34" s="110"/>
      <c r="L34" s="25"/>
      <c r="M34" s="26"/>
      <c r="N34" s="28"/>
      <c r="O34" s="19"/>
      <c r="P34" s="19"/>
      <c r="Q34" s="111"/>
      <c r="S34" s="110"/>
      <c r="T34" s="25"/>
      <c r="U34" s="26"/>
      <c r="V34" s="28"/>
      <c r="W34" s="19"/>
      <c r="X34" s="19"/>
      <c r="Y34" s="111"/>
    </row>
    <row r="35" spans="1:25">
      <c r="A35" s="64"/>
      <c r="C35" s="29"/>
      <c r="D35" s="30"/>
      <c r="E35" s="29"/>
      <c r="F35" s="31"/>
      <c r="G35" s="29"/>
      <c r="H35" s="29"/>
      <c r="I35" s="29"/>
      <c r="K35" s="29"/>
      <c r="L35" s="30"/>
      <c r="M35" s="29"/>
      <c r="N35" s="31"/>
      <c r="O35" s="29"/>
      <c r="P35" s="29"/>
      <c r="Q35" s="29"/>
      <c r="S35" s="29"/>
      <c r="T35" s="30"/>
      <c r="U35" s="29"/>
      <c r="V35" s="31"/>
      <c r="W35" s="29"/>
      <c r="X35" s="29"/>
      <c r="Y35" s="29"/>
    </row>
    <row r="36" spans="1:25">
      <c r="A36" s="64"/>
      <c r="C36" s="29"/>
      <c r="D36" s="30"/>
      <c r="E36" s="29"/>
      <c r="F36" s="31"/>
      <c r="G36" s="29"/>
      <c r="H36" s="29"/>
      <c r="I36" s="29"/>
      <c r="K36" s="29"/>
      <c r="L36" s="30"/>
      <c r="M36" s="29"/>
      <c r="N36" s="31"/>
      <c r="O36" s="29"/>
      <c r="P36" s="29"/>
      <c r="Q36" s="29"/>
      <c r="S36" s="29"/>
      <c r="T36" s="30"/>
      <c r="U36" s="29"/>
      <c r="V36" s="31"/>
      <c r="W36" s="29"/>
      <c r="X36" s="29"/>
      <c r="Y36" s="29"/>
    </row>
    <row r="37" spans="1:25" ht="15.95" thickBot="1">
      <c r="A37" s="64"/>
      <c r="C37" s="114" t="str">
        <f>'Department 1 - Q Planning'!H19</f>
        <v>Team member 2(Name)</v>
      </c>
      <c r="D37" s="115"/>
      <c r="E37" s="115"/>
      <c r="F37" s="115"/>
      <c r="G37" s="115"/>
      <c r="H37" s="115"/>
      <c r="I37" s="116"/>
      <c r="K37" s="114" t="str">
        <f>C37</f>
        <v>Team member 2(Name)</v>
      </c>
      <c r="L37" s="115"/>
      <c r="M37" s="115"/>
      <c r="N37" s="115"/>
      <c r="O37" s="115"/>
      <c r="P37" s="115"/>
      <c r="Q37" s="116"/>
      <c r="S37" s="114" t="str">
        <f>K37</f>
        <v>Team member 2(Name)</v>
      </c>
      <c r="T37" s="115"/>
      <c r="U37" s="115"/>
      <c r="V37" s="115"/>
      <c r="W37" s="115"/>
      <c r="X37" s="115"/>
      <c r="Y37" s="116"/>
    </row>
    <row r="38" spans="1:25">
      <c r="A38" s="64"/>
      <c r="C38" s="43" t="s">
        <v>154</v>
      </c>
      <c r="D38" s="10" t="s">
        <v>151</v>
      </c>
      <c r="E38" s="48" t="s">
        <v>155</v>
      </c>
      <c r="F38" s="46"/>
      <c r="G38" s="47"/>
      <c r="H38" s="47"/>
      <c r="I38" s="44" t="s">
        <v>10</v>
      </c>
      <c r="K38" s="43" t="s">
        <v>154</v>
      </c>
      <c r="L38" s="10" t="s">
        <v>151</v>
      </c>
      <c r="M38" s="48" t="s">
        <v>155</v>
      </c>
      <c r="N38" s="46"/>
      <c r="O38" s="47"/>
      <c r="P38" s="47"/>
      <c r="Q38" s="44" t="s">
        <v>10</v>
      </c>
      <c r="S38" s="43" t="s">
        <v>154</v>
      </c>
      <c r="T38" s="10" t="s">
        <v>151</v>
      </c>
      <c r="U38" s="48" t="s">
        <v>155</v>
      </c>
      <c r="V38" s="46"/>
      <c r="W38" s="47"/>
      <c r="X38" s="47"/>
      <c r="Y38" s="44" t="s">
        <v>10</v>
      </c>
    </row>
    <row r="39" spans="1:25">
      <c r="A39" s="64"/>
      <c r="C39" s="11"/>
      <c r="D39" s="12">
        <v>1</v>
      </c>
      <c r="E39" s="105" t="str">
        <f>'Department 1 - Q Planning'!H21</f>
        <v>Organize National Conference</v>
      </c>
      <c r="F39" s="106"/>
      <c r="G39" s="106"/>
      <c r="H39" s="107"/>
      <c r="I39" s="45" t="str">
        <f>'Department 1 - Q Planning'!I21</f>
        <v>in the budget</v>
      </c>
      <c r="K39" s="11"/>
      <c r="L39" s="12">
        <v>1</v>
      </c>
      <c r="M39" s="105" t="str">
        <f>E39</f>
        <v>Organize National Conference</v>
      </c>
      <c r="N39" s="106"/>
      <c r="O39" s="106"/>
      <c r="P39" s="107"/>
      <c r="Q39" s="45" t="str">
        <f>I39</f>
        <v>in the budget</v>
      </c>
      <c r="S39" s="11"/>
      <c r="T39" s="12">
        <v>1</v>
      </c>
      <c r="U39" s="105" t="str">
        <f>M39</f>
        <v>Organize National Conference</v>
      </c>
      <c r="V39" s="106"/>
      <c r="W39" s="106"/>
      <c r="X39" s="107"/>
      <c r="Y39" s="45" t="str">
        <f>Q39</f>
        <v>in the budget</v>
      </c>
    </row>
    <row r="40" spans="1:25">
      <c r="A40" s="64"/>
      <c r="C40" s="13"/>
      <c r="D40" s="14">
        <v>2</v>
      </c>
      <c r="E40" s="34" t="str">
        <f>'Department 1 - Q Planning'!H22</f>
        <v xml:space="preserve">Training Telesales Team </v>
      </c>
      <c r="F40" s="32"/>
      <c r="G40" s="32"/>
      <c r="H40" s="33"/>
      <c r="I40" s="45" t="str">
        <f>'Department 1 - Q Planning'!I22</f>
        <v>Over 90% test score</v>
      </c>
      <c r="K40" s="13"/>
      <c r="L40" s="14">
        <v>2</v>
      </c>
      <c r="M40" s="34" t="str">
        <f>E40</f>
        <v xml:space="preserve">Training Telesales Team </v>
      </c>
      <c r="N40" s="32"/>
      <c r="O40" s="32"/>
      <c r="P40" s="33"/>
      <c r="Q40" s="45" t="str">
        <f>I40</f>
        <v>Over 90% test score</v>
      </c>
      <c r="S40" s="13"/>
      <c r="T40" s="14">
        <v>2</v>
      </c>
      <c r="U40" s="34" t="str">
        <f>M40</f>
        <v xml:space="preserve">Training Telesales Team </v>
      </c>
      <c r="V40" s="32"/>
      <c r="W40" s="32"/>
      <c r="X40" s="33"/>
      <c r="Y40" s="45" t="str">
        <f>Q40</f>
        <v>Over 90% test score</v>
      </c>
    </row>
    <row r="41" spans="1:25">
      <c r="A41" s="64"/>
      <c r="C41" s="13"/>
      <c r="D41" s="14">
        <v>3</v>
      </c>
      <c r="E41" s="34" t="str">
        <f>'Department 1 - Q Planning'!H23</f>
        <v>Recruit L&amp;D</v>
      </c>
      <c r="F41" s="32"/>
      <c r="G41" s="32"/>
      <c r="H41" s="33"/>
      <c r="I41" s="45" t="str">
        <f>'Department 1 - Q Planning'!I23</f>
        <v>End of Jan</v>
      </c>
      <c r="K41" s="13"/>
      <c r="L41" s="14">
        <v>3</v>
      </c>
      <c r="M41" s="34" t="str">
        <f>E41</f>
        <v>Recruit L&amp;D</v>
      </c>
      <c r="N41" s="32"/>
      <c r="O41" s="32"/>
      <c r="P41" s="33"/>
      <c r="Q41" s="45" t="str">
        <f>I41</f>
        <v>End of Jan</v>
      </c>
      <c r="S41" s="13"/>
      <c r="T41" s="14">
        <v>3</v>
      </c>
      <c r="U41" s="34" t="str">
        <f>M41</f>
        <v>Recruit L&amp;D</v>
      </c>
      <c r="V41" s="32"/>
      <c r="W41" s="32"/>
      <c r="X41" s="33"/>
      <c r="Y41" s="45" t="str">
        <f>Q41</f>
        <v>End of Jan</v>
      </c>
    </row>
    <row r="42" spans="1:25">
      <c r="A42" s="63"/>
      <c r="C42" s="13"/>
      <c r="D42" s="14">
        <v>4</v>
      </c>
      <c r="E42" s="34" t="str">
        <f>'Department 1 - Q Planning'!H24</f>
        <v>Priority 4</v>
      </c>
      <c r="F42" s="32"/>
      <c r="G42" s="32"/>
      <c r="H42" s="33"/>
      <c r="I42" s="45" t="str">
        <f>'Department 1 - Q Planning'!I24</f>
        <v>#</v>
      </c>
      <c r="K42" s="13"/>
      <c r="L42" s="14">
        <v>4</v>
      </c>
      <c r="M42" s="34" t="str">
        <f>E42</f>
        <v>Priority 4</v>
      </c>
      <c r="N42" s="32"/>
      <c r="O42" s="32"/>
      <c r="P42" s="33"/>
      <c r="Q42" s="45" t="str">
        <f>I42</f>
        <v>#</v>
      </c>
      <c r="S42" s="13"/>
      <c r="T42" s="14">
        <v>4</v>
      </c>
      <c r="U42" s="34" t="str">
        <f>M42</f>
        <v>Priority 4</v>
      </c>
      <c r="V42" s="32"/>
      <c r="W42" s="32"/>
      <c r="X42" s="33"/>
      <c r="Y42" s="45" t="str">
        <f>Q42</f>
        <v>#</v>
      </c>
    </row>
    <row r="43" spans="1:25">
      <c r="A43" s="64"/>
      <c r="C43" s="13"/>
      <c r="D43" s="14">
        <v>5</v>
      </c>
      <c r="E43" s="34" t="str">
        <f>'Department 1 - Q Planning'!H25</f>
        <v>Priority 5</v>
      </c>
      <c r="F43" s="32"/>
      <c r="G43" s="32"/>
      <c r="H43" s="33"/>
      <c r="I43" s="45" t="str">
        <f>'Department 1 - Q Planning'!I25</f>
        <v>%</v>
      </c>
      <c r="K43" s="13"/>
      <c r="L43" s="14">
        <v>5</v>
      </c>
      <c r="M43" s="34" t="str">
        <f>E43</f>
        <v>Priority 5</v>
      </c>
      <c r="N43" s="32"/>
      <c r="O43" s="32"/>
      <c r="P43" s="33"/>
      <c r="Q43" s="45" t="str">
        <f>I43</f>
        <v>%</v>
      </c>
      <c r="S43" s="13"/>
      <c r="T43" s="14">
        <v>5</v>
      </c>
      <c r="U43" s="34" t="str">
        <f>M43</f>
        <v>Priority 5</v>
      </c>
      <c r="V43" s="32"/>
      <c r="W43" s="32"/>
      <c r="X43" s="33"/>
      <c r="Y43" s="45" t="str">
        <f>Q43</f>
        <v>%</v>
      </c>
    </row>
    <row r="44" spans="1:25" ht="17.100000000000001" customHeight="1">
      <c r="A44" s="64"/>
      <c r="C44" s="74"/>
      <c r="D44" s="75"/>
      <c r="E44" s="75" t="s">
        <v>156</v>
      </c>
      <c r="F44" s="75"/>
      <c r="G44" s="75"/>
      <c r="H44" s="75"/>
      <c r="I44" s="76"/>
      <c r="K44" s="74"/>
      <c r="L44" s="75"/>
      <c r="M44" s="75" t="s">
        <v>156</v>
      </c>
      <c r="N44" s="75"/>
      <c r="O44" s="75"/>
      <c r="P44" s="75"/>
      <c r="Q44" s="76"/>
      <c r="S44" s="74"/>
      <c r="T44" s="75"/>
      <c r="U44" s="75" t="s">
        <v>156</v>
      </c>
      <c r="V44" s="75"/>
      <c r="W44" s="75"/>
      <c r="X44" s="75"/>
      <c r="Y44" s="76"/>
    </row>
    <row r="45" spans="1:25">
      <c r="A45" s="64"/>
      <c r="C45" s="78" t="s">
        <v>157</v>
      </c>
      <c r="D45" s="79" t="s">
        <v>151</v>
      </c>
      <c r="E45" s="79">
        <v>47</v>
      </c>
      <c r="F45" s="79" t="s">
        <v>158</v>
      </c>
      <c r="G45" s="79" t="s">
        <v>159</v>
      </c>
      <c r="H45" s="79" t="s">
        <v>160</v>
      </c>
      <c r="I45" s="80" t="s">
        <v>161</v>
      </c>
      <c r="K45" s="78" t="s">
        <v>157</v>
      </c>
      <c r="L45" s="79" t="s">
        <v>151</v>
      </c>
      <c r="M45" s="79">
        <f>E45+1</f>
        <v>48</v>
      </c>
      <c r="N45" s="79" t="s">
        <v>158</v>
      </c>
      <c r="O45" s="79" t="s">
        <v>159</v>
      </c>
      <c r="P45" s="79" t="s">
        <v>160</v>
      </c>
      <c r="Q45" s="80" t="s">
        <v>161</v>
      </c>
      <c r="S45" s="78" t="s">
        <v>157</v>
      </c>
      <c r="T45" s="79" t="s">
        <v>151</v>
      </c>
      <c r="U45" s="79">
        <f>M45+1</f>
        <v>49</v>
      </c>
      <c r="V45" s="79" t="s">
        <v>158</v>
      </c>
      <c r="W45" s="79" t="s">
        <v>159</v>
      </c>
      <c r="X45" s="79" t="s">
        <v>160</v>
      </c>
      <c r="Y45" s="80" t="s">
        <v>161</v>
      </c>
    </row>
    <row r="46" spans="1:25">
      <c r="A46" s="64"/>
      <c r="C46" s="15"/>
      <c r="D46" s="16">
        <v>1</v>
      </c>
      <c r="E46" s="168" t="s">
        <v>176</v>
      </c>
      <c r="F46" s="18"/>
      <c r="G46" s="19"/>
      <c r="H46" s="19"/>
      <c r="I46" s="112"/>
      <c r="K46" s="15"/>
      <c r="L46" s="16">
        <v>1</v>
      </c>
      <c r="M46" s="77"/>
      <c r="N46" s="18"/>
      <c r="O46" s="19"/>
      <c r="P46" s="19"/>
      <c r="Q46" s="112"/>
      <c r="S46" s="15"/>
      <c r="T46" s="16">
        <v>1</v>
      </c>
      <c r="U46" s="77"/>
      <c r="V46" s="18"/>
      <c r="W46" s="19"/>
      <c r="X46" s="19"/>
      <c r="Y46" s="112"/>
    </row>
    <row r="47" spans="1:25">
      <c r="A47" s="64"/>
      <c r="C47" s="20"/>
      <c r="D47" s="21">
        <v>2</v>
      </c>
      <c r="E47" s="168" t="s">
        <v>177</v>
      </c>
      <c r="F47" s="18"/>
      <c r="G47" s="19"/>
      <c r="H47" s="19"/>
      <c r="I47" s="113"/>
      <c r="K47" s="20"/>
      <c r="L47" s="21">
        <v>2</v>
      </c>
      <c r="M47" s="17"/>
      <c r="N47" s="18"/>
      <c r="O47" s="19"/>
      <c r="P47" s="19"/>
      <c r="Q47" s="113"/>
      <c r="S47" s="20"/>
      <c r="T47" s="21">
        <v>2</v>
      </c>
      <c r="U47" s="17"/>
      <c r="V47" s="18"/>
      <c r="W47" s="19"/>
      <c r="X47" s="19"/>
      <c r="Y47" s="113"/>
    </row>
    <row r="48" spans="1:25">
      <c r="A48" s="64"/>
      <c r="C48" s="20"/>
      <c r="D48" s="21">
        <v>3</v>
      </c>
      <c r="E48" s="168" t="s">
        <v>33</v>
      </c>
      <c r="F48" s="23"/>
      <c r="G48" s="19"/>
      <c r="H48" s="19"/>
      <c r="I48" s="113"/>
      <c r="K48" s="20"/>
      <c r="L48" s="21">
        <v>3</v>
      </c>
      <c r="M48" s="22"/>
      <c r="N48" s="23"/>
      <c r="O48" s="19"/>
      <c r="P48" s="19"/>
      <c r="Q48" s="113"/>
      <c r="S48" s="20"/>
      <c r="T48" s="21">
        <v>3</v>
      </c>
      <c r="U48" s="22"/>
      <c r="V48" s="23"/>
      <c r="W48" s="19"/>
      <c r="X48" s="19"/>
      <c r="Y48" s="113"/>
    </row>
    <row r="49" spans="1:25">
      <c r="A49" s="64"/>
      <c r="C49" s="20"/>
      <c r="D49" s="21">
        <v>4</v>
      </c>
      <c r="E49" s="17"/>
      <c r="F49" s="23"/>
      <c r="G49" s="19"/>
      <c r="H49" s="19"/>
      <c r="I49" s="113"/>
      <c r="K49" s="20"/>
      <c r="L49" s="21">
        <v>4</v>
      </c>
      <c r="M49" s="17"/>
      <c r="N49" s="23"/>
      <c r="O49" s="19"/>
      <c r="P49" s="19"/>
      <c r="Q49" s="113"/>
      <c r="S49" s="20"/>
      <c r="T49" s="21">
        <v>4</v>
      </c>
      <c r="U49" s="17"/>
      <c r="V49" s="23"/>
      <c r="W49" s="19"/>
      <c r="X49" s="19"/>
      <c r="Y49" s="113"/>
    </row>
    <row r="50" spans="1:25">
      <c r="A50" s="64"/>
      <c r="C50" s="20"/>
      <c r="D50" s="21">
        <v>5</v>
      </c>
      <c r="E50" s="24"/>
      <c r="F50" s="23"/>
      <c r="G50" s="19"/>
      <c r="H50" s="19"/>
      <c r="I50" s="113"/>
      <c r="K50" s="20"/>
      <c r="L50" s="21">
        <v>5</v>
      </c>
      <c r="M50" s="24"/>
      <c r="N50" s="23"/>
      <c r="O50" s="19"/>
      <c r="P50" s="19"/>
      <c r="Q50" s="113"/>
      <c r="S50" s="20"/>
      <c r="T50" s="21">
        <v>5</v>
      </c>
      <c r="U50" s="24"/>
      <c r="V50" s="23"/>
      <c r="W50" s="19"/>
      <c r="X50" s="19"/>
      <c r="Y50" s="113"/>
    </row>
    <row r="51" spans="1:25">
      <c r="A51" s="64"/>
      <c r="C51" s="20"/>
      <c r="D51" s="21">
        <v>6</v>
      </c>
      <c r="E51" s="17"/>
      <c r="F51" s="23"/>
      <c r="G51" s="19"/>
      <c r="H51" s="19"/>
      <c r="I51" s="113"/>
      <c r="K51" s="20"/>
      <c r="L51" s="21">
        <v>6</v>
      </c>
      <c r="M51" s="17"/>
      <c r="N51" s="23"/>
      <c r="O51" s="19"/>
      <c r="P51" s="19"/>
      <c r="Q51" s="113"/>
      <c r="S51" s="20"/>
      <c r="T51" s="21">
        <v>6</v>
      </c>
      <c r="U51" s="17"/>
      <c r="V51" s="23"/>
      <c r="W51" s="19"/>
      <c r="X51" s="19"/>
      <c r="Y51" s="113"/>
    </row>
    <row r="52" spans="1:25">
      <c r="A52" s="64"/>
      <c r="C52" s="39"/>
      <c r="D52" s="40" t="s">
        <v>167</v>
      </c>
      <c r="E52" s="41" t="s">
        <v>168</v>
      </c>
      <c r="F52" s="41" t="s">
        <v>169</v>
      </c>
      <c r="G52" s="41" t="s">
        <v>159</v>
      </c>
      <c r="H52" s="41" t="s">
        <v>160</v>
      </c>
      <c r="I52" s="42" t="s">
        <v>170</v>
      </c>
      <c r="K52" s="39"/>
      <c r="L52" s="40" t="s">
        <v>167</v>
      </c>
      <c r="M52" s="41" t="s">
        <v>168</v>
      </c>
      <c r="N52" s="41" t="s">
        <v>169</v>
      </c>
      <c r="O52" s="41" t="s">
        <v>159</v>
      </c>
      <c r="P52" s="41" t="s">
        <v>160</v>
      </c>
      <c r="Q52" s="42" t="s">
        <v>170</v>
      </c>
      <c r="S52" s="39"/>
      <c r="T52" s="40" t="s">
        <v>167</v>
      </c>
      <c r="U52" s="41" t="s">
        <v>168</v>
      </c>
      <c r="V52" s="41" t="s">
        <v>169</v>
      </c>
      <c r="W52" s="41" t="s">
        <v>159</v>
      </c>
      <c r="X52" s="41" t="s">
        <v>160</v>
      </c>
      <c r="Y52" s="42" t="s">
        <v>170</v>
      </c>
    </row>
    <row r="53" spans="1:25">
      <c r="A53" s="64"/>
      <c r="C53" s="109" t="s">
        <v>171</v>
      </c>
      <c r="D53" s="25"/>
      <c r="E53" s="26"/>
      <c r="F53" s="27"/>
      <c r="G53" s="19"/>
      <c r="H53" s="19"/>
      <c r="I53" s="108"/>
      <c r="K53" s="109" t="s">
        <v>171</v>
      </c>
      <c r="L53" s="25"/>
      <c r="M53" s="26"/>
      <c r="N53" s="27"/>
      <c r="O53" s="19"/>
      <c r="P53" s="19"/>
      <c r="Q53" s="108"/>
      <c r="S53" s="109" t="s">
        <v>171</v>
      </c>
      <c r="T53" s="25"/>
      <c r="U53" s="26"/>
      <c r="V53" s="27"/>
      <c r="W53" s="19"/>
      <c r="X53" s="19"/>
      <c r="Y53" s="108"/>
    </row>
    <row r="54" spans="1:25">
      <c r="A54" s="64"/>
      <c r="C54" s="109"/>
      <c r="D54" s="25"/>
      <c r="E54" s="26"/>
      <c r="F54" s="28"/>
      <c r="G54" s="19"/>
      <c r="H54" s="19"/>
      <c r="I54" s="108"/>
      <c r="K54" s="109"/>
      <c r="L54" s="25"/>
      <c r="M54" s="26"/>
      <c r="N54" s="28"/>
      <c r="O54" s="19"/>
      <c r="P54" s="19"/>
      <c r="Q54" s="108"/>
      <c r="S54" s="109"/>
      <c r="T54" s="25"/>
      <c r="U54" s="26"/>
      <c r="V54" s="28"/>
      <c r="W54" s="19"/>
      <c r="X54" s="19"/>
      <c r="Y54" s="108"/>
    </row>
    <row r="55" spans="1:25">
      <c r="A55" s="64"/>
      <c r="C55" s="109"/>
      <c r="D55" s="25"/>
      <c r="E55" s="26"/>
      <c r="F55" s="28"/>
      <c r="G55" s="19"/>
      <c r="H55" s="19"/>
      <c r="I55" s="108"/>
      <c r="K55" s="109"/>
      <c r="L55" s="25"/>
      <c r="M55" s="26"/>
      <c r="N55" s="28"/>
      <c r="O55" s="19"/>
      <c r="P55" s="19"/>
      <c r="Q55" s="108"/>
      <c r="S55" s="109"/>
      <c r="T55" s="25"/>
      <c r="U55" s="26"/>
      <c r="V55" s="28"/>
      <c r="W55" s="19"/>
      <c r="X55" s="19"/>
      <c r="Y55" s="108"/>
    </row>
    <row r="56" spans="1:25">
      <c r="A56" s="64"/>
      <c r="C56" s="109" t="s">
        <v>173</v>
      </c>
      <c r="D56" s="25"/>
      <c r="E56" s="26"/>
      <c r="F56" s="28"/>
      <c r="G56" s="19"/>
      <c r="H56" s="19"/>
      <c r="I56" s="108"/>
      <c r="K56" s="109" t="s">
        <v>173</v>
      </c>
      <c r="L56" s="25"/>
      <c r="M56" s="26"/>
      <c r="N56" s="28"/>
      <c r="O56" s="19"/>
      <c r="P56" s="19"/>
      <c r="Q56" s="108"/>
      <c r="S56" s="109" t="s">
        <v>173</v>
      </c>
      <c r="T56" s="25"/>
      <c r="U56" s="26"/>
      <c r="V56" s="28"/>
      <c r="W56" s="19"/>
      <c r="X56" s="19"/>
      <c r="Y56" s="108"/>
    </row>
    <row r="57" spans="1:25">
      <c r="A57" s="64"/>
      <c r="C57" s="109"/>
      <c r="D57" s="25"/>
      <c r="E57" s="26"/>
      <c r="F57" s="28"/>
      <c r="G57" s="19"/>
      <c r="H57" s="19"/>
      <c r="I57" s="108"/>
      <c r="K57" s="109"/>
      <c r="L57" s="25"/>
      <c r="M57" s="26"/>
      <c r="N57" s="28"/>
      <c r="O57" s="19"/>
      <c r="P57" s="19"/>
      <c r="Q57" s="108"/>
      <c r="S57" s="109"/>
      <c r="T57" s="25"/>
      <c r="U57" s="26"/>
      <c r="V57" s="28"/>
      <c r="W57" s="19"/>
      <c r="X57" s="19"/>
      <c r="Y57" s="108"/>
    </row>
    <row r="58" spans="1:25">
      <c r="A58" s="64"/>
      <c r="C58" s="109"/>
      <c r="D58" s="25"/>
      <c r="E58" s="26"/>
      <c r="F58" s="28"/>
      <c r="G58" s="19"/>
      <c r="H58" s="19"/>
      <c r="I58" s="108"/>
      <c r="K58" s="109"/>
      <c r="L58" s="25"/>
      <c r="M58" s="26"/>
      <c r="N58" s="28"/>
      <c r="O58" s="19"/>
      <c r="P58" s="19"/>
      <c r="Q58" s="108"/>
      <c r="S58" s="109"/>
      <c r="T58" s="25"/>
      <c r="U58" s="26"/>
      <c r="V58" s="28"/>
      <c r="W58" s="19"/>
      <c r="X58" s="19"/>
      <c r="Y58" s="108"/>
    </row>
    <row r="59" spans="1:25">
      <c r="A59" s="64"/>
      <c r="C59" s="109" t="s">
        <v>174</v>
      </c>
      <c r="D59" s="25"/>
      <c r="E59" s="26"/>
      <c r="F59" s="28"/>
      <c r="G59" s="19"/>
      <c r="H59" s="19"/>
      <c r="I59" s="108"/>
      <c r="K59" s="109" t="s">
        <v>174</v>
      </c>
      <c r="L59" s="25"/>
      <c r="M59" s="26"/>
      <c r="N59" s="28"/>
      <c r="O59" s="19"/>
      <c r="P59" s="19"/>
      <c r="Q59" s="108"/>
      <c r="S59" s="109" t="s">
        <v>174</v>
      </c>
      <c r="T59" s="25"/>
      <c r="U59" s="26"/>
      <c r="V59" s="28"/>
      <c r="W59" s="19"/>
      <c r="X59" s="19"/>
      <c r="Y59" s="108"/>
    </row>
    <row r="60" spans="1:25">
      <c r="A60" s="64"/>
      <c r="C60" s="109"/>
      <c r="D60" s="25"/>
      <c r="E60" s="26"/>
      <c r="F60" s="28"/>
      <c r="G60" s="19"/>
      <c r="H60" s="19"/>
      <c r="I60" s="108"/>
      <c r="K60" s="109"/>
      <c r="L60" s="25"/>
      <c r="M60" s="26"/>
      <c r="N60" s="28"/>
      <c r="O60" s="19"/>
      <c r="P60" s="19"/>
      <c r="Q60" s="108"/>
      <c r="S60" s="109"/>
      <c r="T60" s="25"/>
      <c r="U60" s="26"/>
      <c r="V60" s="28"/>
      <c r="W60" s="19"/>
      <c r="X60" s="19"/>
      <c r="Y60" s="108"/>
    </row>
    <row r="61" spans="1:25">
      <c r="A61" s="64"/>
      <c r="C61" s="109"/>
      <c r="D61" s="25"/>
      <c r="E61" s="26"/>
      <c r="F61" s="28"/>
      <c r="G61" s="19"/>
      <c r="H61" s="19"/>
      <c r="I61" s="108"/>
      <c r="K61" s="109"/>
      <c r="L61" s="25"/>
      <c r="M61" s="26"/>
      <c r="N61" s="28"/>
      <c r="O61" s="19"/>
      <c r="P61" s="19"/>
      <c r="Q61" s="108"/>
      <c r="S61" s="109"/>
      <c r="T61" s="25"/>
      <c r="U61" s="26"/>
      <c r="V61" s="28"/>
      <c r="W61" s="19"/>
      <c r="X61" s="19"/>
      <c r="Y61" s="108"/>
    </row>
    <row r="62" spans="1:25">
      <c r="A62" s="64"/>
      <c r="C62" s="109" t="s">
        <v>173</v>
      </c>
      <c r="D62" s="25"/>
      <c r="E62" s="26"/>
      <c r="F62" s="28"/>
      <c r="G62" s="19"/>
      <c r="H62" s="19"/>
      <c r="I62" s="108"/>
      <c r="K62" s="109" t="s">
        <v>173</v>
      </c>
      <c r="L62" s="25"/>
      <c r="M62" s="26"/>
      <c r="N62" s="28"/>
      <c r="O62" s="19"/>
      <c r="P62" s="19"/>
      <c r="Q62" s="108"/>
      <c r="S62" s="109" t="s">
        <v>173</v>
      </c>
      <c r="T62" s="25"/>
      <c r="U62" s="26"/>
      <c r="V62" s="28"/>
      <c r="W62" s="19"/>
      <c r="X62" s="19"/>
      <c r="Y62" s="108"/>
    </row>
    <row r="63" spans="1:25">
      <c r="A63" s="64"/>
      <c r="C63" s="109"/>
      <c r="D63" s="25"/>
      <c r="E63" s="26"/>
      <c r="F63" s="28"/>
      <c r="G63" s="19"/>
      <c r="H63" s="19"/>
      <c r="I63" s="108"/>
      <c r="K63" s="109"/>
      <c r="L63" s="25"/>
      <c r="M63" s="26"/>
      <c r="N63" s="28"/>
      <c r="O63" s="19"/>
      <c r="P63" s="19"/>
      <c r="Q63" s="108"/>
      <c r="S63" s="109"/>
      <c r="T63" s="25"/>
      <c r="U63" s="26"/>
      <c r="V63" s="28"/>
      <c r="W63" s="19"/>
      <c r="X63" s="19"/>
      <c r="Y63" s="108"/>
    </row>
    <row r="64" spans="1:25">
      <c r="A64" s="64"/>
      <c r="C64" s="109"/>
      <c r="D64" s="25"/>
      <c r="E64" s="26"/>
      <c r="F64" s="28"/>
      <c r="G64" s="19"/>
      <c r="H64" s="19"/>
      <c r="I64" s="108"/>
      <c r="K64" s="109"/>
      <c r="L64" s="25"/>
      <c r="M64" s="26"/>
      <c r="N64" s="28"/>
      <c r="O64" s="19"/>
      <c r="P64" s="19"/>
      <c r="Q64" s="108"/>
      <c r="S64" s="109"/>
      <c r="T64" s="25"/>
      <c r="U64" s="26"/>
      <c r="V64" s="28"/>
      <c r="W64" s="19"/>
      <c r="X64" s="19"/>
      <c r="Y64" s="108"/>
    </row>
    <row r="65" spans="1:25">
      <c r="A65" s="64"/>
      <c r="C65" s="109" t="s">
        <v>175</v>
      </c>
      <c r="D65" s="25"/>
      <c r="E65" s="26"/>
      <c r="F65" s="28"/>
      <c r="G65" s="19"/>
      <c r="H65" s="19"/>
      <c r="I65" s="108"/>
      <c r="K65" s="109" t="s">
        <v>175</v>
      </c>
      <c r="L65" s="25"/>
      <c r="M65" s="26"/>
      <c r="N65" s="28"/>
      <c r="O65" s="19"/>
      <c r="P65" s="19"/>
      <c r="Q65" s="108"/>
      <c r="S65" s="109" t="s">
        <v>175</v>
      </c>
      <c r="T65" s="25"/>
      <c r="U65" s="26"/>
      <c r="V65" s="28"/>
      <c r="W65" s="19"/>
      <c r="X65" s="19"/>
      <c r="Y65" s="108"/>
    </row>
    <row r="66" spans="1:25">
      <c r="A66" s="64"/>
      <c r="C66" s="109"/>
      <c r="D66" s="25"/>
      <c r="E66" s="26"/>
      <c r="F66" s="28"/>
      <c r="G66" s="19"/>
      <c r="H66" s="19"/>
      <c r="I66" s="108"/>
      <c r="K66" s="109"/>
      <c r="L66" s="25"/>
      <c r="M66" s="26"/>
      <c r="N66" s="28"/>
      <c r="O66" s="19"/>
      <c r="P66" s="19"/>
      <c r="Q66" s="108"/>
      <c r="S66" s="109"/>
      <c r="T66" s="25"/>
      <c r="U66" s="26"/>
      <c r="V66" s="28"/>
      <c r="W66" s="19"/>
      <c r="X66" s="19"/>
      <c r="Y66" s="108"/>
    </row>
    <row r="67" spans="1:25">
      <c r="A67" s="64"/>
      <c r="C67" s="110"/>
      <c r="D67" s="25"/>
      <c r="E67" s="26"/>
      <c r="F67" s="28"/>
      <c r="G67" s="19"/>
      <c r="H67" s="19"/>
      <c r="I67" s="111"/>
      <c r="K67" s="110"/>
      <c r="L67" s="25"/>
      <c r="M67" s="26"/>
      <c r="N67" s="28"/>
      <c r="O67" s="19"/>
      <c r="P67" s="19"/>
      <c r="Q67" s="111"/>
      <c r="S67" s="110"/>
      <c r="T67" s="25"/>
      <c r="U67" s="26"/>
      <c r="V67" s="28"/>
      <c r="W67" s="19"/>
      <c r="X67" s="19"/>
      <c r="Y67" s="111"/>
    </row>
    <row r="68" spans="1:25">
      <c r="A68" s="64"/>
    </row>
    <row r="69" spans="1:25">
      <c r="A69" s="64"/>
    </row>
    <row r="70" spans="1:25" ht="15.95" thickBot="1">
      <c r="A70" s="64"/>
      <c r="C70" s="114" t="str">
        <f>'Department 1 - Q Planning'!L19</f>
        <v>Team member  3 (Name)</v>
      </c>
      <c r="D70" s="115"/>
      <c r="E70" s="115"/>
      <c r="F70" s="115"/>
      <c r="G70" s="115"/>
      <c r="H70" s="115"/>
      <c r="I70" s="116"/>
      <c r="K70" s="114" t="str">
        <f>C70</f>
        <v>Team member  3 (Name)</v>
      </c>
      <c r="L70" s="115"/>
      <c r="M70" s="115"/>
      <c r="N70" s="115"/>
      <c r="O70" s="115"/>
      <c r="P70" s="115"/>
      <c r="Q70" s="116"/>
      <c r="S70" s="114" t="str">
        <f>K70</f>
        <v>Team member  3 (Name)</v>
      </c>
      <c r="T70" s="115"/>
      <c r="U70" s="115"/>
      <c r="V70" s="115"/>
      <c r="W70" s="115"/>
      <c r="X70" s="115"/>
      <c r="Y70" s="116"/>
    </row>
    <row r="71" spans="1:25">
      <c r="A71" s="64"/>
      <c r="C71" s="43" t="s">
        <v>154</v>
      </c>
      <c r="D71" s="10" t="s">
        <v>151</v>
      </c>
      <c r="E71" s="48" t="s">
        <v>155</v>
      </c>
      <c r="F71" s="46"/>
      <c r="G71" s="47"/>
      <c r="H71" s="47"/>
      <c r="I71" s="44" t="s">
        <v>10</v>
      </c>
      <c r="K71" s="43" t="s">
        <v>154</v>
      </c>
      <c r="L71" s="10" t="s">
        <v>151</v>
      </c>
      <c r="M71" s="48" t="s">
        <v>155</v>
      </c>
      <c r="N71" s="46"/>
      <c r="O71" s="47"/>
      <c r="P71" s="47"/>
      <c r="Q71" s="44" t="s">
        <v>10</v>
      </c>
      <c r="S71" s="43" t="s">
        <v>154</v>
      </c>
      <c r="T71" s="10" t="s">
        <v>151</v>
      </c>
      <c r="U71" s="48" t="s">
        <v>155</v>
      </c>
      <c r="V71" s="46"/>
      <c r="W71" s="47"/>
      <c r="X71" s="47"/>
      <c r="Y71" s="44" t="s">
        <v>10</v>
      </c>
    </row>
    <row r="72" spans="1:25">
      <c r="A72" s="64"/>
      <c r="C72" s="11"/>
      <c r="D72" s="12">
        <v>1</v>
      </c>
      <c r="E72" s="105" t="str">
        <f>'Department 1 - Q Planning'!L21</f>
        <v>Priority 1</v>
      </c>
      <c r="F72" s="106"/>
      <c r="G72" s="106"/>
      <c r="H72" s="107"/>
      <c r="I72" s="45" t="str">
        <f>'Department 1 - Q Planning'!M21</f>
        <v>%</v>
      </c>
      <c r="K72" s="11"/>
      <c r="L72" s="12">
        <v>1</v>
      </c>
      <c r="M72" s="105" t="str">
        <f>E72</f>
        <v>Priority 1</v>
      </c>
      <c r="N72" s="106"/>
      <c r="O72" s="106"/>
      <c r="P72" s="107"/>
      <c r="Q72" s="45" t="str">
        <f>I72</f>
        <v>%</v>
      </c>
      <c r="S72" s="11"/>
      <c r="T72" s="12">
        <v>1</v>
      </c>
      <c r="U72" s="105" t="str">
        <f>M72</f>
        <v>Priority 1</v>
      </c>
      <c r="V72" s="106"/>
      <c r="W72" s="106"/>
      <c r="X72" s="107"/>
      <c r="Y72" s="45" t="str">
        <f>Q72</f>
        <v>%</v>
      </c>
    </row>
    <row r="73" spans="1:25">
      <c r="A73" s="64"/>
      <c r="C73" s="13"/>
      <c r="D73" s="14">
        <v>2</v>
      </c>
      <c r="E73" s="105" t="str">
        <f>'Department 1 - Q Planning'!L22</f>
        <v>Priority 2</v>
      </c>
      <c r="F73" s="106"/>
      <c r="G73" s="106"/>
      <c r="H73" s="107"/>
      <c r="I73" s="45" t="str">
        <f>'Department 1 - Q Planning'!M22</f>
        <v>%</v>
      </c>
      <c r="K73" s="13"/>
      <c r="L73" s="14">
        <v>2</v>
      </c>
      <c r="M73" s="34" t="str">
        <f>E73</f>
        <v>Priority 2</v>
      </c>
      <c r="N73" s="32"/>
      <c r="O73" s="32"/>
      <c r="P73" s="33"/>
      <c r="Q73" s="45" t="str">
        <f>I73</f>
        <v>%</v>
      </c>
      <c r="S73" s="13"/>
      <c r="T73" s="14">
        <v>2</v>
      </c>
      <c r="U73" s="34" t="str">
        <f>M73</f>
        <v>Priority 2</v>
      </c>
      <c r="V73" s="32"/>
      <c r="W73" s="32"/>
      <c r="X73" s="33"/>
      <c r="Y73" s="45" t="str">
        <f>Q73</f>
        <v>%</v>
      </c>
    </row>
    <row r="74" spans="1:25">
      <c r="A74" s="64"/>
      <c r="C74" s="13"/>
      <c r="D74" s="14">
        <v>3</v>
      </c>
      <c r="E74" s="105" t="str">
        <f>'Department 1 - Q Planning'!L23</f>
        <v>Priority 3</v>
      </c>
      <c r="F74" s="106"/>
      <c r="G74" s="106"/>
      <c r="H74" s="107"/>
      <c r="I74" s="45" t="str">
        <f>'Department 1 - Q Planning'!M23</f>
        <v>date</v>
      </c>
      <c r="K74" s="13"/>
      <c r="L74" s="14">
        <v>3</v>
      </c>
      <c r="M74" s="34" t="str">
        <f>E74</f>
        <v>Priority 3</v>
      </c>
      <c r="N74" s="32"/>
      <c r="O74" s="32"/>
      <c r="P74" s="33"/>
      <c r="Q74" s="45" t="str">
        <f>I74</f>
        <v>date</v>
      </c>
      <c r="S74" s="13"/>
      <c r="T74" s="14">
        <v>3</v>
      </c>
      <c r="U74" s="34" t="str">
        <f>M74</f>
        <v>Priority 3</v>
      </c>
      <c r="V74" s="32"/>
      <c r="W74" s="32"/>
      <c r="X74" s="33"/>
      <c r="Y74" s="45" t="str">
        <f>Q74</f>
        <v>date</v>
      </c>
    </row>
    <row r="75" spans="1:25">
      <c r="A75" s="63"/>
      <c r="C75" s="13"/>
      <c r="D75" s="14">
        <v>4</v>
      </c>
      <c r="E75" s="105" t="str">
        <f>'Department 1 - Q Planning'!L24</f>
        <v>Priority 4</v>
      </c>
      <c r="F75" s="106"/>
      <c r="G75" s="106"/>
      <c r="H75" s="107"/>
      <c r="I75" s="45" t="str">
        <f>'Department 1 - Q Planning'!M24</f>
        <v>#</v>
      </c>
      <c r="K75" s="13"/>
      <c r="L75" s="14">
        <v>4</v>
      </c>
      <c r="M75" s="34" t="str">
        <f>E75</f>
        <v>Priority 4</v>
      </c>
      <c r="N75" s="32"/>
      <c r="O75" s="32"/>
      <c r="P75" s="33"/>
      <c r="Q75" s="45" t="str">
        <f>I75</f>
        <v>#</v>
      </c>
      <c r="S75" s="13"/>
      <c r="T75" s="14">
        <v>4</v>
      </c>
      <c r="U75" s="34" t="str">
        <f>M75</f>
        <v>Priority 4</v>
      </c>
      <c r="V75" s="32"/>
      <c r="W75" s="32"/>
      <c r="X75" s="33"/>
      <c r="Y75" s="45" t="str">
        <f>Q75</f>
        <v>#</v>
      </c>
    </row>
    <row r="76" spans="1:25">
      <c r="A76" s="64"/>
      <c r="C76" s="13"/>
      <c r="D76" s="14">
        <v>5</v>
      </c>
      <c r="E76" s="105" t="str">
        <f>'Department 1 - Q Planning'!L25</f>
        <v>Priority 5</v>
      </c>
      <c r="F76" s="106"/>
      <c r="G76" s="106"/>
      <c r="H76" s="107"/>
      <c r="I76" s="45" t="str">
        <f>'Department 1 - Q Planning'!M25</f>
        <v>%</v>
      </c>
      <c r="K76" s="13"/>
      <c r="L76" s="14">
        <v>5</v>
      </c>
      <c r="M76" s="34" t="str">
        <f>E76</f>
        <v>Priority 5</v>
      </c>
      <c r="N76" s="32"/>
      <c r="O76" s="32"/>
      <c r="P76" s="33"/>
      <c r="Q76" s="45" t="str">
        <f>I76</f>
        <v>%</v>
      </c>
      <c r="S76" s="13"/>
      <c r="T76" s="14">
        <v>5</v>
      </c>
      <c r="U76" s="34" t="str">
        <f>M76</f>
        <v>Priority 5</v>
      </c>
      <c r="V76" s="32"/>
      <c r="W76" s="32"/>
      <c r="X76" s="33"/>
      <c r="Y76" s="45" t="str">
        <f>Q76</f>
        <v>%</v>
      </c>
    </row>
    <row r="77" spans="1:25" ht="17.100000000000001" customHeight="1">
      <c r="A77" s="64"/>
      <c r="C77" s="74"/>
      <c r="D77" s="75"/>
      <c r="E77" s="75" t="s">
        <v>156</v>
      </c>
      <c r="F77" s="75"/>
      <c r="G77" s="75"/>
      <c r="H77" s="75"/>
      <c r="I77" s="76"/>
      <c r="K77" s="74"/>
      <c r="L77" s="75"/>
      <c r="M77" s="75" t="s">
        <v>156</v>
      </c>
      <c r="N77" s="75"/>
      <c r="O77" s="75"/>
      <c r="P77" s="75"/>
      <c r="Q77" s="76"/>
      <c r="S77" s="74"/>
      <c r="T77" s="75"/>
      <c r="U77" s="75" t="s">
        <v>156</v>
      </c>
      <c r="V77" s="75"/>
      <c r="W77" s="75"/>
      <c r="X77" s="75"/>
      <c r="Y77" s="76"/>
    </row>
    <row r="78" spans="1:25">
      <c r="A78" s="64"/>
      <c r="C78" s="78" t="s">
        <v>157</v>
      </c>
      <c r="D78" s="79" t="s">
        <v>151</v>
      </c>
      <c r="E78" s="79">
        <v>47</v>
      </c>
      <c r="F78" s="79" t="s">
        <v>158</v>
      </c>
      <c r="G78" s="79" t="s">
        <v>159</v>
      </c>
      <c r="H78" s="79" t="s">
        <v>160</v>
      </c>
      <c r="I78" s="80" t="s">
        <v>161</v>
      </c>
      <c r="K78" s="78" t="s">
        <v>157</v>
      </c>
      <c r="L78" s="79" t="s">
        <v>151</v>
      </c>
      <c r="M78" s="79">
        <f>E78+1</f>
        <v>48</v>
      </c>
      <c r="N78" s="79" t="s">
        <v>158</v>
      </c>
      <c r="O78" s="79" t="s">
        <v>159</v>
      </c>
      <c r="P78" s="79" t="s">
        <v>160</v>
      </c>
      <c r="Q78" s="80" t="s">
        <v>161</v>
      </c>
      <c r="S78" s="78" t="s">
        <v>157</v>
      </c>
      <c r="T78" s="79" t="s">
        <v>151</v>
      </c>
      <c r="U78" s="79">
        <f>M78+1</f>
        <v>49</v>
      </c>
      <c r="V78" s="79" t="s">
        <v>158</v>
      </c>
      <c r="W78" s="79" t="s">
        <v>159</v>
      </c>
      <c r="X78" s="79" t="s">
        <v>160</v>
      </c>
      <c r="Y78" s="80" t="s">
        <v>161</v>
      </c>
    </row>
    <row r="79" spans="1:25">
      <c r="A79" s="64"/>
      <c r="C79" s="15"/>
      <c r="D79" s="16">
        <v>1</v>
      </c>
      <c r="E79" s="77"/>
      <c r="F79" s="18"/>
      <c r="G79" s="19"/>
      <c r="H79" s="19"/>
      <c r="I79" s="112"/>
      <c r="K79" s="15"/>
      <c r="L79" s="16">
        <v>1</v>
      </c>
      <c r="M79" s="77"/>
      <c r="N79" s="18"/>
      <c r="O79" s="19"/>
      <c r="P79" s="19"/>
      <c r="Q79" s="112"/>
      <c r="S79" s="15"/>
      <c r="T79" s="16">
        <v>1</v>
      </c>
      <c r="U79" s="77"/>
      <c r="V79" s="18"/>
      <c r="W79" s="19"/>
      <c r="X79" s="19"/>
      <c r="Y79" s="112"/>
    </row>
    <row r="80" spans="1:25">
      <c r="A80" s="64"/>
      <c r="C80" s="20"/>
      <c r="D80" s="21">
        <v>2</v>
      </c>
      <c r="E80" s="17"/>
      <c r="F80" s="18"/>
      <c r="G80" s="19"/>
      <c r="H80" s="19"/>
      <c r="I80" s="113"/>
      <c r="K80" s="20"/>
      <c r="L80" s="21">
        <v>2</v>
      </c>
      <c r="M80" s="17"/>
      <c r="N80" s="18"/>
      <c r="O80" s="19"/>
      <c r="P80" s="19"/>
      <c r="Q80" s="113"/>
      <c r="S80" s="20"/>
      <c r="T80" s="21">
        <v>2</v>
      </c>
      <c r="U80" s="17"/>
      <c r="V80" s="18"/>
      <c r="W80" s="19"/>
      <c r="X80" s="19"/>
      <c r="Y80" s="113"/>
    </row>
    <row r="81" spans="1:25">
      <c r="A81" s="64"/>
      <c r="C81" s="20"/>
      <c r="D81" s="21">
        <v>3</v>
      </c>
      <c r="E81" s="22"/>
      <c r="F81" s="23"/>
      <c r="G81" s="19"/>
      <c r="H81" s="19"/>
      <c r="I81" s="113"/>
      <c r="K81" s="20"/>
      <c r="L81" s="21">
        <v>3</v>
      </c>
      <c r="M81" s="22"/>
      <c r="N81" s="23"/>
      <c r="O81" s="19"/>
      <c r="P81" s="19"/>
      <c r="Q81" s="113"/>
      <c r="S81" s="20"/>
      <c r="T81" s="21">
        <v>3</v>
      </c>
      <c r="U81" s="22"/>
      <c r="V81" s="23"/>
      <c r="W81" s="19"/>
      <c r="X81" s="19"/>
      <c r="Y81" s="113"/>
    </row>
    <row r="82" spans="1:25">
      <c r="A82" s="64"/>
      <c r="C82" s="20"/>
      <c r="D82" s="21">
        <v>4</v>
      </c>
      <c r="E82" s="17"/>
      <c r="F82" s="23"/>
      <c r="G82" s="19"/>
      <c r="H82" s="19"/>
      <c r="I82" s="113"/>
      <c r="K82" s="20"/>
      <c r="L82" s="21">
        <v>4</v>
      </c>
      <c r="M82" s="17"/>
      <c r="N82" s="23"/>
      <c r="O82" s="19"/>
      <c r="P82" s="19"/>
      <c r="Q82" s="113"/>
      <c r="S82" s="20"/>
      <c r="T82" s="21">
        <v>4</v>
      </c>
      <c r="U82" s="17"/>
      <c r="V82" s="23"/>
      <c r="W82" s="19"/>
      <c r="X82" s="19"/>
      <c r="Y82" s="113"/>
    </row>
    <row r="83" spans="1:25">
      <c r="A83" s="64"/>
      <c r="C83" s="20"/>
      <c r="D83" s="21">
        <v>5</v>
      </c>
      <c r="E83" s="24"/>
      <c r="F83" s="23"/>
      <c r="G83" s="19"/>
      <c r="H83" s="19"/>
      <c r="I83" s="113"/>
      <c r="K83" s="20"/>
      <c r="L83" s="21">
        <v>5</v>
      </c>
      <c r="M83" s="24"/>
      <c r="N83" s="23"/>
      <c r="O83" s="19"/>
      <c r="P83" s="19"/>
      <c r="Q83" s="113"/>
      <c r="S83" s="20"/>
      <c r="T83" s="21">
        <v>5</v>
      </c>
      <c r="U83" s="24"/>
      <c r="V83" s="23"/>
      <c r="W83" s="19"/>
      <c r="X83" s="19"/>
      <c r="Y83" s="113"/>
    </row>
    <row r="84" spans="1:25">
      <c r="A84" s="64"/>
      <c r="C84" s="20"/>
      <c r="D84" s="21">
        <v>6</v>
      </c>
      <c r="E84" s="17"/>
      <c r="F84" s="23"/>
      <c r="G84" s="19"/>
      <c r="H84" s="19"/>
      <c r="I84" s="113"/>
      <c r="K84" s="20"/>
      <c r="L84" s="21">
        <v>6</v>
      </c>
      <c r="M84" s="17"/>
      <c r="N84" s="23"/>
      <c r="O84" s="19"/>
      <c r="P84" s="19"/>
      <c r="Q84" s="113"/>
      <c r="S84" s="20"/>
      <c r="T84" s="21">
        <v>6</v>
      </c>
      <c r="U84" s="17"/>
      <c r="V84" s="23"/>
      <c r="W84" s="19"/>
      <c r="X84" s="19"/>
      <c r="Y84" s="113"/>
    </row>
    <row r="85" spans="1:25">
      <c r="A85" s="64"/>
      <c r="C85" s="39"/>
      <c r="D85" s="40" t="s">
        <v>167</v>
      </c>
      <c r="E85" s="41" t="s">
        <v>168</v>
      </c>
      <c r="F85" s="41" t="s">
        <v>169</v>
      </c>
      <c r="G85" s="41" t="s">
        <v>159</v>
      </c>
      <c r="H85" s="41" t="s">
        <v>160</v>
      </c>
      <c r="I85" s="42" t="s">
        <v>170</v>
      </c>
      <c r="K85" s="39"/>
      <c r="L85" s="40" t="s">
        <v>167</v>
      </c>
      <c r="M85" s="41" t="s">
        <v>168</v>
      </c>
      <c r="N85" s="41" t="s">
        <v>169</v>
      </c>
      <c r="O85" s="41" t="s">
        <v>159</v>
      </c>
      <c r="P85" s="41" t="s">
        <v>160</v>
      </c>
      <c r="Q85" s="42" t="s">
        <v>170</v>
      </c>
      <c r="S85" s="39"/>
      <c r="T85" s="40" t="s">
        <v>167</v>
      </c>
      <c r="U85" s="41" t="s">
        <v>168</v>
      </c>
      <c r="V85" s="41" t="s">
        <v>169</v>
      </c>
      <c r="W85" s="41" t="s">
        <v>159</v>
      </c>
      <c r="X85" s="41" t="s">
        <v>160</v>
      </c>
      <c r="Y85" s="42" t="s">
        <v>170</v>
      </c>
    </row>
    <row r="86" spans="1:25">
      <c r="A86" s="64"/>
      <c r="C86" s="109" t="s">
        <v>171</v>
      </c>
      <c r="D86" s="25"/>
      <c r="E86" s="26"/>
      <c r="F86" s="27"/>
      <c r="G86" s="19"/>
      <c r="H86" s="19"/>
      <c r="I86" s="108"/>
      <c r="K86" s="109" t="s">
        <v>171</v>
      </c>
      <c r="L86" s="25"/>
      <c r="M86" s="26"/>
      <c r="N86" s="27"/>
      <c r="O86" s="19"/>
      <c r="P86" s="19"/>
      <c r="Q86" s="108"/>
      <c r="S86" s="109" t="s">
        <v>171</v>
      </c>
      <c r="T86" s="25"/>
      <c r="U86" s="26"/>
      <c r="V86" s="27"/>
      <c r="W86" s="19"/>
      <c r="X86" s="19"/>
      <c r="Y86" s="108"/>
    </row>
    <row r="87" spans="1:25">
      <c r="A87" s="64"/>
      <c r="C87" s="109"/>
      <c r="D87" s="25"/>
      <c r="E87" s="26"/>
      <c r="F87" s="28"/>
      <c r="G87" s="19"/>
      <c r="H87" s="19"/>
      <c r="I87" s="108"/>
      <c r="K87" s="109"/>
      <c r="L87" s="25"/>
      <c r="M87" s="26"/>
      <c r="N87" s="28"/>
      <c r="O87" s="19"/>
      <c r="P87" s="19"/>
      <c r="Q87" s="108"/>
      <c r="S87" s="109"/>
      <c r="T87" s="25"/>
      <c r="U87" s="26"/>
      <c r="V87" s="28"/>
      <c r="W87" s="19"/>
      <c r="X87" s="19"/>
      <c r="Y87" s="108"/>
    </row>
    <row r="88" spans="1:25">
      <c r="A88" s="64"/>
      <c r="C88" s="109"/>
      <c r="D88" s="25"/>
      <c r="E88" s="26"/>
      <c r="F88" s="28"/>
      <c r="G88" s="19"/>
      <c r="H88" s="19"/>
      <c r="I88" s="108"/>
      <c r="K88" s="109"/>
      <c r="L88" s="25"/>
      <c r="M88" s="26"/>
      <c r="N88" s="28"/>
      <c r="O88" s="19"/>
      <c r="P88" s="19"/>
      <c r="Q88" s="108"/>
      <c r="S88" s="109"/>
      <c r="T88" s="25"/>
      <c r="U88" s="26"/>
      <c r="V88" s="28"/>
      <c r="W88" s="19"/>
      <c r="X88" s="19"/>
      <c r="Y88" s="108"/>
    </row>
    <row r="89" spans="1:25">
      <c r="A89" s="64"/>
      <c r="C89" s="109" t="s">
        <v>173</v>
      </c>
      <c r="D89" s="25"/>
      <c r="E89" s="26"/>
      <c r="F89" s="28"/>
      <c r="G89" s="19"/>
      <c r="H89" s="19"/>
      <c r="I89" s="108"/>
      <c r="K89" s="109" t="s">
        <v>173</v>
      </c>
      <c r="L89" s="25"/>
      <c r="M89" s="26"/>
      <c r="N89" s="28"/>
      <c r="O89" s="19"/>
      <c r="P89" s="19"/>
      <c r="Q89" s="108"/>
      <c r="S89" s="109" t="s">
        <v>173</v>
      </c>
      <c r="T89" s="25"/>
      <c r="U89" s="26"/>
      <c r="V89" s="28"/>
      <c r="W89" s="19"/>
      <c r="X89" s="19"/>
      <c r="Y89" s="108"/>
    </row>
    <row r="90" spans="1:25">
      <c r="A90" s="64"/>
      <c r="C90" s="109"/>
      <c r="D90" s="25"/>
      <c r="E90" s="26"/>
      <c r="F90" s="28"/>
      <c r="G90" s="19"/>
      <c r="H90" s="19"/>
      <c r="I90" s="108"/>
      <c r="K90" s="109"/>
      <c r="L90" s="25"/>
      <c r="M90" s="26"/>
      <c r="N90" s="28"/>
      <c r="O90" s="19"/>
      <c r="P90" s="19"/>
      <c r="Q90" s="108"/>
      <c r="S90" s="109"/>
      <c r="T90" s="25"/>
      <c r="U90" s="26"/>
      <c r="V90" s="28"/>
      <c r="W90" s="19"/>
      <c r="X90" s="19"/>
      <c r="Y90" s="108"/>
    </row>
    <row r="91" spans="1:25">
      <c r="A91" s="64"/>
      <c r="C91" s="109"/>
      <c r="D91" s="25"/>
      <c r="E91" s="26"/>
      <c r="F91" s="28"/>
      <c r="G91" s="19"/>
      <c r="H91" s="19"/>
      <c r="I91" s="108"/>
      <c r="K91" s="109"/>
      <c r="L91" s="25"/>
      <c r="M91" s="26"/>
      <c r="N91" s="28"/>
      <c r="O91" s="19"/>
      <c r="P91" s="19"/>
      <c r="Q91" s="108"/>
      <c r="S91" s="109"/>
      <c r="T91" s="25"/>
      <c r="U91" s="26"/>
      <c r="V91" s="28"/>
      <c r="W91" s="19"/>
      <c r="X91" s="19"/>
      <c r="Y91" s="108"/>
    </row>
    <row r="92" spans="1:25">
      <c r="A92" s="64"/>
      <c r="C92" s="109" t="s">
        <v>174</v>
      </c>
      <c r="D92" s="25"/>
      <c r="E92" s="26"/>
      <c r="F92" s="28"/>
      <c r="G92" s="19"/>
      <c r="H92" s="19"/>
      <c r="I92" s="108"/>
      <c r="K92" s="109" t="s">
        <v>174</v>
      </c>
      <c r="L92" s="25"/>
      <c r="M92" s="26"/>
      <c r="N92" s="28"/>
      <c r="O92" s="19"/>
      <c r="P92" s="19"/>
      <c r="Q92" s="108"/>
      <c r="S92" s="109" t="s">
        <v>174</v>
      </c>
      <c r="T92" s="25"/>
      <c r="U92" s="26"/>
      <c r="V92" s="28"/>
      <c r="W92" s="19"/>
      <c r="X92" s="19"/>
      <c r="Y92" s="108"/>
    </row>
    <row r="93" spans="1:25">
      <c r="A93" s="64"/>
      <c r="C93" s="109"/>
      <c r="D93" s="25"/>
      <c r="E93" s="26"/>
      <c r="F93" s="28"/>
      <c r="G93" s="19"/>
      <c r="H93" s="19"/>
      <c r="I93" s="108"/>
      <c r="K93" s="109"/>
      <c r="L93" s="25"/>
      <c r="M93" s="26"/>
      <c r="N93" s="28"/>
      <c r="O93" s="19"/>
      <c r="P93" s="19"/>
      <c r="Q93" s="108"/>
      <c r="S93" s="109"/>
      <c r="T93" s="25"/>
      <c r="U93" s="26"/>
      <c r="V93" s="28"/>
      <c r="W93" s="19"/>
      <c r="X93" s="19"/>
      <c r="Y93" s="108"/>
    </row>
    <row r="94" spans="1:25">
      <c r="A94" s="64"/>
      <c r="C94" s="109"/>
      <c r="D94" s="25"/>
      <c r="E94" s="26"/>
      <c r="F94" s="28"/>
      <c r="G94" s="19"/>
      <c r="H94" s="19"/>
      <c r="I94" s="108"/>
      <c r="K94" s="109"/>
      <c r="L94" s="25"/>
      <c r="M94" s="26"/>
      <c r="N94" s="28"/>
      <c r="O94" s="19"/>
      <c r="P94" s="19"/>
      <c r="Q94" s="108"/>
      <c r="S94" s="109"/>
      <c r="T94" s="25"/>
      <c r="U94" s="26"/>
      <c r="V94" s="28"/>
      <c r="W94" s="19"/>
      <c r="X94" s="19"/>
      <c r="Y94" s="108"/>
    </row>
    <row r="95" spans="1:25">
      <c r="A95" s="64"/>
      <c r="C95" s="109" t="s">
        <v>173</v>
      </c>
      <c r="D95" s="25"/>
      <c r="E95" s="26"/>
      <c r="F95" s="28"/>
      <c r="G95" s="19"/>
      <c r="H95" s="19"/>
      <c r="I95" s="108"/>
      <c r="K95" s="109" t="s">
        <v>173</v>
      </c>
      <c r="L95" s="25"/>
      <c r="M95" s="26"/>
      <c r="N95" s="28"/>
      <c r="O95" s="19"/>
      <c r="P95" s="19"/>
      <c r="Q95" s="108"/>
      <c r="S95" s="109" t="s">
        <v>173</v>
      </c>
      <c r="T95" s="25"/>
      <c r="U95" s="26"/>
      <c r="V95" s="28"/>
      <c r="W95" s="19"/>
      <c r="X95" s="19"/>
      <c r="Y95" s="108"/>
    </row>
    <row r="96" spans="1:25">
      <c r="A96" s="64"/>
      <c r="C96" s="109"/>
      <c r="D96" s="25"/>
      <c r="E96" s="26"/>
      <c r="F96" s="28"/>
      <c r="G96" s="19"/>
      <c r="H96" s="19"/>
      <c r="I96" s="108"/>
      <c r="K96" s="109"/>
      <c r="L96" s="25"/>
      <c r="M96" s="26"/>
      <c r="N96" s="28"/>
      <c r="O96" s="19"/>
      <c r="P96" s="19"/>
      <c r="Q96" s="108"/>
      <c r="S96" s="109"/>
      <c r="T96" s="25"/>
      <c r="U96" s="26"/>
      <c r="V96" s="28"/>
      <c r="W96" s="19"/>
      <c r="X96" s="19"/>
      <c r="Y96" s="108"/>
    </row>
    <row r="97" spans="1:25">
      <c r="A97" s="64"/>
      <c r="C97" s="109"/>
      <c r="D97" s="25"/>
      <c r="E97" s="26"/>
      <c r="F97" s="28"/>
      <c r="G97" s="19"/>
      <c r="H97" s="19"/>
      <c r="I97" s="108"/>
      <c r="K97" s="109"/>
      <c r="L97" s="25"/>
      <c r="M97" s="26"/>
      <c r="N97" s="28"/>
      <c r="O97" s="19"/>
      <c r="P97" s="19"/>
      <c r="Q97" s="108"/>
      <c r="S97" s="109"/>
      <c r="T97" s="25"/>
      <c r="U97" s="26"/>
      <c r="V97" s="28"/>
      <c r="W97" s="19"/>
      <c r="X97" s="19"/>
      <c r="Y97" s="108"/>
    </row>
    <row r="98" spans="1:25">
      <c r="A98" s="64"/>
      <c r="C98" s="109" t="s">
        <v>175</v>
      </c>
      <c r="D98" s="25"/>
      <c r="E98" s="26"/>
      <c r="F98" s="28"/>
      <c r="G98" s="19"/>
      <c r="H98" s="19"/>
      <c r="I98" s="108"/>
      <c r="K98" s="109" t="s">
        <v>175</v>
      </c>
      <c r="L98" s="25"/>
      <c r="M98" s="26"/>
      <c r="N98" s="28"/>
      <c r="O98" s="19"/>
      <c r="P98" s="19"/>
      <c r="Q98" s="108"/>
      <c r="S98" s="109" t="s">
        <v>175</v>
      </c>
      <c r="T98" s="25"/>
      <c r="U98" s="26"/>
      <c r="V98" s="28"/>
      <c r="W98" s="19"/>
      <c r="X98" s="19"/>
      <c r="Y98" s="108"/>
    </row>
    <row r="99" spans="1:25">
      <c r="A99" s="64"/>
      <c r="C99" s="109"/>
      <c r="D99" s="25"/>
      <c r="E99" s="26"/>
      <c r="F99" s="28"/>
      <c r="G99" s="19"/>
      <c r="H99" s="19"/>
      <c r="I99" s="108"/>
      <c r="K99" s="109"/>
      <c r="L99" s="25"/>
      <c r="M99" s="26"/>
      <c r="N99" s="28"/>
      <c r="O99" s="19"/>
      <c r="P99" s="19"/>
      <c r="Q99" s="108"/>
      <c r="S99" s="109"/>
      <c r="T99" s="25"/>
      <c r="U99" s="26"/>
      <c r="V99" s="28"/>
      <c r="W99" s="19"/>
      <c r="X99" s="19"/>
      <c r="Y99" s="108"/>
    </row>
    <row r="100" spans="1:25">
      <c r="A100" s="64"/>
      <c r="C100" s="110"/>
      <c r="D100" s="25"/>
      <c r="E100" s="26"/>
      <c r="F100" s="28"/>
      <c r="G100" s="19"/>
      <c r="H100" s="19"/>
      <c r="I100" s="111"/>
      <c r="K100" s="110"/>
      <c r="L100" s="25"/>
      <c r="M100" s="26"/>
      <c r="N100" s="28"/>
      <c r="O100" s="19"/>
      <c r="P100" s="19"/>
      <c r="Q100" s="111"/>
      <c r="S100" s="110"/>
      <c r="T100" s="25"/>
      <c r="U100" s="26"/>
      <c r="V100" s="28"/>
      <c r="W100" s="19"/>
      <c r="X100" s="19"/>
      <c r="Y100" s="111"/>
    </row>
    <row r="101" spans="1:25">
      <c r="A101" s="64"/>
    </row>
    <row r="102" spans="1:25">
      <c r="A102" s="64"/>
    </row>
    <row r="103" spans="1:25" ht="15.95" thickBot="1">
      <c r="A103" s="64"/>
      <c r="C103" s="114" t="str">
        <f>'Department 1 - Q Planning'!P19</f>
        <v>Team member  4 (Name)</v>
      </c>
      <c r="D103" s="115"/>
      <c r="E103" s="115"/>
      <c r="F103" s="115"/>
      <c r="G103" s="115"/>
      <c r="H103" s="115"/>
      <c r="I103" s="116"/>
      <c r="K103" s="114" t="str">
        <f>C103</f>
        <v>Team member  4 (Name)</v>
      </c>
      <c r="L103" s="115"/>
      <c r="M103" s="115"/>
      <c r="N103" s="115"/>
      <c r="O103" s="115"/>
      <c r="P103" s="115"/>
      <c r="Q103" s="116"/>
      <c r="S103" s="114" t="str">
        <f>K103</f>
        <v>Team member  4 (Name)</v>
      </c>
      <c r="T103" s="115"/>
      <c r="U103" s="115"/>
      <c r="V103" s="115"/>
      <c r="W103" s="115"/>
      <c r="X103" s="115"/>
      <c r="Y103" s="116"/>
    </row>
    <row r="104" spans="1:25">
      <c r="A104" s="64"/>
      <c r="C104" s="43" t="s">
        <v>154</v>
      </c>
      <c r="D104" s="10" t="s">
        <v>151</v>
      </c>
      <c r="E104" s="48" t="s">
        <v>155</v>
      </c>
      <c r="F104" s="46"/>
      <c r="G104" s="47"/>
      <c r="H104" s="47"/>
      <c r="I104" s="44" t="s">
        <v>10</v>
      </c>
      <c r="K104" s="43" t="s">
        <v>154</v>
      </c>
      <c r="L104" s="10" t="s">
        <v>151</v>
      </c>
      <c r="M104" s="48" t="s">
        <v>155</v>
      </c>
      <c r="N104" s="46"/>
      <c r="O104" s="47"/>
      <c r="P104" s="47"/>
      <c r="Q104" s="44" t="s">
        <v>10</v>
      </c>
      <c r="S104" s="43" t="s">
        <v>154</v>
      </c>
      <c r="T104" s="10" t="s">
        <v>151</v>
      </c>
      <c r="U104" s="48" t="s">
        <v>155</v>
      </c>
      <c r="V104" s="46"/>
      <c r="W104" s="47"/>
      <c r="X104" s="47"/>
      <c r="Y104" s="44" t="s">
        <v>10</v>
      </c>
    </row>
    <row r="105" spans="1:25">
      <c r="A105" s="64"/>
      <c r="C105" s="11"/>
      <c r="D105" s="12">
        <v>1</v>
      </c>
      <c r="E105" s="105" t="str">
        <f>'Department 1 - Q Planning'!P21</f>
        <v>Priority 1</v>
      </c>
      <c r="F105" s="106"/>
      <c r="G105" s="106"/>
      <c r="H105" s="107"/>
      <c r="I105" s="45" t="str">
        <f>'Department 1 - Q Planning'!Q21</f>
        <v>%</v>
      </c>
      <c r="K105" s="11"/>
      <c r="L105" s="12">
        <v>1</v>
      </c>
      <c r="M105" s="105" t="str">
        <f>E105</f>
        <v>Priority 1</v>
      </c>
      <c r="N105" s="106"/>
      <c r="O105" s="106"/>
      <c r="P105" s="107"/>
      <c r="Q105" s="45" t="str">
        <f>I105</f>
        <v>%</v>
      </c>
      <c r="S105" s="11"/>
      <c r="T105" s="12">
        <v>1</v>
      </c>
      <c r="U105" s="105" t="str">
        <f>M105</f>
        <v>Priority 1</v>
      </c>
      <c r="V105" s="106"/>
      <c r="W105" s="106"/>
      <c r="X105" s="107"/>
      <c r="Y105" s="45" t="str">
        <f>Q105</f>
        <v>%</v>
      </c>
    </row>
    <row r="106" spans="1:25">
      <c r="A106" s="64"/>
      <c r="C106" s="13"/>
      <c r="D106" s="14">
        <v>2</v>
      </c>
      <c r="E106" s="105" t="str">
        <f>'Department 1 - Q Planning'!P22</f>
        <v>Priority 2</v>
      </c>
      <c r="F106" s="106"/>
      <c r="G106" s="106"/>
      <c r="H106" s="107"/>
      <c r="I106" s="45" t="str">
        <f>'Department 1 - Q Planning'!Q22</f>
        <v>%</v>
      </c>
      <c r="K106" s="13"/>
      <c r="L106" s="14">
        <v>2</v>
      </c>
      <c r="M106" s="34" t="str">
        <f>E106</f>
        <v>Priority 2</v>
      </c>
      <c r="N106" s="32"/>
      <c r="O106" s="32"/>
      <c r="P106" s="33"/>
      <c r="Q106" s="45" t="str">
        <f>I106</f>
        <v>%</v>
      </c>
      <c r="S106" s="13"/>
      <c r="T106" s="14">
        <v>2</v>
      </c>
      <c r="U106" s="34" t="str">
        <f>M106</f>
        <v>Priority 2</v>
      </c>
      <c r="V106" s="32"/>
      <c r="W106" s="32"/>
      <c r="X106" s="33"/>
      <c r="Y106" s="45" t="str">
        <f>Q106</f>
        <v>%</v>
      </c>
    </row>
    <row r="107" spans="1:25">
      <c r="A107" s="64"/>
      <c r="C107" s="13"/>
      <c r="D107" s="14">
        <v>3</v>
      </c>
      <c r="E107" s="105" t="str">
        <f>'Department 1 - Q Planning'!P23</f>
        <v>Priority 3</v>
      </c>
      <c r="F107" s="106"/>
      <c r="G107" s="106"/>
      <c r="H107" s="107"/>
      <c r="I107" s="45" t="str">
        <f>'Department 1 - Q Planning'!Q23</f>
        <v>date</v>
      </c>
      <c r="K107" s="13"/>
      <c r="L107" s="14">
        <v>3</v>
      </c>
      <c r="M107" s="34" t="str">
        <f>E107</f>
        <v>Priority 3</v>
      </c>
      <c r="N107" s="32"/>
      <c r="O107" s="32"/>
      <c r="P107" s="33"/>
      <c r="Q107" s="45" t="str">
        <f>I107</f>
        <v>date</v>
      </c>
      <c r="S107" s="13"/>
      <c r="T107" s="14">
        <v>3</v>
      </c>
      <c r="U107" s="34" t="str">
        <f>M107</f>
        <v>Priority 3</v>
      </c>
      <c r="V107" s="32"/>
      <c r="W107" s="32"/>
      <c r="X107" s="33"/>
      <c r="Y107" s="45" t="str">
        <f>Q107</f>
        <v>date</v>
      </c>
    </row>
    <row r="108" spans="1:25">
      <c r="A108" s="63"/>
      <c r="C108" s="13"/>
      <c r="D108" s="14">
        <v>4</v>
      </c>
      <c r="E108" s="105" t="str">
        <f>'Department 1 - Q Planning'!P24</f>
        <v>Priority 4</v>
      </c>
      <c r="F108" s="106"/>
      <c r="G108" s="106"/>
      <c r="H108" s="107"/>
      <c r="I108" s="45" t="str">
        <f>'Department 1 - Q Planning'!Q24</f>
        <v>#</v>
      </c>
      <c r="K108" s="13"/>
      <c r="L108" s="14">
        <v>4</v>
      </c>
      <c r="M108" s="34" t="str">
        <f>E108</f>
        <v>Priority 4</v>
      </c>
      <c r="N108" s="32"/>
      <c r="O108" s="32"/>
      <c r="P108" s="33"/>
      <c r="Q108" s="45" t="str">
        <f>I108</f>
        <v>#</v>
      </c>
      <c r="S108" s="13"/>
      <c r="T108" s="14">
        <v>4</v>
      </c>
      <c r="U108" s="34" t="str">
        <f>M108</f>
        <v>Priority 4</v>
      </c>
      <c r="V108" s="32"/>
      <c r="W108" s="32"/>
      <c r="X108" s="33"/>
      <c r="Y108" s="45" t="str">
        <f>Q108</f>
        <v>#</v>
      </c>
    </row>
    <row r="109" spans="1:25">
      <c r="A109" s="64"/>
      <c r="C109" s="13"/>
      <c r="D109" s="14">
        <v>5</v>
      </c>
      <c r="E109" s="105" t="str">
        <f>'Department 1 - Q Planning'!P25</f>
        <v>Priority 5</v>
      </c>
      <c r="F109" s="106"/>
      <c r="G109" s="106"/>
      <c r="H109" s="107"/>
      <c r="I109" s="45" t="str">
        <f>'Department 1 - Q Planning'!Q25</f>
        <v>%</v>
      </c>
      <c r="K109" s="13"/>
      <c r="L109" s="14">
        <v>5</v>
      </c>
      <c r="M109" s="34" t="str">
        <f>E109</f>
        <v>Priority 5</v>
      </c>
      <c r="N109" s="32"/>
      <c r="O109" s="32"/>
      <c r="P109" s="33"/>
      <c r="Q109" s="45" t="str">
        <f>I109</f>
        <v>%</v>
      </c>
      <c r="S109" s="13"/>
      <c r="T109" s="14">
        <v>5</v>
      </c>
      <c r="U109" s="34" t="str">
        <f>M109</f>
        <v>Priority 5</v>
      </c>
      <c r="V109" s="32"/>
      <c r="W109" s="32"/>
      <c r="X109" s="33"/>
      <c r="Y109" s="45" t="str">
        <f>Q109</f>
        <v>%</v>
      </c>
    </row>
    <row r="110" spans="1:25" ht="17.100000000000001" customHeight="1">
      <c r="A110" s="64"/>
      <c r="C110" s="74"/>
      <c r="D110" s="75"/>
      <c r="E110" s="75" t="s">
        <v>156</v>
      </c>
      <c r="F110" s="75"/>
      <c r="G110" s="75"/>
      <c r="H110" s="75"/>
      <c r="I110" s="76"/>
      <c r="K110" s="74"/>
      <c r="L110" s="75"/>
      <c r="M110" s="75" t="s">
        <v>156</v>
      </c>
      <c r="N110" s="75"/>
      <c r="O110" s="75"/>
      <c r="P110" s="75"/>
      <c r="Q110" s="76"/>
      <c r="S110" s="74"/>
      <c r="T110" s="75"/>
      <c r="U110" s="75" t="s">
        <v>156</v>
      </c>
      <c r="V110" s="75"/>
      <c r="W110" s="75"/>
      <c r="X110" s="75"/>
      <c r="Y110" s="76"/>
    </row>
    <row r="111" spans="1:25">
      <c r="A111" s="64"/>
      <c r="C111" s="78" t="s">
        <v>157</v>
      </c>
      <c r="D111" s="79" t="s">
        <v>151</v>
      </c>
      <c r="E111" s="79">
        <v>47</v>
      </c>
      <c r="F111" s="79" t="s">
        <v>158</v>
      </c>
      <c r="G111" s="79" t="s">
        <v>159</v>
      </c>
      <c r="H111" s="79" t="s">
        <v>160</v>
      </c>
      <c r="I111" s="80" t="s">
        <v>161</v>
      </c>
      <c r="K111" s="78" t="s">
        <v>157</v>
      </c>
      <c r="L111" s="79" t="s">
        <v>151</v>
      </c>
      <c r="M111" s="79">
        <f>E111+1</f>
        <v>48</v>
      </c>
      <c r="N111" s="79" t="s">
        <v>158</v>
      </c>
      <c r="O111" s="79" t="s">
        <v>159</v>
      </c>
      <c r="P111" s="79" t="s">
        <v>160</v>
      </c>
      <c r="Q111" s="80" t="s">
        <v>161</v>
      </c>
      <c r="S111" s="78" t="s">
        <v>157</v>
      </c>
      <c r="T111" s="79" t="s">
        <v>151</v>
      </c>
      <c r="U111" s="79">
        <f>M111+1</f>
        <v>49</v>
      </c>
      <c r="V111" s="79" t="s">
        <v>158</v>
      </c>
      <c r="W111" s="79" t="s">
        <v>159</v>
      </c>
      <c r="X111" s="79" t="s">
        <v>160</v>
      </c>
      <c r="Y111" s="80" t="s">
        <v>161</v>
      </c>
    </row>
    <row r="112" spans="1:25">
      <c r="A112" s="64"/>
      <c r="C112" s="15"/>
      <c r="D112" s="16">
        <v>1</v>
      </c>
      <c r="E112" s="77"/>
      <c r="F112" s="18"/>
      <c r="G112" s="19"/>
      <c r="H112" s="19"/>
      <c r="I112" s="112"/>
      <c r="K112" s="15"/>
      <c r="L112" s="16">
        <v>1</v>
      </c>
      <c r="M112" s="77"/>
      <c r="N112" s="18"/>
      <c r="O112" s="19"/>
      <c r="P112" s="19"/>
      <c r="Q112" s="112"/>
      <c r="S112" s="15"/>
      <c r="T112" s="16">
        <v>1</v>
      </c>
      <c r="U112" s="77"/>
      <c r="V112" s="18"/>
      <c r="W112" s="19"/>
      <c r="X112" s="19"/>
      <c r="Y112" s="112"/>
    </row>
    <row r="113" spans="1:25">
      <c r="A113" s="64"/>
      <c r="C113" s="20"/>
      <c r="D113" s="21">
        <v>2</v>
      </c>
      <c r="E113" s="17"/>
      <c r="F113" s="18"/>
      <c r="G113" s="19"/>
      <c r="H113" s="19"/>
      <c r="I113" s="113"/>
      <c r="K113" s="20"/>
      <c r="L113" s="21">
        <v>2</v>
      </c>
      <c r="M113" s="17"/>
      <c r="N113" s="18"/>
      <c r="O113" s="19"/>
      <c r="P113" s="19"/>
      <c r="Q113" s="113"/>
      <c r="S113" s="20"/>
      <c r="T113" s="21">
        <v>2</v>
      </c>
      <c r="U113" s="17"/>
      <c r="V113" s="18"/>
      <c r="W113" s="19"/>
      <c r="X113" s="19"/>
      <c r="Y113" s="113"/>
    </row>
    <row r="114" spans="1:25">
      <c r="A114" s="64"/>
      <c r="C114" s="20"/>
      <c r="D114" s="21">
        <v>3</v>
      </c>
      <c r="E114" s="22"/>
      <c r="F114" s="23"/>
      <c r="G114" s="19"/>
      <c r="H114" s="19"/>
      <c r="I114" s="113"/>
      <c r="K114" s="20"/>
      <c r="L114" s="21">
        <v>3</v>
      </c>
      <c r="M114" s="22"/>
      <c r="N114" s="23"/>
      <c r="O114" s="19"/>
      <c r="P114" s="19"/>
      <c r="Q114" s="113"/>
      <c r="S114" s="20"/>
      <c r="T114" s="21">
        <v>3</v>
      </c>
      <c r="U114" s="22"/>
      <c r="V114" s="23"/>
      <c r="W114" s="19"/>
      <c r="X114" s="19"/>
      <c r="Y114" s="113"/>
    </row>
    <row r="115" spans="1:25">
      <c r="A115" s="64"/>
      <c r="C115" s="20"/>
      <c r="D115" s="21">
        <v>4</v>
      </c>
      <c r="E115" s="17"/>
      <c r="F115" s="23"/>
      <c r="G115" s="19"/>
      <c r="H115" s="19"/>
      <c r="I115" s="113"/>
      <c r="K115" s="20"/>
      <c r="L115" s="21">
        <v>4</v>
      </c>
      <c r="M115" s="17"/>
      <c r="N115" s="23"/>
      <c r="O115" s="19"/>
      <c r="P115" s="19"/>
      <c r="Q115" s="113"/>
      <c r="S115" s="20"/>
      <c r="T115" s="21">
        <v>4</v>
      </c>
      <c r="U115" s="17"/>
      <c r="V115" s="23"/>
      <c r="W115" s="19"/>
      <c r="X115" s="19"/>
      <c r="Y115" s="113"/>
    </row>
    <row r="116" spans="1:25">
      <c r="A116" s="64"/>
      <c r="C116" s="20"/>
      <c r="D116" s="21">
        <v>5</v>
      </c>
      <c r="E116" s="24"/>
      <c r="F116" s="23"/>
      <c r="G116" s="19"/>
      <c r="H116" s="19"/>
      <c r="I116" s="113"/>
      <c r="K116" s="20"/>
      <c r="L116" s="21">
        <v>5</v>
      </c>
      <c r="M116" s="24"/>
      <c r="N116" s="23"/>
      <c r="O116" s="19"/>
      <c r="P116" s="19"/>
      <c r="Q116" s="113"/>
      <c r="S116" s="20"/>
      <c r="T116" s="21">
        <v>5</v>
      </c>
      <c r="U116" s="24"/>
      <c r="V116" s="23"/>
      <c r="W116" s="19"/>
      <c r="X116" s="19"/>
      <c r="Y116" s="113"/>
    </row>
    <row r="117" spans="1:25">
      <c r="A117" s="64"/>
      <c r="C117" s="20"/>
      <c r="D117" s="21">
        <v>6</v>
      </c>
      <c r="E117" s="17"/>
      <c r="F117" s="23"/>
      <c r="G117" s="19"/>
      <c r="H117" s="19"/>
      <c r="I117" s="113"/>
      <c r="K117" s="20"/>
      <c r="L117" s="21">
        <v>6</v>
      </c>
      <c r="M117" s="17"/>
      <c r="N117" s="23"/>
      <c r="O117" s="19"/>
      <c r="P117" s="19"/>
      <c r="Q117" s="113"/>
      <c r="S117" s="20"/>
      <c r="T117" s="21">
        <v>6</v>
      </c>
      <c r="U117" s="17"/>
      <c r="V117" s="23"/>
      <c r="W117" s="19"/>
      <c r="X117" s="19"/>
      <c r="Y117" s="113"/>
    </row>
    <row r="118" spans="1:25">
      <c r="A118" s="64"/>
      <c r="C118" s="39"/>
      <c r="D118" s="40" t="s">
        <v>167</v>
      </c>
      <c r="E118" s="41" t="s">
        <v>168</v>
      </c>
      <c r="F118" s="41" t="s">
        <v>169</v>
      </c>
      <c r="G118" s="41" t="s">
        <v>159</v>
      </c>
      <c r="H118" s="41" t="s">
        <v>160</v>
      </c>
      <c r="I118" s="42" t="s">
        <v>170</v>
      </c>
      <c r="K118" s="39"/>
      <c r="L118" s="40" t="s">
        <v>167</v>
      </c>
      <c r="M118" s="41" t="s">
        <v>168</v>
      </c>
      <c r="N118" s="41" t="s">
        <v>169</v>
      </c>
      <c r="O118" s="41" t="s">
        <v>159</v>
      </c>
      <c r="P118" s="41" t="s">
        <v>160</v>
      </c>
      <c r="Q118" s="42" t="s">
        <v>170</v>
      </c>
      <c r="S118" s="39"/>
      <c r="T118" s="40" t="s">
        <v>167</v>
      </c>
      <c r="U118" s="41" t="s">
        <v>168</v>
      </c>
      <c r="V118" s="41" t="s">
        <v>169</v>
      </c>
      <c r="W118" s="41" t="s">
        <v>159</v>
      </c>
      <c r="X118" s="41" t="s">
        <v>160</v>
      </c>
      <c r="Y118" s="42" t="s">
        <v>170</v>
      </c>
    </row>
    <row r="119" spans="1:25">
      <c r="A119" s="64"/>
      <c r="C119" s="109" t="s">
        <v>171</v>
      </c>
      <c r="D119" s="25"/>
      <c r="E119" s="26"/>
      <c r="F119" s="27"/>
      <c r="G119" s="19"/>
      <c r="H119" s="19"/>
      <c r="I119" s="108"/>
      <c r="K119" s="109" t="s">
        <v>171</v>
      </c>
      <c r="L119" s="25"/>
      <c r="M119" s="26"/>
      <c r="N119" s="27"/>
      <c r="O119" s="19"/>
      <c r="P119" s="19"/>
      <c r="Q119" s="108"/>
      <c r="S119" s="109" t="s">
        <v>171</v>
      </c>
      <c r="T119" s="25"/>
      <c r="U119" s="26"/>
      <c r="V119" s="27"/>
      <c r="W119" s="19"/>
      <c r="X119" s="19"/>
      <c r="Y119" s="108"/>
    </row>
    <row r="120" spans="1:25">
      <c r="A120" s="64"/>
      <c r="C120" s="109"/>
      <c r="D120" s="25"/>
      <c r="E120" s="26"/>
      <c r="F120" s="28"/>
      <c r="G120" s="19"/>
      <c r="H120" s="19"/>
      <c r="I120" s="108"/>
      <c r="K120" s="109"/>
      <c r="L120" s="25"/>
      <c r="M120" s="26"/>
      <c r="N120" s="28"/>
      <c r="O120" s="19"/>
      <c r="P120" s="19"/>
      <c r="Q120" s="108"/>
      <c r="S120" s="109"/>
      <c r="T120" s="25"/>
      <c r="U120" s="26"/>
      <c r="V120" s="28"/>
      <c r="W120" s="19"/>
      <c r="X120" s="19"/>
      <c r="Y120" s="108"/>
    </row>
    <row r="121" spans="1:25">
      <c r="A121" s="64"/>
      <c r="C121" s="109"/>
      <c r="D121" s="25"/>
      <c r="E121" s="26"/>
      <c r="F121" s="28"/>
      <c r="G121" s="19"/>
      <c r="H121" s="19"/>
      <c r="I121" s="108"/>
      <c r="K121" s="109"/>
      <c r="L121" s="25"/>
      <c r="M121" s="26"/>
      <c r="N121" s="28"/>
      <c r="O121" s="19"/>
      <c r="P121" s="19"/>
      <c r="Q121" s="108"/>
      <c r="S121" s="109"/>
      <c r="T121" s="25"/>
      <c r="U121" s="26"/>
      <c r="V121" s="28"/>
      <c r="W121" s="19"/>
      <c r="X121" s="19"/>
      <c r="Y121" s="108"/>
    </row>
    <row r="122" spans="1:25">
      <c r="A122" s="64"/>
      <c r="C122" s="109" t="s">
        <v>173</v>
      </c>
      <c r="D122" s="25"/>
      <c r="E122" s="26"/>
      <c r="F122" s="28"/>
      <c r="G122" s="19"/>
      <c r="H122" s="19"/>
      <c r="I122" s="108"/>
      <c r="K122" s="109" t="s">
        <v>173</v>
      </c>
      <c r="L122" s="25"/>
      <c r="M122" s="26"/>
      <c r="N122" s="28"/>
      <c r="O122" s="19"/>
      <c r="P122" s="19"/>
      <c r="Q122" s="108"/>
      <c r="S122" s="109" t="s">
        <v>173</v>
      </c>
      <c r="T122" s="25"/>
      <c r="U122" s="26"/>
      <c r="V122" s="28"/>
      <c r="W122" s="19"/>
      <c r="X122" s="19"/>
      <c r="Y122" s="108"/>
    </row>
    <row r="123" spans="1:25">
      <c r="A123" s="64"/>
      <c r="C123" s="109"/>
      <c r="D123" s="25"/>
      <c r="E123" s="26"/>
      <c r="F123" s="28"/>
      <c r="G123" s="19"/>
      <c r="H123" s="19"/>
      <c r="I123" s="108"/>
      <c r="K123" s="109"/>
      <c r="L123" s="25"/>
      <c r="M123" s="26"/>
      <c r="N123" s="28"/>
      <c r="O123" s="19"/>
      <c r="P123" s="19"/>
      <c r="Q123" s="108"/>
      <c r="S123" s="109"/>
      <c r="T123" s="25"/>
      <c r="U123" s="26"/>
      <c r="V123" s="28"/>
      <c r="W123" s="19"/>
      <c r="X123" s="19"/>
      <c r="Y123" s="108"/>
    </row>
    <row r="124" spans="1:25">
      <c r="A124" s="64"/>
      <c r="C124" s="109"/>
      <c r="D124" s="25"/>
      <c r="E124" s="26"/>
      <c r="F124" s="28"/>
      <c r="G124" s="19"/>
      <c r="H124" s="19"/>
      <c r="I124" s="108"/>
      <c r="K124" s="109"/>
      <c r="L124" s="25"/>
      <c r="M124" s="26"/>
      <c r="N124" s="28"/>
      <c r="O124" s="19"/>
      <c r="P124" s="19"/>
      <c r="Q124" s="108"/>
      <c r="S124" s="109"/>
      <c r="T124" s="25"/>
      <c r="U124" s="26"/>
      <c r="V124" s="28"/>
      <c r="W124" s="19"/>
      <c r="X124" s="19"/>
      <c r="Y124" s="108"/>
    </row>
    <row r="125" spans="1:25">
      <c r="A125" s="64"/>
      <c r="C125" s="109" t="s">
        <v>174</v>
      </c>
      <c r="D125" s="25"/>
      <c r="E125" s="26"/>
      <c r="F125" s="28"/>
      <c r="G125" s="19"/>
      <c r="H125" s="19"/>
      <c r="I125" s="108"/>
      <c r="K125" s="109" t="s">
        <v>174</v>
      </c>
      <c r="L125" s="25"/>
      <c r="M125" s="26"/>
      <c r="N125" s="28"/>
      <c r="O125" s="19"/>
      <c r="P125" s="19"/>
      <c r="Q125" s="108"/>
      <c r="S125" s="109" t="s">
        <v>174</v>
      </c>
      <c r="T125" s="25"/>
      <c r="U125" s="26"/>
      <c r="V125" s="28"/>
      <c r="W125" s="19"/>
      <c r="X125" s="19"/>
      <c r="Y125" s="108"/>
    </row>
    <row r="126" spans="1:25">
      <c r="A126" s="64"/>
      <c r="C126" s="109"/>
      <c r="D126" s="25"/>
      <c r="E126" s="26"/>
      <c r="F126" s="28"/>
      <c r="G126" s="19"/>
      <c r="H126" s="19"/>
      <c r="I126" s="108"/>
      <c r="K126" s="109"/>
      <c r="L126" s="25"/>
      <c r="M126" s="26"/>
      <c r="N126" s="28"/>
      <c r="O126" s="19"/>
      <c r="P126" s="19"/>
      <c r="Q126" s="108"/>
      <c r="S126" s="109"/>
      <c r="T126" s="25"/>
      <c r="U126" s="26"/>
      <c r="V126" s="28"/>
      <c r="W126" s="19"/>
      <c r="X126" s="19"/>
      <c r="Y126" s="108"/>
    </row>
    <row r="127" spans="1:25">
      <c r="A127" s="64"/>
      <c r="C127" s="109"/>
      <c r="D127" s="25"/>
      <c r="E127" s="26"/>
      <c r="F127" s="28"/>
      <c r="G127" s="19"/>
      <c r="H127" s="19"/>
      <c r="I127" s="108"/>
      <c r="K127" s="109"/>
      <c r="L127" s="25"/>
      <c r="M127" s="26"/>
      <c r="N127" s="28"/>
      <c r="O127" s="19"/>
      <c r="P127" s="19"/>
      <c r="Q127" s="108"/>
      <c r="S127" s="109"/>
      <c r="T127" s="25"/>
      <c r="U127" s="26"/>
      <c r="V127" s="28"/>
      <c r="W127" s="19"/>
      <c r="X127" s="19"/>
      <c r="Y127" s="108"/>
    </row>
    <row r="128" spans="1:25">
      <c r="A128" s="64"/>
      <c r="C128" s="109" t="s">
        <v>173</v>
      </c>
      <c r="D128" s="25"/>
      <c r="E128" s="26"/>
      <c r="F128" s="28"/>
      <c r="G128" s="19"/>
      <c r="H128" s="19"/>
      <c r="I128" s="108"/>
      <c r="K128" s="109" t="s">
        <v>173</v>
      </c>
      <c r="L128" s="25"/>
      <c r="M128" s="26"/>
      <c r="N128" s="28"/>
      <c r="O128" s="19"/>
      <c r="P128" s="19"/>
      <c r="Q128" s="108"/>
      <c r="S128" s="109" t="s">
        <v>173</v>
      </c>
      <c r="T128" s="25"/>
      <c r="U128" s="26"/>
      <c r="V128" s="28"/>
      <c r="W128" s="19"/>
      <c r="X128" s="19"/>
      <c r="Y128" s="108"/>
    </row>
    <row r="129" spans="1:25">
      <c r="A129" s="64"/>
      <c r="C129" s="109"/>
      <c r="D129" s="25"/>
      <c r="E129" s="26"/>
      <c r="F129" s="28"/>
      <c r="G129" s="19"/>
      <c r="H129" s="19"/>
      <c r="I129" s="108"/>
      <c r="K129" s="109"/>
      <c r="L129" s="25"/>
      <c r="M129" s="26"/>
      <c r="N129" s="28"/>
      <c r="O129" s="19"/>
      <c r="P129" s="19"/>
      <c r="Q129" s="108"/>
      <c r="S129" s="109"/>
      <c r="T129" s="25"/>
      <c r="U129" s="26"/>
      <c r="V129" s="28"/>
      <c r="W129" s="19"/>
      <c r="X129" s="19"/>
      <c r="Y129" s="108"/>
    </row>
    <row r="130" spans="1:25">
      <c r="A130" s="64"/>
      <c r="C130" s="109"/>
      <c r="D130" s="25"/>
      <c r="E130" s="26"/>
      <c r="F130" s="28"/>
      <c r="G130" s="19"/>
      <c r="H130" s="19"/>
      <c r="I130" s="108"/>
      <c r="K130" s="109"/>
      <c r="L130" s="25"/>
      <c r="M130" s="26"/>
      <c r="N130" s="28"/>
      <c r="O130" s="19"/>
      <c r="P130" s="19"/>
      <c r="Q130" s="108"/>
      <c r="S130" s="109"/>
      <c r="T130" s="25"/>
      <c r="U130" s="26"/>
      <c r="V130" s="28"/>
      <c r="W130" s="19"/>
      <c r="X130" s="19"/>
      <c r="Y130" s="108"/>
    </row>
    <row r="131" spans="1:25">
      <c r="A131" s="64"/>
      <c r="C131" s="109" t="s">
        <v>175</v>
      </c>
      <c r="D131" s="25"/>
      <c r="E131" s="26"/>
      <c r="F131" s="28"/>
      <c r="G131" s="19"/>
      <c r="H131" s="19"/>
      <c r="I131" s="108"/>
      <c r="K131" s="109" t="s">
        <v>175</v>
      </c>
      <c r="L131" s="25"/>
      <c r="M131" s="26"/>
      <c r="N131" s="28"/>
      <c r="O131" s="19"/>
      <c r="P131" s="19"/>
      <c r="Q131" s="108"/>
      <c r="S131" s="109" t="s">
        <v>175</v>
      </c>
      <c r="T131" s="25"/>
      <c r="U131" s="26"/>
      <c r="V131" s="28"/>
      <c r="W131" s="19"/>
      <c r="X131" s="19"/>
      <c r="Y131" s="108"/>
    </row>
    <row r="132" spans="1:25">
      <c r="A132" s="64"/>
      <c r="C132" s="109"/>
      <c r="D132" s="25"/>
      <c r="E132" s="26"/>
      <c r="F132" s="28"/>
      <c r="G132" s="19"/>
      <c r="H132" s="19"/>
      <c r="I132" s="108"/>
      <c r="K132" s="109"/>
      <c r="L132" s="25"/>
      <c r="M132" s="26"/>
      <c r="N132" s="28"/>
      <c r="O132" s="19"/>
      <c r="P132" s="19"/>
      <c r="Q132" s="108"/>
      <c r="S132" s="109"/>
      <c r="T132" s="25"/>
      <c r="U132" s="26"/>
      <c r="V132" s="28"/>
      <c r="W132" s="19"/>
      <c r="X132" s="19"/>
      <c r="Y132" s="108"/>
    </row>
    <row r="133" spans="1:25">
      <c r="A133" s="64"/>
      <c r="C133" s="110"/>
      <c r="D133" s="25"/>
      <c r="E133" s="26"/>
      <c r="F133" s="28"/>
      <c r="G133" s="19"/>
      <c r="H133" s="19"/>
      <c r="I133" s="111"/>
      <c r="K133" s="110"/>
      <c r="L133" s="25"/>
      <c r="M133" s="26"/>
      <c r="N133" s="28"/>
      <c r="O133" s="19"/>
      <c r="P133" s="19"/>
      <c r="Q133" s="111"/>
      <c r="S133" s="110"/>
      <c r="T133" s="25"/>
      <c r="U133" s="26"/>
      <c r="V133" s="28"/>
      <c r="W133" s="19"/>
      <c r="X133" s="19"/>
      <c r="Y133" s="111"/>
    </row>
    <row r="134" spans="1:25">
      <c r="A134" s="64"/>
    </row>
    <row r="135" spans="1:25">
      <c r="A135" s="64"/>
    </row>
    <row r="136" spans="1:25" ht="15.95" thickBot="1">
      <c r="A136" s="64"/>
      <c r="C136" s="114" t="str">
        <f>'Department 1 - Q Planning'!T19</f>
        <v>Team member 5 (Name)</v>
      </c>
      <c r="D136" s="115"/>
      <c r="E136" s="115"/>
      <c r="F136" s="115"/>
      <c r="G136" s="115"/>
      <c r="H136" s="115"/>
      <c r="I136" s="116"/>
      <c r="K136" s="114" t="str">
        <f>C136</f>
        <v>Team member 5 (Name)</v>
      </c>
      <c r="L136" s="115"/>
      <c r="M136" s="115"/>
      <c r="N136" s="115"/>
      <c r="O136" s="115"/>
      <c r="P136" s="115"/>
      <c r="Q136" s="116"/>
      <c r="S136" s="114" t="str">
        <f>K136</f>
        <v>Team member 5 (Name)</v>
      </c>
      <c r="T136" s="115"/>
      <c r="U136" s="115"/>
      <c r="V136" s="115"/>
      <c r="W136" s="115"/>
      <c r="X136" s="115"/>
      <c r="Y136" s="116"/>
    </row>
    <row r="137" spans="1:25">
      <c r="A137" s="64"/>
      <c r="C137" s="43" t="s">
        <v>154</v>
      </c>
      <c r="D137" s="10" t="s">
        <v>151</v>
      </c>
      <c r="E137" s="48" t="s">
        <v>155</v>
      </c>
      <c r="F137" s="46"/>
      <c r="G137" s="47"/>
      <c r="H137" s="47"/>
      <c r="I137" s="44" t="s">
        <v>10</v>
      </c>
      <c r="K137" s="43" t="s">
        <v>154</v>
      </c>
      <c r="L137" s="10" t="s">
        <v>151</v>
      </c>
      <c r="M137" s="48" t="s">
        <v>155</v>
      </c>
      <c r="N137" s="46"/>
      <c r="O137" s="47"/>
      <c r="P137" s="47"/>
      <c r="Q137" s="44" t="s">
        <v>10</v>
      </c>
      <c r="S137" s="43" t="s">
        <v>154</v>
      </c>
      <c r="T137" s="10" t="s">
        <v>151</v>
      </c>
      <c r="U137" s="48" t="s">
        <v>155</v>
      </c>
      <c r="V137" s="46"/>
      <c r="W137" s="47"/>
      <c r="X137" s="47"/>
      <c r="Y137" s="44" t="s">
        <v>10</v>
      </c>
    </row>
    <row r="138" spans="1:25">
      <c r="A138" s="64"/>
      <c r="C138" s="11"/>
      <c r="D138" s="12">
        <v>1</v>
      </c>
      <c r="E138" s="105" t="str">
        <f>'Department 1 - Q Planning'!T21</f>
        <v>Priority 1</v>
      </c>
      <c r="F138" s="106"/>
      <c r="G138" s="106"/>
      <c r="H138" s="107"/>
      <c r="I138" s="45" t="str">
        <f>'Department 1 - Q Planning'!U21</f>
        <v>%</v>
      </c>
      <c r="K138" s="11"/>
      <c r="L138" s="12">
        <v>1</v>
      </c>
      <c r="M138" s="105" t="str">
        <f>E138</f>
        <v>Priority 1</v>
      </c>
      <c r="N138" s="106"/>
      <c r="O138" s="106"/>
      <c r="P138" s="107"/>
      <c r="Q138" s="45" t="str">
        <f>I138</f>
        <v>%</v>
      </c>
      <c r="S138" s="11"/>
      <c r="T138" s="12">
        <v>1</v>
      </c>
      <c r="U138" s="105" t="str">
        <f>M138</f>
        <v>Priority 1</v>
      </c>
      <c r="V138" s="106"/>
      <c r="W138" s="106"/>
      <c r="X138" s="107"/>
      <c r="Y138" s="45" t="str">
        <f>Q138</f>
        <v>%</v>
      </c>
    </row>
    <row r="139" spans="1:25">
      <c r="A139" s="64"/>
      <c r="C139" s="13"/>
      <c r="D139" s="14">
        <v>2</v>
      </c>
      <c r="E139" s="105" t="str">
        <f>'Department 1 - Q Planning'!T22</f>
        <v>Priority 2</v>
      </c>
      <c r="F139" s="106"/>
      <c r="G139" s="106"/>
      <c r="H139" s="107"/>
      <c r="I139" s="45" t="str">
        <f>'Department 1 - Q Planning'!U22</f>
        <v>%</v>
      </c>
      <c r="K139" s="13"/>
      <c r="L139" s="14">
        <v>2</v>
      </c>
      <c r="M139" s="34" t="str">
        <f>E139</f>
        <v>Priority 2</v>
      </c>
      <c r="N139" s="32"/>
      <c r="O139" s="32"/>
      <c r="P139" s="33"/>
      <c r="Q139" s="45" t="str">
        <f>I139</f>
        <v>%</v>
      </c>
      <c r="S139" s="13"/>
      <c r="T139" s="14">
        <v>2</v>
      </c>
      <c r="U139" s="34" t="str">
        <f>M139</f>
        <v>Priority 2</v>
      </c>
      <c r="V139" s="32"/>
      <c r="W139" s="32"/>
      <c r="X139" s="33"/>
      <c r="Y139" s="45" t="str">
        <f>Q139</f>
        <v>%</v>
      </c>
    </row>
    <row r="140" spans="1:25">
      <c r="A140" s="64"/>
      <c r="C140" s="13"/>
      <c r="D140" s="14">
        <v>3</v>
      </c>
      <c r="E140" s="105" t="str">
        <f>'Department 1 - Q Planning'!T23</f>
        <v>Priority 3</v>
      </c>
      <c r="F140" s="106"/>
      <c r="G140" s="106"/>
      <c r="H140" s="107"/>
      <c r="I140" s="45" t="str">
        <f>'Department 1 - Q Planning'!U23</f>
        <v>#</v>
      </c>
      <c r="K140" s="13"/>
      <c r="L140" s="14">
        <v>3</v>
      </c>
      <c r="M140" s="34" t="str">
        <f>E140</f>
        <v>Priority 3</v>
      </c>
      <c r="N140" s="32"/>
      <c r="O140" s="32"/>
      <c r="P140" s="33"/>
      <c r="Q140" s="45" t="str">
        <f>I140</f>
        <v>#</v>
      </c>
      <c r="S140" s="13"/>
      <c r="T140" s="14">
        <v>3</v>
      </c>
      <c r="U140" s="34" t="str">
        <f>M140</f>
        <v>Priority 3</v>
      </c>
      <c r="V140" s="32"/>
      <c r="W140" s="32"/>
      <c r="X140" s="33"/>
      <c r="Y140" s="45" t="str">
        <f>Q140</f>
        <v>#</v>
      </c>
    </row>
    <row r="141" spans="1:25">
      <c r="A141" s="63"/>
      <c r="C141" s="13"/>
      <c r="D141" s="14">
        <v>4</v>
      </c>
      <c r="E141" s="105" t="str">
        <f>'Department 1 - Q Planning'!T24</f>
        <v>Priority 4</v>
      </c>
      <c r="F141" s="106"/>
      <c r="G141" s="106"/>
      <c r="H141" s="107"/>
      <c r="I141" s="45" t="str">
        <f>'Department 1 - Q Planning'!U24</f>
        <v>#</v>
      </c>
      <c r="K141" s="13"/>
      <c r="L141" s="14">
        <v>4</v>
      </c>
      <c r="M141" s="34" t="str">
        <f>E141</f>
        <v>Priority 4</v>
      </c>
      <c r="N141" s="32"/>
      <c r="O141" s="32"/>
      <c r="P141" s="33"/>
      <c r="Q141" s="45" t="str">
        <f>I141</f>
        <v>#</v>
      </c>
      <c r="S141" s="13"/>
      <c r="T141" s="14">
        <v>4</v>
      </c>
      <c r="U141" s="34" t="str">
        <f>M141</f>
        <v>Priority 4</v>
      </c>
      <c r="V141" s="32"/>
      <c r="W141" s="32"/>
      <c r="X141" s="33"/>
      <c r="Y141" s="45" t="str">
        <f>Q141</f>
        <v>#</v>
      </c>
    </row>
    <row r="142" spans="1:25">
      <c r="A142" s="64"/>
      <c r="C142" s="13"/>
      <c r="D142" s="14">
        <v>5</v>
      </c>
      <c r="E142" s="105" t="str">
        <f>'Department 1 - Q Planning'!T25</f>
        <v>Priority 5</v>
      </c>
      <c r="F142" s="106"/>
      <c r="G142" s="106"/>
      <c r="H142" s="107"/>
      <c r="I142" s="45" t="str">
        <f>'Department 1 - Q Planning'!U25</f>
        <v>%</v>
      </c>
      <c r="K142" s="13"/>
      <c r="L142" s="14">
        <v>5</v>
      </c>
      <c r="M142" s="34" t="str">
        <f>E142</f>
        <v>Priority 5</v>
      </c>
      <c r="N142" s="32"/>
      <c r="O142" s="32"/>
      <c r="P142" s="33"/>
      <c r="Q142" s="45" t="str">
        <f>I142</f>
        <v>%</v>
      </c>
      <c r="S142" s="13"/>
      <c r="T142" s="14">
        <v>5</v>
      </c>
      <c r="U142" s="34" t="str">
        <f>M142</f>
        <v>Priority 5</v>
      </c>
      <c r="V142" s="32"/>
      <c r="W142" s="32"/>
      <c r="X142" s="33"/>
      <c r="Y142" s="45" t="str">
        <f>Q142</f>
        <v>%</v>
      </c>
    </row>
    <row r="143" spans="1:25" ht="17.100000000000001" customHeight="1">
      <c r="A143" s="64"/>
      <c r="C143" s="74"/>
      <c r="D143" s="75"/>
      <c r="E143" s="75" t="s">
        <v>156</v>
      </c>
      <c r="F143" s="75"/>
      <c r="G143" s="75"/>
      <c r="H143" s="75"/>
      <c r="I143" s="76"/>
      <c r="K143" s="74"/>
      <c r="L143" s="75"/>
      <c r="M143" s="75" t="s">
        <v>156</v>
      </c>
      <c r="N143" s="75"/>
      <c r="O143" s="75"/>
      <c r="P143" s="75"/>
      <c r="Q143" s="76"/>
      <c r="S143" s="74"/>
      <c r="T143" s="75"/>
      <c r="U143" s="75" t="s">
        <v>156</v>
      </c>
      <c r="V143" s="75"/>
      <c r="W143" s="75"/>
      <c r="X143" s="75"/>
      <c r="Y143" s="76"/>
    </row>
    <row r="144" spans="1:25">
      <c r="A144" s="64"/>
      <c r="C144" s="78" t="s">
        <v>157</v>
      </c>
      <c r="D144" s="79" t="s">
        <v>151</v>
      </c>
      <c r="E144" s="79">
        <v>47</v>
      </c>
      <c r="F144" s="79" t="s">
        <v>158</v>
      </c>
      <c r="G144" s="79" t="s">
        <v>159</v>
      </c>
      <c r="H144" s="79" t="s">
        <v>160</v>
      </c>
      <c r="I144" s="80" t="s">
        <v>161</v>
      </c>
      <c r="K144" s="78" t="s">
        <v>157</v>
      </c>
      <c r="L144" s="79" t="s">
        <v>151</v>
      </c>
      <c r="M144" s="79">
        <f>E144+1</f>
        <v>48</v>
      </c>
      <c r="N144" s="79" t="s">
        <v>158</v>
      </c>
      <c r="O144" s="79" t="s">
        <v>159</v>
      </c>
      <c r="P144" s="79" t="s">
        <v>160</v>
      </c>
      <c r="Q144" s="80" t="s">
        <v>161</v>
      </c>
      <c r="S144" s="78" t="s">
        <v>157</v>
      </c>
      <c r="T144" s="79" t="s">
        <v>151</v>
      </c>
      <c r="U144" s="79">
        <f>M144+1</f>
        <v>49</v>
      </c>
      <c r="V144" s="79" t="s">
        <v>158</v>
      </c>
      <c r="W144" s="79" t="s">
        <v>159</v>
      </c>
      <c r="X144" s="79" t="s">
        <v>160</v>
      </c>
      <c r="Y144" s="80" t="s">
        <v>161</v>
      </c>
    </row>
    <row r="145" spans="1:25">
      <c r="A145" s="64"/>
      <c r="C145" s="15"/>
      <c r="D145" s="16">
        <v>1</v>
      </c>
      <c r="E145" s="77"/>
      <c r="F145" s="18"/>
      <c r="G145" s="19"/>
      <c r="H145" s="19"/>
      <c r="I145" s="112"/>
      <c r="K145" s="15"/>
      <c r="L145" s="16">
        <v>1</v>
      </c>
      <c r="M145" s="77"/>
      <c r="N145" s="18"/>
      <c r="O145" s="19"/>
      <c r="P145" s="19"/>
      <c r="Q145" s="112"/>
      <c r="S145" s="15"/>
      <c r="T145" s="16">
        <v>1</v>
      </c>
      <c r="U145" s="77"/>
      <c r="V145" s="18"/>
      <c r="W145" s="19"/>
      <c r="X145" s="19"/>
      <c r="Y145" s="112"/>
    </row>
    <row r="146" spans="1:25">
      <c r="A146" s="64"/>
      <c r="C146" s="20"/>
      <c r="D146" s="21">
        <v>2</v>
      </c>
      <c r="E146" s="17"/>
      <c r="F146" s="18"/>
      <c r="G146" s="19"/>
      <c r="H146" s="19"/>
      <c r="I146" s="113"/>
      <c r="K146" s="20"/>
      <c r="L146" s="21">
        <v>2</v>
      </c>
      <c r="M146" s="17"/>
      <c r="N146" s="18"/>
      <c r="O146" s="19"/>
      <c r="P146" s="19"/>
      <c r="Q146" s="113"/>
      <c r="S146" s="20"/>
      <c r="T146" s="21">
        <v>2</v>
      </c>
      <c r="U146" s="17"/>
      <c r="V146" s="18"/>
      <c r="W146" s="19"/>
      <c r="X146" s="19"/>
      <c r="Y146" s="113"/>
    </row>
    <row r="147" spans="1:25">
      <c r="A147" s="64"/>
      <c r="C147" s="20"/>
      <c r="D147" s="21">
        <v>3</v>
      </c>
      <c r="E147" s="22"/>
      <c r="F147" s="23"/>
      <c r="G147" s="19"/>
      <c r="H147" s="19"/>
      <c r="I147" s="113"/>
      <c r="K147" s="20"/>
      <c r="L147" s="21">
        <v>3</v>
      </c>
      <c r="M147" s="22"/>
      <c r="N147" s="23"/>
      <c r="O147" s="19"/>
      <c r="P147" s="19"/>
      <c r="Q147" s="113"/>
      <c r="S147" s="20"/>
      <c r="T147" s="21">
        <v>3</v>
      </c>
      <c r="U147" s="22"/>
      <c r="V147" s="23"/>
      <c r="W147" s="19"/>
      <c r="X147" s="19"/>
      <c r="Y147" s="113"/>
    </row>
    <row r="148" spans="1:25">
      <c r="A148" s="64"/>
      <c r="C148" s="20"/>
      <c r="D148" s="21">
        <v>4</v>
      </c>
      <c r="E148" s="17"/>
      <c r="F148" s="23"/>
      <c r="G148" s="19"/>
      <c r="H148" s="19"/>
      <c r="I148" s="113"/>
      <c r="K148" s="20"/>
      <c r="L148" s="21">
        <v>4</v>
      </c>
      <c r="M148" s="17"/>
      <c r="N148" s="23"/>
      <c r="O148" s="19"/>
      <c r="P148" s="19"/>
      <c r="Q148" s="113"/>
      <c r="S148" s="20"/>
      <c r="T148" s="21">
        <v>4</v>
      </c>
      <c r="U148" s="17"/>
      <c r="V148" s="23"/>
      <c r="W148" s="19"/>
      <c r="X148" s="19"/>
      <c r="Y148" s="113"/>
    </row>
    <row r="149" spans="1:25">
      <c r="A149" s="64"/>
      <c r="C149" s="20"/>
      <c r="D149" s="21">
        <v>5</v>
      </c>
      <c r="E149" s="24"/>
      <c r="F149" s="23"/>
      <c r="G149" s="19"/>
      <c r="H149" s="19"/>
      <c r="I149" s="113"/>
      <c r="K149" s="20"/>
      <c r="L149" s="21">
        <v>5</v>
      </c>
      <c r="M149" s="24"/>
      <c r="N149" s="23"/>
      <c r="O149" s="19"/>
      <c r="P149" s="19"/>
      <c r="Q149" s="113"/>
      <c r="S149" s="20"/>
      <c r="T149" s="21">
        <v>5</v>
      </c>
      <c r="U149" s="24"/>
      <c r="V149" s="23"/>
      <c r="W149" s="19"/>
      <c r="X149" s="19"/>
      <c r="Y149" s="113"/>
    </row>
    <row r="150" spans="1:25">
      <c r="A150" s="64"/>
      <c r="C150" s="20"/>
      <c r="D150" s="21">
        <v>6</v>
      </c>
      <c r="E150" s="17"/>
      <c r="F150" s="23"/>
      <c r="G150" s="19"/>
      <c r="H150" s="19"/>
      <c r="I150" s="113"/>
      <c r="K150" s="20"/>
      <c r="L150" s="21">
        <v>6</v>
      </c>
      <c r="M150" s="17"/>
      <c r="N150" s="23"/>
      <c r="O150" s="19"/>
      <c r="P150" s="19"/>
      <c r="Q150" s="113"/>
      <c r="S150" s="20"/>
      <c r="T150" s="21">
        <v>6</v>
      </c>
      <c r="U150" s="17"/>
      <c r="V150" s="23"/>
      <c r="W150" s="19"/>
      <c r="X150" s="19"/>
      <c r="Y150" s="113"/>
    </row>
    <row r="151" spans="1:25">
      <c r="A151" s="64"/>
      <c r="C151" s="39"/>
      <c r="D151" s="40" t="s">
        <v>167</v>
      </c>
      <c r="E151" s="41" t="s">
        <v>168</v>
      </c>
      <c r="F151" s="41" t="s">
        <v>169</v>
      </c>
      <c r="G151" s="41" t="s">
        <v>159</v>
      </c>
      <c r="H151" s="41" t="s">
        <v>160</v>
      </c>
      <c r="I151" s="42" t="s">
        <v>170</v>
      </c>
      <c r="K151" s="39"/>
      <c r="L151" s="40" t="s">
        <v>167</v>
      </c>
      <c r="M151" s="41" t="s">
        <v>168</v>
      </c>
      <c r="N151" s="41" t="s">
        <v>169</v>
      </c>
      <c r="O151" s="41" t="s">
        <v>159</v>
      </c>
      <c r="P151" s="41" t="s">
        <v>160</v>
      </c>
      <c r="Q151" s="42" t="s">
        <v>170</v>
      </c>
      <c r="S151" s="39"/>
      <c r="T151" s="40" t="s">
        <v>167</v>
      </c>
      <c r="U151" s="41" t="s">
        <v>168</v>
      </c>
      <c r="V151" s="41" t="s">
        <v>169</v>
      </c>
      <c r="W151" s="41" t="s">
        <v>159</v>
      </c>
      <c r="X151" s="41" t="s">
        <v>160</v>
      </c>
      <c r="Y151" s="42" t="s">
        <v>170</v>
      </c>
    </row>
    <row r="152" spans="1:25">
      <c r="A152" s="64"/>
      <c r="C152" s="109" t="s">
        <v>171</v>
      </c>
      <c r="D152" s="25"/>
      <c r="E152" s="26"/>
      <c r="F152" s="27"/>
      <c r="G152" s="19"/>
      <c r="H152" s="19"/>
      <c r="I152" s="108"/>
      <c r="K152" s="109" t="s">
        <v>171</v>
      </c>
      <c r="L152" s="25"/>
      <c r="M152" s="26"/>
      <c r="N152" s="27"/>
      <c r="O152" s="19"/>
      <c r="P152" s="19"/>
      <c r="Q152" s="108"/>
      <c r="S152" s="109" t="s">
        <v>171</v>
      </c>
      <c r="T152" s="25"/>
      <c r="U152" s="26"/>
      <c r="V152" s="27"/>
      <c r="W152" s="19"/>
      <c r="X152" s="19"/>
      <c r="Y152" s="108"/>
    </row>
    <row r="153" spans="1:25">
      <c r="A153" s="64"/>
      <c r="C153" s="109"/>
      <c r="D153" s="25"/>
      <c r="E153" s="26"/>
      <c r="F153" s="28"/>
      <c r="G153" s="19"/>
      <c r="H153" s="19"/>
      <c r="I153" s="108"/>
      <c r="K153" s="109"/>
      <c r="L153" s="25"/>
      <c r="M153" s="26"/>
      <c r="N153" s="28"/>
      <c r="O153" s="19"/>
      <c r="P153" s="19"/>
      <c r="Q153" s="108"/>
      <c r="S153" s="109"/>
      <c r="T153" s="25"/>
      <c r="U153" s="26"/>
      <c r="V153" s="28"/>
      <c r="W153" s="19"/>
      <c r="X153" s="19"/>
      <c r="Y153" s="108"/>
    </row>
    <row r="154" spans="1:25">
      <c r="A154" s="64"/>
      <c r="C154" s="109"/>
      <c r="D154" s="25"/>
      <c r="E154" s="26"/>
      <c r="F154" s="28"/>
      <c r="G154" s="19"/>
      <c r="H154" s="19"/>
      <c r="I154" s="108"/>
      <c r="K154" s="109"/>
      <c r="L154" s="25"/>
      <c r="M154" s="26"/>
      <c r="N154" s="28"/>
      <c r="O154" s="19"/>
      <c r="P154" s="19"/>
      <c r="Q154" s="108"/>
      <c r="S154" s="109"/>
      <c r="T154" s="25"/>
      <c r="U154" s="26"/>
      <c r="V154" s="28"/>
      <c r="W154" s="19"/>
      <c r="X154" s="19"/>
      <c r="Y154" s="108"/>
    </row>
    <row r="155" spans="1:25">
      <c r="A155" s="64"/>
      <c r="C155" s="109" t="s">
        <v>173</v>
      </c>
      <c r="D155" s="25"/>
      <c r="E155" s="26"/>
      <c r="F155" s="28"/>
      <c r="G155" s="19"/>
      <c r="H155" s="19"/>
      <c r="I155" s="108"/>
      <c r="K155" s="109" t="s">
        <v>173</v>
      </c>
      <c r="L155" s="25"/>
      <c r="M155" s="26"/>
      <c r="N155" s="28"/>
      <c r="O155" s="19"/>
      <c r="P155" s="19"/>
      <c r="Q155" s="108"/>
      <c r="S155" s="109" t="s">
        <v>173</v>
      </c>
      <c r="T155" s="25"/>
      <c r="U155" s="26"/>
      <c r="V155" s="28"/>
      <c r="W155" s="19"/>
      <c r="X155" s="19"/>
      <c r="Y155" s="108"/>
    </row>
    <row r="156" spans="1:25">
      <c r="A156" s="64"/>
      <c r="C156" s="109"/>
      <c r="D156" s="25"/>
      <c r="E156" s="26"/>
      <c r="F156" s="28"/>
      <c r="G156" s="19"/>
      <c r="H156" s="19"/>
      <c r="I156" s="108"/>
      <c r="K156" s="109"/>
      <c r="L156" s="25"/>
      <c r="M156" s="26"/>
      <c r="N156" s="28"/>
      <c r="O156" s="19"/>
      <c r="P156" s="19"/>
      <c r="Q156" s="108"/>
      <c r="S156" s="109"/>
      <c r="T156" s="25"/>
      <c r="U156" s="26"/>
      <c r="V156" s="28"/>
      <c r="W156" s="19"/>
      <c r="X156" s="19"/>
      <c r="Y156" s="108"/>
    </row>
    <row r="157" spans="1:25">
      <c r="A157" s="64"/>
      <c r="C157" s="109"/>
      <c r="D157" s="25"/>
      <c r="E157" s="26"/>
      <c r="F157" s="28"/>
      <c r="G157" s="19"/>
      <c r="H157" s="19"/>
      <c r="I157" s="108"/>
      <c r="K157" s="109"/>
      <c r="L157" s="25"/>
      <c r="M157" s="26"/>
      <c r="N157" s="28"/>
      <c r="O157" s="19"/>
      <c r="P157" s="19"/>
      <c r="Q157" s="108"/>
      <c r="S157" s="109"/>
      <c r="T157" s="25"/>
      <c r="U157" s="26"/>
      <c r="V157" s="28"/>
      <c r="W157" s="19"/>
      <c r="X157" s="19"/>
      <c r="Y157" s="108"/>
    </row>
    <row r="158" spans="1:25">
      <c r="A158" s="64"/>
      <c r="C158" s="109" t="s">
        <v>174</v>
      </c>
      <c r="D158" s="25"/>
      <c r="E158" s="26"/>
      <c r="F158" s="28"/>
      <c r="G158" s="19"/>
      <c r="H158" s="19"/>
      <c r="I158" s="108"/>
      <c r="K158" s="109" t="s">
        <v>174</v>
      </c>
      <c r="L158" s="25"/>
      <c r="M158" s="26"/>
      <c r="N158" s="28"/>
      <c r="O158" s="19"/>
      <c r="P158" s="19"/>
      <c r="Q158" s="108"/>
      <c r="S158" s="109" t="s">
        <v>174</v>
      </c>
      <c r="T158" s="25"/>
      <c r="U158" s="26"/>
      <c r="V158" s="28"/>
      <c r="W158" s="19"/>
      <c r="X158" s="19"/>
      <c r="Y158" s="108"/>
    </row>
    <row r="159" spans="1:25">
      <c r="A159" s="64"/>
      <c r="C159" s="109"/>
      <c r="D159" s="25"/>
      <c r="E159" s="26"/>
      <c r="F159" s="28"/>
      <c r="G159" s="19"/>
      <c r="H159" s="19"/>
      <c r="I159" s="108"/>
      <c r="K159" s="109"/>
      <c r="L159" s="25"/>
      <c r="M159" s="26"/>
      <c r="N159" s="28"/>
      <c r="O159" s="19"/>
      <c r="P159" s="19"/>
      <c r="Q159" s="108"/>
      <c r="S159" s="109"/>
      <c r="T159" s="25"/>
      <c r="U159" s="26"/>
      <c r="V159" s="28"/>
      <c r="W159" s="19"/>
      <c r="X159" s="19"/>
      <c r="Y159" s="108"/>
    </row>
    <row r="160" spans="1:25">
      <c r="A160" s="64"/>
      <c r="C160" s="109"/>
      <c r="D160" s="25"/>
      <c r="E160" s="26"/>
      <c r="F160" s="28"/>
      <c r="G160" s="19"/>
      <c r="H160" s="19"/>
      <c r="I160" s="108"/>
      <c r="K160" s="109"/>
      <c r="L160" s="25"/>
      <c r="M160" s="26"/>
      <c r="N160" s="28"/>
      <c r="O160" s="19"/>
      <c r="P160" s="19"/>
      <c r="Q160" s="108"/>
      <c r="S160" s="109"/>
      <c r="T160" s="25"/>
      <c r="U160" s="26"/>
      <c r="V160" s="28"/>
      <c r="W160" s="19"/>
      <c r="X160" s="19"/>
      <c r="Y160" s="108"/>
    </row>
    <row r="161" spans="1:25">
      <c r="A161" s="64"/>
      <c r="C161" s="109" t="s">
        <v>173</v>
      </c>
      <c r="D161" s="25"/>
      <c r="E161" s="26"/>
      <c r="F161" s="28"/>
      <c r="G161" s="19"/>
      <c r="H161" s="19"/>
      <c r="I161" s="108"/>
      <c r="K161" s="109" t="s">
        <v>173</v>
      </c>
      <c r="L161" s="25"/>
      <c r="M161" s="26"/>
      <c r="N161" s="28"/>
      <c r="O161" s="19"/>
      <c r="P161" s="19"/>
      <c r="Q161" s="108"/>
      <c r="S161" s="109" t="s">
        <v>173</v>
      </c>
      <c r="T161" s="25"/>
      <c r="U161" s="26"/>
      <c r="V161" s="28"/>
      <c r="W161" s="19"/>
      <c r="X161" s="19"/>
      <c r="Y161" s="108"/>
    </row>
    <row r="162" spans="1:25">
      <c r="A162" s="64"/>
      <c r="C162" s="109"/>
      <c r="D162" s="25"/>
      <c r="E162" s="26"/>
      <c r="F162" s="28"/>
      <c r="G162" s="19"/>
      <c r="H162" s="19"/>
      <c r="I162" s="108"/>
      <c r="K162" s="109"/>
      <c r="L162" s="25"/>
      <c r="M162" s="26"/>
      <c r="N162" s="28"/>
      <c r="O162" s="19"/>
      <c r="P162" s="19"/>
      <c r="Q162" s="108"/>
      <c r="S162" s="109"/>
      <c r="T162" s="25"/>
      <c r="U162" s="26"/>
      <c r="V162" s="28"/>
      <c r="W162" s="19"/>
      <c r="X162" s="19"/>
      <c r="Y162" s="108"/>
    </row>
    <row r="163" spans="1:25">
      <c r="A163" s="64"/>
      <c r="C163" s="109"/>
      <c r="D163" s="25"/>
      <c r="E163" s="26"/>
      <c r="F163" s="28"/>
      <c r="G163" s="19"/>
      <c r="H163" s="19"/>
      <c r="I163" s="108"/>
      <c r="K163" s="109"/>
      <c r="L163" s="25"/>
      <c r="M163" s="26"/>
      <c r="N163" s="28"/>
      <c r="O163" s="19"/>
      <c r="P163" s="19"/>
      <c r="Q163" s="108"/>
      <c r="S163" s="109"/>
      <c r="T163" s="25"/>
      <c r="U163" s="26"/>
      <c r="V163" s="28"/>
      <c r="W163" s="19"/>
      <c r="X163" s="19"/>
      <c r="Y163" s="108"/>
    </row>
    <row r="164" spans="1:25">
      <c r="A164" s="64"/>
      <c r="C164" s="109" t="s">
        <v>175</v>
      </c>
      <c r="D164" s="25"/>
      <c r="E164" s="26"/>
      <c r="F164" s="28"/>
      <c r="G164" s="19"/>
      <c r="H164" s="19"/>
      <c r="I164" s="108"/>
      <c r="K164" s="109" t="s">
        <v>175</v>
      </c>
      <c r="L164" s="25"/>
      <c r="M164" s="26"/>
      <c r="N164" s="28"/>
      <c r="O164" s="19"/>
      <c r="P164" s="19"/>
      <c r="Q164" s="108"/>
      <c r="S164" s="109" t="s">
        <v>175</v>
      </c>
      <c r="T164" s="25"/>
      <c r="U164" s="26"/>
      <c r="V164" s="28"/>
      <c r="W164" s="19"/>
      <c r="X164" s="19"/>
      <c r="Y164" s="108"/>
    </row>
    <row r="165" spans="1:25">
      <c r="A165" s="64"/>
      <c r="C165" s="109"/>
      <c r="D165" s="25"/>
      <c r="E165" s="26"/>
      <c r="F165" s="28"/>
      <c r="G165" s="19"/>
      <c r="H165" s="19"/>
      <c r="I165" s="108"/>
      <c r="K165" s="109"/>
      <c r="L165" s="25"/>
      <c r="M165" s="26"/>
      <c r="N165" s="28"/>
      <c r="O165" s="19"/>
      <c r="P165" s="19"/>
      <c r="Q165" s="108"/>
      <c r="S165" s="109"/>
      <c r="T165" s="25"/>
      <c r="U165" s="26"/>
      <c r="V165" s="28"/>
      <c r="W165" s="19"/>
      <c r="X165" s="19"/>
      <c r="Y165" s="108"/>
    </row>
    <row r="166" spans="1:25">
      <c r="A166" s="64"/>
      <c r="C166" s="110"/>
      <c r="D166" s="25"/>
      <c r="E166" s="26"/>
      <c r="F166" s="28"/>
      <c r="G166" s="19"/>
      <c r="H166" s="19"/>
      <c r="I166" s="111"/>
      <c r="K166" s="110"/>
      <c r="L166" s="25"/>
      <c r="M166" s="26"/>
      <c r="N166" s="28"/>
      <c r="O166" s="19"/>
      <c r="P166" s="19"/>
      <c r="Q166" s="111"/>
      <c r="S166" s="110"/>
      <c r="T166" s="25"/>
      <c r="U166" s="26"/>
      <c r="V166" s="28"/>
      <c r="W166" s="19"/>
      <c r="X166" s="19"/>
      <c r="Y166" s="111"/>
    </row>
    <row r="167" spans="1:25">
      <c r="A167" s="64"/>
    </row>
    <row r="168" spans="1:25">
      <c r="A168" s="64"/>
    </row>
    <row r="169" spans="1:25" ht="15.95" thickBot="1">
      <c r="A169" s="64"/>
      <c r="C169" s="114" t="str">
        <f>'Department 1 - Q Planning'!X19</f>
        <v>Team member 6 (Name)</v>
      </c>
      <c r="D169" s="115"/>
      <c r="E169" s="115"/>
      <c r="F169" s="115"/>
      <c r="G169" s="115"/>
      <c r="H169" s="115"/>
      <c r="I169" s="116"/>
      <c r="K169" s="114" t="str">
        <f>C169</f>
        <v>Team member 6 (Name)</v>
      </c>
      <c r="L169" s="115"/>
      <c r="M169" s="115"/>
      <c r="N169" s="115"/>
      <c r="O169" s="115"/>
      <c r="P169" s="115"/>
      <c r="Q169" s="116"/>
      <c r="S169" s="114" t="str">
        <f>K169</f>
        <v>Team member 6 (Name)</v>
      </c>
      <c r="T169" s="115"/>
      <c r="U169" s="115"/>
      <c r="V169" s="115"/>
      <c r="W169" s="115"/>
      <c r="X169" s="115"/>
      <c r="Y169" s="116"/>
    </row>
    <row r="170" spans="1:25">
      <c r="A170" s="64"/>
      <c r="C170" s="43" t="s">
        <v>154</v>
      </c>
      <c r="D170" s="10" t="s">
        <v>151</v>
      </c>
      <c r="E170" s="48" t="s">
        <v>155</v>
      </c>
      <c r="F170" s="46"/>
      <c r="G170" s="47"/>
      <c r="H170" s="47"/>
      <c r="I170" s="44" t="s">
        <v>10</v>
      </c>
      <c r="K170" s="43" t="s">
        <v>154</v>
      </c>
      <c r="L170" s="10" t="s">
        <v>151</v>
      </c>
      <c r="M170" s="48" t="s">
        <v>155</v>
      </c>
      <c r="N170" s="46"/>
      <c r="O170" s="47"/>
      <c r="P170" s="47"/>
      <c r="Q170" s="44" t="s">
        <v>10</v>
      </c>
      <c r="S170" s="43" t="s">
        <v>154</v>
      </c>
      <c r="T170" s="10" t="s">
        <v>151</v>
      </c>
      <c r="U170" s="48" t="s">
        <v>155</v>
      </c>
      <c r="V170" s="46"/>
      <c r="W170" s="47"/>
      <c r="X170" s="47"/>
      <c r="Y170" s="44" t="s">
        <v>10</v>
      </c>
    </row>
    <row r="171" spans="1:25">
      <c r="A171" s="64"/>
      <c r="C171" s="11"/>
      <c r="D171" s="12">
        <v>1</v>
      </c>
      <c r="E171" s="105" t="str">
        <f>'Department 1 - Q Planning'!X21</f>
        <v>Priority 1</v>
      </c>
      <c r="F171" s="106"/>
      <c r="G171" s="106"/>
      <c r="H171" s="107"/>
      <c r="I171" s="45" t="str">
        <f>'Department 1 - Q Planning'!Y21</f>
        <v>%</v>
      </c>
      <c r="K171" s="11"/>
      <c r="L171" s="12">
        <v>1</v>
      </c>
      <c r="M171" s="105" t="str">
        <f>E171</f>
        <v>Priority 1</v>
      </c>
      <c r="N171" s="106"/>
      <c r="O171" s="106"/>
      <c r="P171" s="107"/>
      <c r="Q171" s="45" t="str">
        <f>I171</f>
        <v>%</v>
      </c>
      <c r="S171" s="11"/>
      <c r="T171" s="12">
        <v>1</v>
      </c>
      <c r="U171" s="105" t="str">
        <f>M171</f>
        <v>Priority 1</v>
      </c>
      <c r="V171" s="106"/>
      <c r="W171" s="106"/>
      <c r="X171" s="107"/>
      <c r="Y171" s="45" t="str">
        <f>Q171</f>
        <v>%</v>
      </c>
    </row>
    <row r="172" spans="1:25">
      <c r="A172" s="64"/>
      <c r="C172" s="13"/>
      <c r="D172" s="14">
        <v>2</v>
      </c>
      <c r="E172" s="105" t="str">
        <f>'Department 1 - Q Planning'!X22</f>
        <v>Priority 2</v>
      </c>
      <c r="F172" s="106"/>
      <c r="G172" s="106"/>
      <c r="H172" s="107"/>
      <c r="I172" s="45" t="str">
        <f>'Department 1 - Q Planning'!Y22</f>
        <v>%</v>
      </c>
      <c r="K172" s="13"/>
      <c r="L172" s="14">
        <v>2</v>
      </c>
      <c r="M172" s="34" t="str">
        <f>E172</f>
        <v>Priority 2</v>
      </c>
      <c r="N172" s="32"/>
      <c r="O172" s="32"/>
      <c r="P172" s="33"/>
      <c r="Q172" s="45" t="str">
        <f>I172</f>
        <v>%</v>
      </c>
      <c r="S172" s="13"/>
      <c r="T172" s="14">
        <v>2</v>
      </c>
      <c r="U172" s="34" t="str">
        <f>M172</f>
        <v>Priority 2</v>
      </c>
      <c r="V172" s="32"/>
      <c r="W172" s="32"/>
      <c r="X172" s="33"/>
      <c r="Y172" s="45" t="str">
        <f>Q172</f>
        <v>%</v>
      </c>
    </row>
    <row r="173" spans="1:25">
      <c r="A173" s="64"/>
      <c r="C173" s="13"/>
      <c r="D173" s="14">
        <v>3</v>
      </c>
      <c r="E173" s="105" t="str">
        <f>'Department 1 - Q Planning'!X23</f>
        <v>Priority 3</v>
      </c>
      <c r="F173" s="106"/>
      <c r="G173" s="106"/>
      <c r="H173" s="107"/>
      <c r="I173" s="45" t="str">
        <f>'Department 1 - Q Planning'!Y23</f>
        <v>#</v>
      </c>
      <c r="K173" s="13"/>
      <c r="L173" s="14">
        <v>3</v>
      </c>
      <c r="M173" s="34" t="str">
        <f>E173</f>
        <v>Priority 3</v>
      </c>
      <c r="N173" s="32"/>
      <c r="O173" s="32"/>
      <c r="P173" s="33"/>
      <c r="Q173" s="45" t="str">
        <f>I173</f>
        <v>#</v>
      </c>
      <c r="S173" s="13"/>
      <c r="T173" s="14">
        <v>3</v>
      </c>
      <c r="U173" s="34" t="str">
        <f>M173</f>
        <v>Priority 3</v>
      </c>
      <c r="V173" s="32"/>
      <c r="W173" s="32"/>
      <c r="X173" s="33"/>
      <c r="Y173" s="45" t="str">
        <f>Q173</f>
        <v>#</v>
      </c>
    </row>
    <row r="174" spans="1:25">
      <c r="A174" s="63"/>
      <c r="C174" s="13"/>
      <c r="D174" s="14">
        <v>4</v>
      </c>
      <c r="E174" s="105" t="str">
        <f>'Department 1 - Q Planning'!X24</f>
        <v>Priority 4</v>
      </c>
      <c r="F174" s="106"/>
      <c r="G174" s="106"/>
      <c r="H174" s="107"/>
      <c r="I174" s="45" t="str">
        <f>'Department 1 - Q Planning'!Y24</f>
        <v>#</v>
      </c>
      <c r="K174" s="13"/>
      <c r="L174" s="14">
        <v>4</v>
      </c>
      <c r="M174" s="34" t="str">
        <f>E174</f>
        <v>Priority 4</v>
      </c>
      <c r="N174" s="32"/>
      <c r="O174" s="32"/>
      <c r="P174" s="33"/>
      <c r="Q174" s="45" t="str">
        <f>I174</f>
        <v>#</v>
      </c>
      <c r="S174" s="13"/>
      <c r="T174" s="14">
        <v>4</v>
      </c>
      <c r="U174" s="34" t="str">
        <f>M174</f>
        <v>Priority 4</v>
      </c>
      <c r="V174" s="32"/>
      <c r="W174" s="32"/>
      <c r="X174" s="33"/>
      <c r="Y174" s="45" t="str">
        <f>Q174</f>
        <v>#</v>
      </c>
    </row>
    <row r="175" spans="1:25">
      <c r="A175" s="64"/>
      <c r="C175" s="13"/>
      <c r="D175" s="14">
        <v>5</v>
      </c>
      <c r="E175" s="105" t="str">
        <f>'Department 1 - Q Planning'!X25</f>
        <v>Priority 5</v>
      </c>
      <c r="F175" s="106"/>
      <c r="G175" s="106"/>
      <c r="H175" s="107"/>
      <c r="I175" s="45" t="str">
        <f>'Department 1 - Q Planning'!Y25</f>
        <v>%</v>
      </c>
      <c r="K175" s="13"/>
      <c r="L175" s="14">
        <v>5</v>
      </c>
      <c r="M175" s="34" t="str">
        <f>E175</f>
        <v>Priority 5</v>
      </c>
      <c r="N175" s="32"/>
      <c r="O175" s="32"/>
      <c r="P175" s="33"/>
      <c r="Q175" s="45" t="str">
        <f>I175</f>
        <v>%</v>
      </c>
      <c r="S175" s="13"/>
      <c r="T175" s="14">
        <v>5</v>
      </c>
      <c r="U175" s="34" t="str">
        <f>M175</f>
        <v>Priority 5</v>
      </c>
      <c r="V175" s="32"/>
      <c r="W175" s="32"/>
      <c r="X175" s="33"/>
      <c r="Y175" s="45" t="str">
        <f>Q175</f>
        <v>%</v>
      </c>
    </row>
    <row r="176" spans="1:25" ht="17.100000000000001" customHeight="1">
      <c r="A176" s="64"/>
      <c r="C176" s="74"/>
      <c r="D176" s="75"/>
      <c r="E176" s="75" t="s">
        <v>156</v>
      </c>
      <c r="F176" s="75"/>
      <c r="G176" s="75"/>
      <c r="H176" s="75"/>
      <c r="I176" s="76"/>
      <c r="K176" s="74"/>
      <c r="L176" s="75"/>
      <c r="M176" s="75" t="s">
        <v>156</v>
      </c>
      <c r="N176" s="75"/>
      <c r="O176" s="75"/>
      <c r="P176" s="75"/>
      <c r="Q176" s="76"/>
      <c r="S176" s="74"/>
      <c r="T176" s="75"/>
      <c r="U176" s="75" t="s">
        <v>156</v>
      </c>
      <c r="V176" s="75"/>
      <c r="W176" s="75"/>
      <c r="X176" s="75"/>
      <c r="Y176" s="76"/>
    </row>
    <row r="177" spans="1:25">
      <c r="A177" s="64"/>
      <c r="C177" s="78" t="s">
        <v>157</v>
      </c>
      <c r="D177" s="79" t="s">
        <v>151</v>
      </c>
      <c r="E177" s="79">
        <v>47</v>
      </c>
      <c r="F177" s="79" t="s">
        <v>158</v>
      </c>
      <c r="G177" s="79" t="s">
        <v>159</v>
      </c>
      <c r="H177" s="79" t="s">
        <v>160</v>
      </c>
      <c r="I177" s="80" t="s">
        <v>161</v>
      </c>
      <c r="K177" s="78" t="s">
        <v>157</v>
      </c>
      <c r="L177" s="79" t="s">
        <v>151</v>
      </c>
      <c r="M177" s="79">
        <f>E177+1</f>
        <v>48</v>
      </c>
      <c r="N177" s="79" t="s">
        <v>158</v>
      </c>
      <c r="O177" s="79" t="s">
        <v>159</v>
      </c>
      <c r="P177" s="79" t="s">
        <v>160</v>
      </c>
      <c r="Q177" s="80" t="s">
        <v>161</v>
      </c>
      <c r="S177" s="78" t="s">
        <v>157</v>
      </c>
      <c r="T177" s="79" t="s">
        <v>151</v>
      </c>
      <c r="U177" s="79">
        <f>M177+1</f>
        <v>49</v>
      </c>
      <c r="V177" s="79" t="s">
        <v>158</v>
      </c>
      <c r="W177" s="79" t="s">
        <v>159</v>
      </c>
      <c r="X177" s="79" t="s">
        <v>160</v>
      </c>
      <c r="Y177" s="80" t="s">
        <v>161</v>
      </c>
    </row>
    <row r="178" spans="1:25">
      <c r="A178" s="64"/>
      <c r="C178" s="15"/>
      <c r="D178" s="16">
        <v>1</v>
      </c>
      <c r="E178" s="77"/>
      <c r="F178" s="18"/>
      <c r="G178" s="19"/>
      <c r="H178" s="19"/>
      <c r="I178" s="112"/>
      <c r="K178" s="15"/>
      <c r="L178" s="16">
        <v>1</v>
      </c>
      <c r="M178" s="77"/>
      <c r="N178" s="18"/>
      <c r="O178" s="19"/>
      <c r="P178" s="19"/>
      <c r="Q178" s="112"/>
      <c r="S178" s="15"/>
      <c r="T178" s="16">
        <v>1</v>
      </c>
      <c r="U178" s="77"/>
      <c r="V178" s="18"/>
      <c r="W178" s="19"/>
      <c r="X178" s="19"/>
      <c r="Y178" s="112"/>
    </row>
    <row r="179" spans="1:25">
      <c r="A179" s="64"/>
      <c r="C179" s="20"/>
      <c r="D179" s="21">
        <v>2</v>
      </c>
      <c r="E179" s="17"/>
      <c r="F179" s="18"/>
      <c r="G179" s="19"/>
      <c r="H179" s="19"/>
      <c r="I179" s="113"/>
      <c r="K179" s="20"/>
      <c r="L179" s="21">
        <v>2</v>
      </c>
      <c r="M179" s="17"/>
      <c r="N179" s="18"/>
      <c r="O179" s="19"/>
      <c r="P179" s="19"/>
      <c r="Q179" s="113"/>
      <c r="S179" s="20"/>
      <c r="T179" s="21">
        <v>2</v>
      </c>
      <c r="U179" s="17"/>
      <c r="V179" s="18"/>
      <c r="W179" s="19"/>
      <c r="X179" s="19"/>
      <c r="Y179" s="113"/>
    </row>
    <row r="180" spans="1:25">
      <c r="A180" s="64"/>
      <c r="C180" s="20"/>
      <c r="D180" s="21">
        <v>3</v>
      </c>
      <c r="E180" s="22"/>
      <c r="F180" s="23"/>
      <c r="G180" s="19"/>
      <c r="H180" s="19"/>
      <c r="I180" s="113"/>
      <c r="K180" s="20"/>
      <c r="L180" s="21">
        <v>3</v>
      </c>
      <c r="M180" s="22"/>
      <c r="N180" s="23"/>
      <c r="O180" s="19"/>
      <c r="P180" s="19"/>
      <c r="Q180" s="113"/>
      <c r="S180" s="20"/>
      <c r="T180" s="21">
        <v>3</v>
      </c>
      <c r="U180" s="22"/>
      <c r="V180" s="23"/>
      <c r="W180" s="19"/>
      <c r="X180" s="19"/>
      <c r="Y180" s="113"/>
    </row>
    <row r="181" spans="1:25">
      <c r="A181" s="64"/>
      <c r="C181" s="20"/>
      <c r="D181" s="21">
        <v>4</v>
      </c>
      <c r="E181" s="17"/>
      <c r="F181" s="23"/>
      <c r="G181" s="19"/>
      <c r="H181" s="19"/>
      <c r="I181" s="113"/>
      <c r="K181" s="20"/>
      <c r="L181" s="21">
        <v>4</v>
      </c>
      <c r="M181" s="17"/>
      <c r="N181" s="23"/>
      <c r="O181" s="19"/>
      <c r="P181" s="19"/>
      <c r="Q181" s="113"/>
      <c r="S181" s="20"/>
      <c r="T181" s="21">
        <v>4</v>
      </c>
      <c r="U181" s="17"/>
      <c r="V181" s="23"/>
      <c r="W181" s="19"/>
      <c r="X181" s="19"/>
      <c r="Y181" s="113"/>
    </row>
    <row r="182" spans="1:25">
      <c r="A182" s="64"/>
      <c r="C182" s="20"/>
      <c r="D182" s="21">
        <v>5</v>
      </c>
      <c r="E182" s="24"/>
      <c r="F182" s="23"/>
      <c r="G182" s="19"/>
      <c r="H182" s="19"/>
      <c r="I182" s="113"/>
      <c r="K182" s="20"/>
      <c r="L182" s="21">
        <v>5</v>
      </c>
      <c r="M182" s="24"/>
      <c r="N182" s="23"/>
      <c r="O182" s="19"/>
      <c r="P182" s="19"/>
      <c r="Q182" s="113"/>
      <c r="S182" s="20"/>
      <c r="T182" s="21">
        <v>5</v>
      </c>
      <c r="U182" s="24"/>
      <c r="V182" s="23"/>
      <c r="W182" s="19"/>
      <c r="X182" s="19"/>
      <c r="Y182" s="113"/>
    </row>
    <row r="183" spans="1:25">
      <c r="A183" s="64"/>
      <c r="C183" s="20"/>
      <c r="D183" s="21">
        <v>6</v>
      </c>
      <c r="E183" s="17"/>
      <c r="F183" s="23"/>
      <c r="G183" s="19"/>
      <c r="H183" s="19"/>
      <c r="I183" s="113"/>
      <c r="K183" s="20"/>
      <c r="L183" s="21">
        <v>6</v>
      </c>
      <c r="M183" s="17"/>
      <c r="N183" s="23"/>
      <c r="O183" s="19"/>
      <c r="P183" s="19"/>
      <c r="Q183" s="113"/>
      <c r="S183" s="20"/>
      <c r="T183" s="21">
        <v>6</v>
      </c>
      <c r="U183" s="17"/>
      <c r="V183" s="23"/>
      <c r="W183" s="19"/>
      <c r="X183" s="19"/>
      <c r="Y183" s="113"/>
    </row>
    <row r="184" spans="1:25">
      <c r="A184" s="64"/>
      <c r="C184" s="39"/>
      <c r="D184" s="40" t="s">
        <v>167</v>
      </c>
      <c r="E184" s="41" t="s">
        <v>168</v>
      </c>
      <c r="F184" s="41" t="s">
        <v>169</v>
      </c>
      <c r="G184" s="41" t="s">
        <v>159</v>
      </c>
      <c r="H184" s="41" t="s">
        <v>160</v>
      </c>
      <c r="I184" s="42" t="s">
        <v>170</v>
      </c>
      <c r="K184" s="39"/>
      <c r="L184" s="40" t="s">
        <v>167</v>
      </c>
      <c r="M184" s="41" t="s">
        <v>168</v>
      </c>
      <c r="N184" s="41" t="s">
        <v>169</v>
      </c>
      <c r="O184" s="41" t="s">
        <v>159</v>
      </c>
      <c r="P184" s="41" t="s">
        <v>160</v>
      </c>
      <c r="Q184" s="42" t="s">
        <v>170</v>
      </c>
      <c r="S184" s="39"/>
      <c r="T184" s="40" t="s">
        <v>167</v>
      </c>
      <c r="U184" s="41" t="s">
        <v>168</v>
      </c>
      <c r="V184" s="41" t="s">
        <v>169</v>
      </c>
      <c r="W184" s="41" t="s">
        <v>159</v>
      </c>
      <c r="X184" s="41" t="s">
        <v>160</v>
      </c>
      <c r="Y184" s="42" t="s">
        <v>170</v>
      </c>
    </row>
    <row r="185" spans="1:25">
      <c r="A185" s="64"/>
      <c r="C185" s="109" t="s">
        <v>171</v>
      </c>
      <c r="D185" s="25"/>
      <c r="E185" s="26"/>
      <c r="F185" s="27"/>
      <c r="G185" s="19"/>
      <c r="H185" s="19"/>
      <c r="I185" s="108"/>
      <c r="K185" s="109" t="s">
        <v>171</v>
      </c>
      <c r="L185" s="25"/>
      <c r="M185" s="26"/>
      <c r="N185" s="27"/>
      <c r="O185" s="19"/>
      <c r="P185" s="19"/>
      <c r="Q185" s="108"/>
      <c r="S185" s="109" t="s">
        <v>171</v>
      </c>
      <c r="T185" s="25"/>
      <c r="U185" s="26"/>
      <c r="V185" s="27"/>
      <c r="W185" s="19"/>
      <c r="X185" s="19"/>
      <c r="Y185" s="108"/>
    </row>
    <row r="186" spans="1:25">
      <c r="A186" s="64"/>
      <c r="C186" s="109"/>
      <c r="D186" s="25"/>
      <c r="E186" s="26"/>
      <c r="F186" s="28"/>
      <c r="G186" s="19"/>
      <c r="H186" s="19"/>
      <c r="I186" s="108"/>
      <c r="K186" s="109"/>
      <c r="L186" s="25"/>
      <c r="M186" s="26"/>
      <c r="N186" s="28"/>
      <c r="O186" s="19"/>
      <c r="P186" s="19"/>
      <c r="Q186" s="108"/>
      <c r="S186" s="109"/>
      <c r="T186" s="25"/>
      <c r="U186" s="26"/>
      <c r="V186" s="28"/>
      <c r="W186" s="19"/>
      <c r="X186" s="19"/>
      <c r="Y186" s="108"/>
    </row>
    <row r="187" spans="1:25">
      <c r="A187" s="64"/>
      <c r="C187" s="109"/>
      <c r="D187" s="25"/>
      <c r="E187" s="26"/>
      <c r="F187" s="28"/>
      <c r="G187" s="19"/>
      <c r="H187" s="19"/>
      <c r="I187" s="108"/>
      <c r="K187" s="109"/>
      <c r="L187" s="25"/>
      <c r="M187" s="26"/>
      <c r="N187" s="28"/>
      <c r="O187" s="19"/>
      <c r="P187" s="19"/>
      <c r="Q187" s="108"/>
      <c r="S187" s="109"/>
      <c r="T187" s="25"/>
      <c r="U187" s="26"/>
      <c r="V187" s="28"/>
      <c r="W187" s="19"/>
      <c r="X187" s="19"/>
      <c r="Y187" s="108"/>
    </row>
    <row r="188" spans="1:25">
      <c r="A188" s="64"/>
      <c r="C188" s="109" t="s">
        <v>173</v>
      </c>
      <c r="D188" s="25"/>
      <c r="E188" s="26"/>
      <c r="F188" s="28"/>
      <c r="G188" s="19"/>
      <c r="H188" s="19"/>
      <c r="I188" s="108"/>
      <c r="K188" s="109" t="s">
        <v>173</v>
      </c>
      <c r="L188" s="25"/>
      <c r="M188" s="26"/>
      <c r="N188" s="28"/>
      <c r="O188" s="19"/>
      <c r="P188" s="19"/>
      <c r="Q188" s="108"/>
      <c r="S188" s="109" t="s">
        <v>173</v>
      </c>
      <c r="T188" s="25"/>
      <c r="U188" s="26"/>
      <c r="V188" s="28"/>
      <c r="W188" s="19"/>
      <c r="X188" s="19"/>
      <c r="Y188" s="108"/>
    </row>
    <row r="189" spans="1:25">
      <c r="A189" s="64"/>
      <c r="C189" s="109"/>
      <c r="D189" s="25"/>
      <c r="E189" s="26"/>
      <c r="F189" s="28"/>
      <c r="G189" s="19"/>
      <c r="H189" s="19"/>
      <c r="I189" s="108"/>
      <c r="K189" s="109"/>
      <c r="L189" s="25"/>
      <c r="M189" s="26"/>
      <c r="N189" s="28"/>
      <c r="O189" s="19"/>
      <c r="P189" s="19"/>
      <c r="Q189" s="108"/>
      <c r="S189" s="109"/>
      <c r="T189" s="25"/>
      <c r="U189" s="26"/>
      <c r="V189" s="28"/>
      <c r="W189" s="19"/>
      <c r="X189" s="19"/>
      <c r="Y189" s="108"/>
    </row>
    <row r="190" spans="1:25">
      <c r="A190" s="64"/>
      <c r="C190" s="109"/>
      <c r="D190" s="25"/>
      <c r="E190" s="26"/>
      <c r="F190" s="28"/>
      <c r="G190" s="19"/>
      <c r="H190" s="19"/>
      <c r="I190" s="108"/>
      <c r="K190" s="109"/>
      <c r="L190" s="25"/>
      <c r="M190" s="26"/>
      <c r="N190" s="28"/>
      <c r="O190" s="19"/>
      <c r="P190" s="19"/>
      <c r="Q190" s="108"/>
      <c r="S190" s="109"/>
      <c r="T190" s="25"/>
      <c r="U190" s="26"/>
      <c r="V190" s="28"/>
      <c r="W190" s="19"/>
      <c r="X190" s="19"/>
      <c r="Y190" s="108"/>
    </row>
    <row r="191" spans="1:25">
      <c r="A191" s="64"/>
      <c r="C191" s="109" t="s">
        <v>174</v>
      </c>
      <c r="D191" s="25"/>
      <c r="E191" s="26"/>
      <c r="F191" s="28"/>
      <c r="G191" s="19"/>
      <c r="H191" s="19"/>
      <c r="I191" s="108"/>
      <c r="K191" s="109" t="s">
        <v>174</v>
      </c>
      <c r="L191" s="25"/>
      <c r="M191" s="26"/>
      <c r="N191" s="28"/>
      <c r="O191" s="19"/>
      <c r="P191" s="19"/>
      <c r="Q191" s="108"/>
      <c r="S191" s="109" t="s">
        <v>174</v>
      </c>
      <c r="T191" s="25"/>
      <c r="U191" s="26"/>
      <c r="V191" s="28"/>
      <c r="W191" s="19"/>
      <c r="X191" s="19"/>
      <c r="Y191" s="108"/>
    </row>
    <row r="192" spans="1:25">
      <c r="A192" s="64"/>
      <c r="C192" s="109"/>
      <c r="D192" s="25"/>
      <c r="E192" s="26"/>
      <c r="F192" s="28"/>
      <c r="G192" s="19"/>
      <c r="H192" s="19"/>
      <c r="I192" s="108"/>
      <c r="K192" s="109"/>
      <c r="L192" s="25"/>
      <c r="M192" s="26"/>
      <c r="N192" s="28"/>
      <c r="O192" s="19"/>
      <c r="P192" s="19"/>
      <c r="Q192" s="108"/>
      <c r="S192" s="109"/>
      <c r="T192" s="25"/>
      <c r="U192" s="26"/>
      <c r="V192" s="28"/>
      <c r="W192" s="19"/>
      <c r="X192" s="19"/>
      <c r="Y192" s="108"/>
    </row>
    <row r="193" spans="1:25">
      <c r="A193" s="64"/>
      <c r="C193" s="109"/>
      <c r="D193" s="25"/>
      <c r="E193" s="26"/>
      <c r="F193" s="28"/>
      <c r="G193" s="19"/>
      <c r="H193" s="19"/>
      <c r="I193" s="108"/>
      <c r="K193" s="109"/>
      <c r="L193" s="25"/>
      <c r="M193" s="26"/>
      <c r="N193" s="28"/>
      <c r="O193" s="19"/>
      <c r="P193" s="19"/>
      <c r="Q193" s="108"/>
      <c r="S193" s="109"/>
      <c r="T193" s="25"/>
      <c r="U193" s="26"/>
      <c r="V193" s="28"/>
      <c r="W193" s="19"/>
      <c r="X193" s="19"/>
      <c r="Y193" s="108"/>
    </row>
    <row r="194" spans="1:25">
      <c r="A194" s="64"/>
      <c r="C194" s="109" t="s">
        <v>173</v>
      </c>
      <c r="D194" s="25"/>
      <c r="E194" s="26"/>
      <c r="F194" s="28"/>
      <c r="G194" s="19"/>
      <c r="H194" s="19"/>
      <c r="I194" s="108"/>
      <c r="K194" s="109" t="s">
        <v>173</v>
      </c>
      <c r="L194" s="25"/>
      <c r="M194" s="26"/>
      <c r="N194" s="28"/>
      <c r="O194" s="19"/>
      <c r="P194" s="19"/>
      <c r="Q194" s="108"/>
      <c r="S194" s="109" t="s">
        <v>173</v>
      </c>
      <c r="T194" s="25"/>
      <c r="U194" s="26"/>
      <c r="V194" s="28"/>
      <c r="W194" s="19"/>
      <c r="X194" s="19"/>
      <c r="Y194" s="108"/>
    </row>
    <row r="195" spans="1:25">
      <c r="A195" s="64"/>
      <c r="C195" s="109"/>
      <c r="D195" s="25"/>
      <c r="E195" s="26"/>
      <c r="F195" s="28"/>
      <c r="G195" s="19"/>
      <c r="H195" s="19"/>
      <c r="I195" s="108"/>
      <c r="K195" s="109"/>
      <c r="L195" s="25"/>
      <c r="M195" s="26"/>
      <c r="N195" s="28"/>
      <c r="O195" s="19"/>
      <c r="P195" s="19"/>
      <c r="Q195" s="108"/>
      <c r="S195" s="109"/>
      <c r="T195" s="25"/>
      <c r="U195" s="26"/>
      <c r="V195" s="28"/>
      <c r="W195" s="19"/>
      <c r="X195" s="19"/>
      <c r="Y195" s="108"/>
    </row>
    <row r="196" spans="1:25">
      <c r="A196" s="64"/>
      <c r="C196" s="109"/>
      <c r="D196" s="25"/>
      <c r="E196" s="26"/>
      <c r="F196" s="28"/>
      <c r="G196" s="19"/>
      <c r="H196" s="19"/>
      <c r="I196" s="108"/>
      <c r="K196" s="109"/>
      <c r="L196" s="25"/>
      <c r="M196" s="26"/>
      <c r="N196" s="28"/>
      <c r="O196" s="19"/>
      <c r="P196" s="19"/>
      <c r="Q196" s="108"/>
      <c r="S196" s="109"/>
      <c r="T196" s="25"/>
      <c r="U196" s="26"/>
      <c r="V196" s="28"/>
      <c r="W196" s="19"/>
      <c r="X196" s="19"/>
      <c r="Y196" s="108"/>
    </row>
    <row r="197" spans="1:25">
      <c r="A197" s="64"/>
      <c r="C197" s="109" t="s">
        <v>175</v>
      </c>
      <c r="D197" s="25"/>
      <c r="E197" s="26"/>
      <c r="F197" s="28"/>
      <c r="G197" s="19"/>
      <c r="H197" s="19"/>
      <c r="I197" s="108"/>
      <c r="K197" s="109" t="s">
        <v>175</v>
      </c>
      <c r="L197" s="25"/>
      <c r="M197" s="26"/>
      <c r="N197" s="28"/>
      <c r="O197" s="19"/>
      <c r="P197" s="19"/>
      <c r="Q197" s="108"/>
      <c r="S197" s="109" t="s">
        <v>175</v>
      </c>
      <c r="T197" s="25"/>
      <c r="U197" s="26"/>
      <c r="V197" s="28"/>
      <c r="W197" s="19"/>
      <c r="X197" s="19"/>
      <c r="Y197" s="108"/>
    </row>
    <row r="198" spans="1:25">
      <c r="A198" s="64"/>
      <c r="C198" s="109"/>
      <c r="D198" s="25"/>
      <c r="E198" s="26"/>
      <c r="F198" s="28"/>
      <c r="G198" s="19"/>
      <c r="H198" s="19"/>
      <c r="I198" s="108"/>
      <c r="K198" s="109"/>
      <c r="L198" s="25"/>
      <c r="M198" s="26"/>
      <c r="N198" s="28"/>
      <c r="O198" s="19"/>
      <c r="P198" s="19"/>
      <c r="Q198" s="108"/>
      <c r="S198" s="109"/>
      <c r="T198" s="25"/>
      <c r="U198" s="26"/>
      <c r="V198" s="28"/>
      <c r="W198" s="19"/>
      <c r="X198" s="19"/>
      <c r="Y198" s="108"/>
    </row>
    <row r="199" spans="1:25">
      <c r="A199" s="64"/>
      <c r="C199" s="110"/>
      <c r="D199" s="25"/>
      <c r="E199" s="26"/>
      <c r="F199" s="28"/>
      <c r="G199" s="19"/>
      <c r="H199" s="19"/>
      <c r="I199" s="111"/>
      <c r="K199" s="110"/>
      <c r="L199" s="25"/>
      <c r="M199" s="26"/>
      <c r="N199" s="28"/>
      <c r="O199" s="19"/>
      <c r="P199" s="19"/>
      <c r="Q199" s="111"/>
      <c r="S199" s="110"/>
      <c r="T199" s="25"/>
      <c r="U199" s="26"/>
      <c r="V199" s="28"/>
      <c r="W199" s="19"/>
      <c r="X199" s="19"/>
      <c r="Y199" s="111"/>
    </row>
    <row r="200" spans="1:25">
      <c r="A200" s="64"/>
    </row>
    <row r="201" spans="1:25">
      <c r="A201" s="64"/>
    </row>
    <row r="202" spans="1:25">
      <c r="A202" s="64"/>
    </row>
    <row r="203" spans="1:25">
      <c r="A203" s="64"/>
    </row>
    <row r="204" spans="1:25">
      <c r="A204" s="64"/>
    </row>
    <row r="205" spans="1:25">
      <c r="A205" s="64"/>
    </row>
    <row r="206" spans="1:25">
      <c r="A206" s="64"/>
    </row>
    <row r="207" spans="1:25">
      <c r="A207" s="64"/>
    </row>
    <row r="208" spans="1:25">
      <c r="A208" s="64"/>
    </row>
    <row r="209" spans="1:1">
      <c r="A209" s="64"/>
    </row>
    <row r="210" spans="1:1">
      <c r="A210" s="64"/>
    </row>
    <row r="211" spans="1:1">
      <c r="A211" s="64"/>
    </row>
    <row r="212" spans="1:1">
      <c r="A212" s="64"/>
    </row>
    <row r="213" spans="1:1">
      <c r="A213" s="64"/>
    </row>
    <row r="214" spans="1:1">
      <c r="A214" s="64"/>
    </row>
    <row r="215" spans="1:1">
      <c r="A215" s="64"/>
    </row>
    <row r="216" spans="1:1">
      <c r="A216" s="64"/>
    </row>
    <row r="217" spans="1:1">
      <c r="A217" s="64"/>
    </row>
    <row r="218" spans="1:1">
      <c r="A218" s="64"/>
    </row>
    <row r="219" spans="1:1">
      <c r="A219" s="64"/>
    </row>
    <row r="220" spans="1:1">
      <c r="A220" s="64"/>
    </row>
    <row r="221" spans="1:1">
      <c r="A221" s="64"/>
    </row>
    <row r="222" spans="1:1">
      <c r="A222" s="64"/>
    </row>
    <row r="223" spans="1:1">
      <c r="A223" s="64"/>
    </row>
    <row r="224" spans="1:1">
      <c r="A224" s="64"/>
    </row>
    <row r="225" spans="1:1">
      <c r="A225" s="64"/>
    </row>
    <row r="226" spans="1:1">
      <c r="A226" s="64"/>
    </row>
    <row r="227" spans="1:1">
      <c r="A227" s="64"/>
    </row>
    <row r="228" spans="1:1">
      <c r="A228" s="64"/>
    </row>
    <row r="229" spans="1:1">
      <c r="A229" s="64"/>
    </row>
    <row r="230" spans="1:1">
      <c r="A230" s="64"/>
    </row>
    <row r="231" spans="1:1">
      <c r="A231" s="64"/>
    </row>
    <row r="232" spans="1:1">
      <c r="A232" s="64"/>
    </row>
    <row r="233" spans="1:1">
      <c r="A233" s="64"/>
    </row>
    <row r="234" spans="1:1">
      <c r="A234" s="64"/>
    </row>
    <row r="235" spans="1:1">
      <c r="A235" s="64"/>
    </row>
    <row r="236" spans="1:1">
      <c r="A236" s="64"/>
    </row>
    <row r="237" spans="1:1">
      <c r="A237" s="64"/>
    </row>
    <row r="238" spans="1:1">
      <c r="A238" s="64"/>
    </row>
    <row r="239" spans="1:1">
      <c r="A239" s="64"/>
    </row>
    <row r="240" spans="1:1">
      <c r="A240" s="64"/>
    </row>
    <row r="241" spans="1:1">
      <c r="A241" s="64"/>
    </row>
    <row r="242" spans="1:1">
      <c r="A242" s="64"/>
    </row>
    <row r="243" spans="1:1">
      <c r="A243" s="64"/>
    </row>
    <row r="244" spans="1:1">
      <c r="A244" s="64"/>
    </row>
    <row r="245" spans="1:1">
      <c r="A245" s="64"/>
    </row>
    <row r="246" spans="1:1">
      <c r="A246" s="64"/>
    </row>
    <row r="247" spans="1:1">
      <c r="A247" s="64"/>
    </row>
    <row r="248" spans="1:1">
      <c r="A248" s="64"/>
    </row>
    <row r="249" spans="1:1">
      <c r="A249" s="64"/>
    </row>
    <row r="250" spans="1:1">
      <c r="A250" s="64"/>
    </row>
    <row r="251" spans="1:1">
      <c r="A251" s="64"/>
    </row>
    <row r="252" spans="1:1">
      <c r="A252" s="64"/>
    </row>
    <row r="253" spans="1:1">
      <c r="A253" s="64"/>
    </row>
    <row r="254" spans="1:1">
      <c r="A254" s="64"/>
    </row>
    <row r="255" spans="1:1">
      <c r="A255" s="64"/>
    </row>
    <row r="256" spans="1:1">
      <c r="A256" s="64"/>
    </row>
    <row r="257" spans="1:1">
      <c r="A257" s="64"/>
    </row>
    <row r="258" spans="1:1">
      <c r="A258" s="64"/>
    </row>
    <row r="259" spans="1:1">
      <c r="A259" s="64"/>
    </row>
    <row r="260" spans="1:1">
      <c r="A260" s="64"/>
    </row>
    <row r="261" spans="1:1">
      <c r="A261" s="64"/>
    </row>
    <row r="262" spans="1:1">
      <c r="A262" s="64"/>
    </row>
    <row r="263" spans="1:1">
      <c r="A263" s="64"/>
    </row>
    <row r="264" spans="1:1">
      <c r="A264" s="64"/>
    </row>
    <row r="265" spans="1:1">
      <c r="A265" s="64"/>
    </row>
    <row r="266" spans="1:1">
      <c r="A266" s="64"/>
    </row>
    <row r="267" spans="1:1">
      <c r="A267" s="64"/>
    </row>
    <row r="268" spans="1:1">
      <c r="A268" s="64"/>
    </row>
    <row r="269" spans="1:1">
      <c r="A269" s="64"/>
    </row>
    <row r="270" spans="1:1">
      <c r="A270" s="64"/>
    </row>
    <row r="271" spans="1:1">
      <c r="A271" s="64"/>
    </row>
    <row r="272" spans="1:1">
      <c r="A272" s="64"/>
    </row>
    <row r="273" spans="1:1">
      <c r="A273" s="64"/>
    </row>
    <row r="274" spans="1:1">
      <c r="A274" s="64"/>
    </row>
    <row r="275" spans="1:1">
      <c r="A275" s="64"/>
    </row>
    <row r="276" spans="1:1">
      <c r="A276" s="64"/>
    </row>
    <row r="277" spans="1:1">
      <c r="A277" s="64"/>
    </row>
    <row r="278" spans="1:1">
      <c r="A278" s="64"/>
    </row>
    <row r="279" spans="1:1">
      <c r="A279" s="64"/>
    </row>
    <row r="280" spans="1:1">
      <c r="A280" s="64"/>
    </row>
    <row r="281" spans="1:1">
      <c r="A281" s="64"/>
    </row>
    <row r="282" spans="1:1">
      <c r="A282" s="64"/>
    </row>
    <row r="283" spans="1:1">
      <c r="A283" s="64"/>
    </row>
    <row r="284" spans="1:1">
      <c r="A284" s="64"/>
    </row>
    <row r="285" spans="1:1">
      <c r="A285" s="64"/>
    </row>
    <row r="286" spans="1:1">
      <c r="A286" s="64"/>
    </row>
    <row r="287" spans="1:1">
      <c r="A287" s="64"/>
    </row>
    <row r="288" spans="1:1">
      <c r="A288" s="64"/>
    </row>
    <row r="289" spans="1:1">
      <c r="A289" s="64"/>
    </row>
    <row r="290" spans="1:1">
      <c r="A290" s="64"/>
    </row>
    <row r="291" spans="1:1">
      <c r="A291" s="64"/>
    </row>
    <row r="292" spans="1:1">
      <c r="A292" s="64"/>
    </row>
    <row r="293" spans="1:1">
      <c r="A293" s="64"/>
    </row>
    <row r="294" spans="1:1">
      <c r="A294" s="64"/>
    </row>
    <row r="295" spans="1:1">
      <c r="A295" s="64"/>
    </row>
    <row r="296" spans="1:1">
      <c r="A296" s="64"/>
    </row>
    <row r="297" spans="1:1">
      <c r="A297" s="64"/>
    </row>
    <row r="298" spans="1:1">
      <c r="A298" s="64"/>
    </row>
    <row r="299" spans="1:1">
      <c r="A299" s="64"/>
    </row>
    <row r="300" spans="1:1">
      <c r="A300" s="64"/>
    </row>
    <row r="301" spans="1:1">
      <c r="A301" s="64"/>
    </row>
    <row r="302" spans="1:1">
      <c r="A302" s="64"/>
    </row>
    <row r="303" spans="1:1">
      <c r="A303" s="64"/>
    </row>
    <row r="304" spans="1:1">
      <c r="A304" s="64"/>
    </row>
    <row r="305" spans="1:1">
      <c r="A305" s="64"/>
    </row>
    <row r="306" spans="1:1">
      <c r="A306" s="64"/>
    </row>
    <row r="307" spans="1:1">
      <c r="A307" s="64"/>
    </row>
    <row r="308" spans="1:1">
      <c r="A308" s="64"/>
    </row>
    <row r="309" spans="1:1">
      <c r="A309" s="64"/>
    </row>
    <row r="310" spans="1:1">
      <c r="A310" s="64"/>
    </row>
    <row r="311" spans="1:1">
      <c r="A311" s="64"/>
    </row>
    <row r="312" spans="1:1">
      <c r="A312" s="64"/>
    </row>
    <row r="313" spans="1:1">
      <c r="A313" s="64"/>
    </row>
    <row r="314" spans="1:1">
      <c r="A314" s="64"/>
    </row>
    <row r="315" spans="1:1">
      <c r="A315" s="64"/>
    </row>
    <row r="316" spans="1:1">
      <c r="A316" s="64"/>
    </row>
    <row r="317" spans="1:1">
      <c r="A317" s="64"/>
    </row>
    <row r="318" spans="1:1">
      <c r="A318" s="64"/>
    </row>
    <row r="319" spans="1:1">
      <c r="A319" s="64"/>
    </row>
    <row r="320" spans="1:1">
      <c r="A320" s="64"/>
    </row>
    <row r="321" spans="1:1">
      <c r="A321" s="64"/>
    </row>
    <row r="322" spans="1:1">
      <c r="A322" s="64"/>
    </row>
    <row r="323" spans="1:1">
      <c r="A323" s="64"/>
    </row>
    <row r="324" spans="1:1">
      <c r="A324" s="64"/>
    </row>
    <row r="325" spans="1:1">
      <c r="A325" s="64"/>
    </row>
    <row r="326" spans="1:1">
      <c r="A326" s="64"/>
    </row>
    <row r="327" spans="1:1">
      <c r="A327" s="64"/>
    </row>
    <row r="328" spans="1:1">
      <c r="A328" s="64"/>
    </row>
    <row r="329" spans="1:1">
      <c r="A329" s="64"/>
    </row>
    <row r="330" spans="1:1">
      <c r="A330" s="64"/>
    </row>
    <row r="331" spans="1:1">
      <c r="A331" s="64"/>
    </row>
    <row r="332" spans="1:1">
      <c r="A332" s="64"/>
    </row>
    <row r="333" spans="1:1">
      <c r="A333" s="64"/>
    </row>
    <row r="334" spans="1:1">
      <c r="A334" s="64"/>
    </row>
    <row r="335" spans="1:1">
      <c r="A335" s="64"/>
    </row>
    <row r="336" spans="1:1">
      <c r="A336" s="64"/>
    </row>
    <row r="337" spans="1:1">
      <c r="A337" s="64"/>
    </row>
    <row r="338" spans="1:1">
      <c r="A338" s="64"/>
    </row>
    <row r="339" spans="1:1">
      <c r="A339" s="64"/>
    </row>
    <row r="340" spans="1:1">
      <c r="A340" s="64"/>
    </row>
    <row r="341" spans="1:1">
      <c r="A341" s="64"/>
    </row>
    <row r="342" spans="1:1">
      <c r="A342" s="64"/>
    </row>
    <row r="343" spans="1:1">
      <c r="A343" s="64"/>
    </row>
    <row r="344" spans="1:1">
      <c r="A344" s="64"/>
    </row>
    <row r="345" spans="1:1">
      <c r="A345" s="64"/>
    </row>
    <row r="346" spans="1:1">
      <c r="A346" s="64"/>
    </row>
    <row r="347" spans="1:1">
      <c r="A347" s="64"/>
    </row>
    <row r="348" spans="1:1">
      <c r="A348" s="64"/>
    </row>
    <row r="349" spans="1:1">
      <c r="A349" s="64"/>
    </row>
    <row r="350" spans="1:1">
      <c r="A350" s="64"/>
    </row>
    <row r="351" spans="1:1">
      <c r="A351" s="64"/>
    </row>
    <row r="352" spans="1:1">
      <c r="A352" s="64"/>
    </row>
    <row r="353" spans="1:1">
      <c r="A353" s="64"/>
    </row>
    <row r="354" spans="1:1">
      <c r="A354" s="64"/>
    </row>
    <row r="355" spans="1:1">
      <c r="A355" s="64"/>
    </row>
    <row r="356" spans="1:1">
      <c r="A356" s="64"/>
    </row>
    <row r="357" spans="1:1">
      <c r="A357" s="64"/>
    </row>
    <row r="358" spans="1:1">
      <c r="A358" s="64"/>
    </row>
    <row r="359" spans="1:1">
      <c r="A359" s="64"/>
    </row>
    <row r="360" spans="1:1">
      <c r="A360" s="64"/>
    </row>
    <row r="361" spans="1:1">
      <c r="A361" s="64"/>
    </row>
    <row r="362" spans="1:1">
      <c r="A362" s="64"/>
    </row>
    <row r="363" spans="1:1">
      <c r="A363" s="64"/>
    </row>
    <row r="364" spans="1:1">
      <c r="A364" s="64"/>
    </row>
    <row r="365" spans="1:1">
      <c r="A365" s="64"/>
    </row>
    <row r="366" spans="1:1">
      <c r="A366" s="64"/>
    </row>
    <row r="367" spans="1:1">
      <c r="A367" s="64"/>
    </row>
    <row r="368" spans="1:1">
      <c r="A368" s="64"/>
    </row>
    <row r="369" spans="1:1">
      <c r="A369" s="64"/>
    </row>
    <row r="370" spans="1:1">
      <c r="A370" s="64"/>
    </row>
    <row r="371" spans="1:1">
      <c r="A371" s="64"/>
    </row>
    <row r="372" spans="1:1">
      <c r="A372" s="64"/>
    </row>
    <row r="373" spans="1:1">
      <c r="A373" s="64"/>
    </row>
    <row r="374" spans="1:1">
      <c r="A374" s="64"/>
    </row>
    <row r="375" spans="1:1">
      <c r="A375" s="64"/>
    </row>
    <row r="376" spans="1:1">
      <c r="A376" s="64"/>
    </row>
    <row r="377" spans="1:1">
      <c r="A377" s="64"/>
    </row>
    <row r="378" spans="1:1">
      <c r="A378" s="64"/>
    </row>
    <row r="379" spans="1:1">
      <c r="A379" s="64"/>
    </row>
    <row r="380" spans="1:1">
      <c r="A380" s="64"/>
    </row>
    <row r="381" spans="1:1">
      <c r="A381" s="64"/>
    </row>
    <row r="382" spans="1:1">
      <c r="A382" s="64"/>
    </row>
    <row r="383" spans="1:1">
      <c r="A383" s="64"/>
    </row>
    <row r="384" spans="1:1">
      <c r="A384" s="64"/>
    </row>
    <row r="385" spans="1:1">
      <c r="A385" s="64"/>
    </row>
    <row r="386" spans="1:1">
      <c r="A386" s="64"/>
    </row>
    <row r="387" spans="1:1">
      <c r="A387" s="64"/>
    </row>
    <row r="388" spans="1:1">
      <c r="A388" s="64"/>
    </row>
    <row r="389" spans="1:1">
      <c r="A389" s="64"/>
    </row>
    <row r="390" spans="1:1">
      <c r="A390" s="64"/>
    </row>
    <row r="391" spans="1:1">
      <c r="A391" s="64"/>
    </row>
    <row r="392" spans="1:1">
      <c r="A392" s="64"/>
    </row>
    <row r="393" spans="1:1">
      <c r="A393" s="64"/>
    </row>
    <row r="394" spans="1:1">
      <c r="A394" s="64"/>
    </row>
    <row r="395" spans="1:1">
      <c r="A395" s="64"/>
    </row>
    <row r="396" spans="1:1">
      <c r="A396" s="64"/>
    </row>
    <row r="397" spans="1:1">
      <c r="A397" s="64"/>
    </row>
    <row r="398" spans="1:1">
      <c r="A398" s="64"/>
    </row>
    <row r="399" spans="1:1">
      <c r="A399" s="64"/>
    </row>
    <row r="400" spans="1:1">
      <c r="A400" s="64"/>
    </row>
    <row r="401" spans="1:1">
      <c r="A401" s="64"/>
    </row>
    <row r="402" spans="1:1">
      <c r="A402" s="64"/>
    </row>
    <row r="403" spans="1:1">
      <c r="A403" s="64"/>
    </row>
    <row r="404" spans="1:1">
      <c r="A404" s="64"/>
    </row>
    <row r="405" spans="1:1">
      <c r="A405" s="64"/>
    </row>
    <row r="406" spans="1:1">
      <c r="A406" s="64"/>
    </row>
    <row r="407" spans="1:1">
      <c r="A407" s="64"/>
    </row>
    <row r="408" spans="1:1">
      <c r="A408" s="64"/>
    </row>
    <row r="409" spans="1:1">
      <c r="A409" s="64"/>
    </row>
    <row r="410" spans="1:1">
      <c r="A410" s="64"/>
    </row>
    <row r="411" spans="1:1">
      <c r="A411" s="64"/>
    </row>
    <row r="412" spans="1:1">
      <c r="A412" s="64"/>
    </row>
    <row r="413" spans="1:1">
      <c r="A413" s="64"/>
    </row>
    <row r="414" spans="1:1">
      <c r="A414" s="64"/>
    </row>
    <row r="415" spans="1:1">
      <c r="A415" s="64"/>
    </row>
    <row r="416" spans="1:1">
      <c r="A416" s="64"/>
    </row>
    <row r="417" spans="1:1">
      <c r="A417" s="64"/>
    </row>
    <row r="418" spans="1:1">
      <c r="A418" s="64"/>
    </row>
    <row r="419" spans="1:1">
      <c r="A419" s="64"/>
    </row>
    <row r="420" spans="1:1">
      <c r="A420" s="64"/>
    </row>
    <row r="421" spans="1:1">
      <c r="A421" s="64"/>
    </row>
    <row r="422" spans="1:1">
      <c r="A422" s="64"/>
    </row>
    <row r="423" spans="1:1">
      <c r="A423" s="64"/>
    </row>
    <row r="424" spans="1:1">
      <c r="A424" s="64"/>
    </row>
    <row r="425" spans="1:1">
      <c r="A425" s="64"/>
    </row>
    <row r="426" spans="1:1">
      <c r="A426" s="64"/>
    </row>
    <row r="427" spans="1:1">
      <c r="A427" s="64"/>
    </row>
    <row r="428" spans="1:1">
      <c r="A428" s="64"/>
    </row>
    <row r="429" spans="1:1">
      <c r="A429" s="64"/>
    </row>
    <row r="430" spans="1:1">
      <c r="A430" s="64"/>
    </row>
    <row r="431" spans="1:1">
      <c r="A431" s="64"/>
    </row>
    <row r="432" spans="1:1">
      <c r="A432" s="64"/>
    </row>
    <row r="433" spans="1:1">
      <c r="A433" s="64"/>
    </row>
    <row r="434" spans="1:1">
      <c r="A434" s="64"/>
    </row>
    <row r="435" spans="1:1">
      <c r="A435" s="64"/>
    </row>
    <row r="436" spans="1:1">
      <c r="A436" s="64"/>
    </row>
    <row r="437" spans="1:1">
      <c r="A437" s="64"/>
    </row>
    <row r="438" spans="1:1">
      <c r="A438" s="64"/>
    </row>
    <row r="439" spans="1:1">
      <c r="A439" s="64"/>
    </row>
    <row r="440" spans="1:1">
      <c r="A440" s="64"/>
    </row>
    <row r="441" spans="1:1">
      <c r="A441" s="64"/>
    </row>
    <row r="442" spans="1:1">
      <c r="A442" s="64"/>
    </row>
    <row r="443" spans="1:1">
      <c r="A443" s="64"/>
    </row>
    <row r="444" spans="1:1">
      <c r="A444" s="64"/>
    </row>
    <row r="445" spans="1:1">
      <c r="A445" s="64"/>
    </row>
    <row r="446" spans="1:1">
      <c r="A446" s="64"/>
    </row>
    <row r="447" spans="1:1">
      <c r="A447" s="64"/>
    </row>
    <row r="448" spans="1:1">
      <c r="A448" s="64"/>
    </row>
    <row r="449" spans="1:1">
      <c r="A449" s="64"/>
    </row>
    <row r="450" spans="1:1">
      <c r="A450" s="64"/>
    </row>
    <row r="451" spans="1:1">
      <c r="A451" s="64"/>
    </row>
    <row r="452" spans="1:1">
      <c r="A452" s="64"/>
    </row>
    <row r="453" spans="1:1">
      <c r="A453" s="64"/>
    </row>
    <row r="454" spans="1:1">
      <c r="A454" s="64"/>
    </row>
    <row r="455" spans="1:1">
      <c r="A455" s="64"/>
    </row>
    <row r="456" spans="1:1">
      <c r="A456" s="64"/>
    </row>
    <row r="457" spans="1:1">
      <c r="A457" s="64"/>
    </row>
    <row r="458" spans="1:1">
      <c r="A458" s="64"/>
    </row>
    <row r="459" spans="1:1">
      <c r="A459" s="64"/>
    </row>
    <row r="460" spans="1:1">
      <c r="A460" s="64"/>
    </row>
    <row r="461" spans="1:1">
      <c r="A461" s="64"/>
    </row>
    <row r="462" spans="1:1">
      <c r="A462" s="64"/>
    </row>
    <row r="463" spans="1:1">
      <c r="A463" s="64"/>
    </row>
    <row r="464" spans="1:1">
      <c r="A464" s="64"/>
    </row>
    <row r="465" spans="1:1">
      <c r="A465" s="64"/>
    </row>
    <row r="466" spans="1:1">
      <c r="A466" s="64"/>
    </row>
    <row r="467" spans="1:1">
      <c r="A467" s="64"/>
    </row>
    <row r="468" spans="1:1">
      <c r="A468" s="64"/>
    </row>
    <row r="469" spans="1:1">
      <c r="A469" s="64"/>
    </row>
    <row r="470" spans="1:1">
      <c r="A470" s="64"/>
    </row>
    <row r="471" spans="1:1">
      <c r="A471" s="64"/>
    </row>
    <row r="472" spans="1:1">
      <c r="A472" s="64"/>
    </row>
    <row r="473" spans="1:1">
      <c r="A473" s="64"/>
    </row>
    <row r="474" spans="1:1">
      <c r="A474" s="64"/>
    </row>
    <row r="475" spans="1:1">
      <c r="A475" s="64"/>
    </row>
    <row r="476" spans="1:1">
      <c r="A476" s="64"/>
    </row>
    <row r="477" spans="1:1">
      <c r="A477" s="64"/>
    </row>
    <row r="478" spans="1:1">
      <c r="A478" s="64"/>
    </row>
    <row r="479" spans="1:1">
      <c r="A479" s="64"/>
    </row>
    <row r="480" spans="1:1">
      <c r="A480" s="64"/>
    </row>
    <row r="481" spans="1:1">
      <c r="A481" s="64"/>
    </row>
    <row r="482" spans="1:1">
      <c r="A482" s="64"/>
    </row>
    <row r="483" spans="1:1">
      <c r="A483" s="64"/>
    </row>
    <row r="484" spans="1:1">
      <c r="A484" s="64"/>
    </row>
    <row r="485" spans="1:1">
      <c r="A485" s="64"/>
    </row>
    <row r="486" spans="1:1">
      <c r="A486" s="64"/>
    </row>
    <row r="487" spans="1:1">
      <c r="A487" s="64"/>
    </row>
    <row r="488" spans="1:1">
      <c r="A488" s="64"/>
    </row>
    <row r="489" spans="1:1">
      <c r="A489" s="64"/>
    </row>
    <row r="490" spans="1:1">
      <c r="A490" s="64"/>
    </row>
    <row r="491" spans="1:1">
      <c r="A491" s="64"/>
    </row>
    <row r="492" spans="1:1">
      <c r="A492" s="64"/>
    </row>
    <row r="493" spans="1:1">
      <c r="A493" s="64"/>
    </row>
    <row r="494" spans="1:1">
      <c r="A494" s="64"/>
    </row>
    <row r="495" spans="1:1">
      <c r="A495" s="64"/>
    </row>
    <row r="496" spans="1:1">
      <c r="A496" s="64"/>
    </row>
    <row r="497" spans="1:1">
      <c r="A497" s="64"/>
    </row>
    <row r="498" spans="1:1">
      <c r="A498" s="64"/>
    </row>
    <row r="499" spans="1:1">
      <c r="A499" s="64"/>
    </row>
    <row r="500" spans="1:1">
      <c r="A500" s="64"/>
    </row>
    <row r="501" spans="1:1">
      <c r="A501" s="64"/>
    </row>
    <row r="502" spans="1:1">
      <c r="A502" s="64"/>
    </row>
    <row r="503" spans="1:1">
      <c r="A503" s="64"/>
    </row>
    <row r="504" spans="1:1">
      <c r="A504" s="64"/>
    </row>
    <row r="505" spans="1:1">
      <c r="A505" s="64"/>
    </row>
    <row r="506" spans="1:1">
      <c r="A506" s="64"/>
    </row>
    <row r="507" spans="1:1">
      <c r="A507" s="64"/>
    </row>
    <row r="508" spans="1:1">
      <c r="A508" s="64"/>
    </row>
    <row r="509" spans="1:1">
      <c r="A509" s="64"/>
    </row>
    <row r="510" spans="1:1">
      <c r="A510" s="64"/>
    </row>
    <row r="511" spans="1:1">
      <c r="A511" s="64"/>
    </row>
    <row r="512" spans="1:1">
      <c r="A512" s="64"/>
    </row>
    <row r="513" spans="1:1">
      <c r="A513" s="64"/>
    </row>
    <row r="514" spans="1:1">
      <c r="A514" s="64"/>
    </row>
    <row r="515" spans="1:1">
      <c r="A515" s="64"/>
    </row>
    <row r="516" spans="1:1">
      <c r="A516" s="64"/>
    </row>
    <row r="517" spans="1:1">
      <c r="A517" s="64"/>
    </row>
    <row r="518" spans="1:1">
      <c r="A518" s="64"/>
    </row>
    <row r="519" spans="1:1">
      <c r="A519" s="64"/>
    </row>
    <row r="520" spans="1:1">
      <c r="A520" s="64"/>
    </row>
    <row r="521" spans="1:1">
      <c r="A521" s="64"/>
    </row>
    <row r="522" spans="1:1">
      <c r="A522" s="64"/>
    </row>
    <row r="523" spans="1:1">
      <c r="A523" s="64"/>
    </row>
    <row r="524" spans="1:1">
      <c r="A524" s="64"/>
    </row>
    <row r="525" spans="1:1">
      <c r="A525" s="64"/>
    </row>
    <row r="526" spans="1:1">
      <c r="A526" s="64"/>
    </row>
    <row r="527" spans="1:1">
      <c r="A527" s="64"/>
    </row>
    <row r="528" spans="1:1">
      <c r="A528" s="64"/>
    </row>
    <row r="529" spans="1:1">
      <c r="A529" s="64"/>
    </row>
    <row r="530" spans="1:1">
      <c r="A530" s="64"/>
    </row>
    <row r="531" spans="1:1">
      <c r="A531" s="64"/>
    </row>
    <row r="532" spans="1:1">
      <c r="A532" s="64"/>
    </row>
    <row r="533" spans="1:1">
      <c r="A533" s="64"/>
    </row>
    <row r="534" spans="1:1">
      <c r="A534" s="64"/>
    </row>
    <row r="535" spans="1:1">
      <c r="A535" s="64"/>
    </row>
    <row r="536" spans="1:1">
      <c r="A536" s="64"/>
    </row>
    <row r="537" spans="1:1">
      <c r="A537" s="64"/>
    </row>
    <row r="538" spans="1:1">
      <c r="A538" s="64"/>
    </row>
    <row r="539" spans="1:1">
      <c r="A539" s="64"/>
    </row>
    <row r="540" spans="1:1">
      <c r="A540" s="64"/>
    </row>
    <row r="541" spans="1:1">
      <c r="A541" s="64"/>
    </row>
    <row r="542" spans="1:1">
      <c r="A542" s="64"/>
    </row>
    <row r="543" spans="1:1">
      <c r="A543" s="64"/>
    </row>
    <row r="544" spans="1:1">
      <c r="A544" s="64"/>
    </row>
    <row r="545" spans="1:1">
      <c r="A545" s="64"/>
    </row>
    <row r="546" spans="1:1">
      <c r="A546" s="64"/>
    </row>
    <row r="547" spans="1:1">
      <c r="A547" s="64"/>
    </row>
    <row r="548" spans="1:1">
      <c r="A548" s="64"/>
    </row>
    <row r="549" spans="1:1">
      <c r="A549" s="64"/>
    </row>
    <row r="550" spans="1:1">
      <c r="A550" s="64"/>
    </row>
    <row r="551" spans="1:1">
      <c r="A551" s="64"/>
    </row>
    <row r="552" spans="1:1">
      <c r="A552" s="64"/>
    </row>
    <row r="553" spans="1:1">
      <c r="A553" s="64"/>
    </row>
    <row r="554" spans="1:1">
      <c r="A554" s="64"/>
    </row>
    <row r="555" spans="1:1">
      <c r="A555" s="64"/>
    </row>
    <row r="556" spans="1:1">
      <c r="A556" s="64"/>
    </row>
    <row r="557" spans="1:1">
      <c r="A557" s="64"/>
    </row>
    <row r="558" spans="1:1">
      <c r="A558" s="64"/>
    </row>
    <row r="559" spans="1:1">
      <c r="A559" s="64"/>
    </row>
    <row r="560" spans="1:1">
      <c r="A560" s="64"/>
    </row>
    <row r="561" spans="1:1">
      <c r="A561" s="64"/>
    </row>
    <row r="562" spans="1:1">
      <c r="A562" s="64"/>
    </row>
    <row r="563" spans="1:1">
      <c r="A563" s="64"/>
    </row>
    <row r="564" spans="1:1">
      <c r="A564" s="64"/>
    </row>
    <row r="565" spans="1:1">
      <c r="A565" s="64"/>
    </row>
    <row r="566" spans="1:1">
      <c r="A566" s="64"/>
    </row>
    <row r="567" spans="1:1">
      <c r="A567" s="64"/>
    </row>
    <row r="568" spans="1:1">
      <c r="A568" s="64"/>
    </row>
    <row r="569" spans="1:1">
      <c r="A569" s="64"/>
    </row>
    <row r="570" spans="1:1">
      <c r="A570" s="64"/>
    </row>
    <row r="571" spans="1:1">
      <c r="A571" s="64"/>
    </row>
    <row r="572" spans="1:1">
      <c r="A572" s="64"/>
    </row>
    <row r="573" spans="1:1">
      <c r="A573" s="64"/>
    </row>
    <row r="574" spans="1:1">
      <c r="A574" s="64"/>
    </row>
    <row r="575" spans="1:1">
      <c r="A575" s="64"/>
    </row>
    <row r="576" spans="1:1">
      <c r="A576" s="64"/>
    </row>
    <row r="577" spans="1:1">
      <c r="A577" s="64"/>
    </row>
    <row r="578" spans="1:1">
      <c r="A578" s="64"/>
    </row>
    <row r="579" spans="1:1">
      <c r="A579" s="64"/>
    </row>
    <row r="580" spans="1:1">
      <c r="A580" s="64"/>
    </row>
    <row r="581" spans="1:1">
      <c r="A581" s="64"/>
    </row>
    <row r="582" spans="1:1">
      <c r="A582" s="64"/>
    </row>
    <row r="583" spans="1:1">
      <c r="A583" s="64"/>
    </row>
    <row r="584" spans="1:1">
      <c r="A584" s="64"/>
    </row>
    <row r="585" spans="1:1">
      <c r="A585" s="64"/>
    </row>
    <row r="586" spans="1:1">
      <c r="A586" s="64"/>
    </row>
    <row r="587" spans="1:1">
      <c r="A587" s="64"/>
    </row>
    <row r="588" spans="1:1">
      <c r="A588" s="64"/>
    </row>
    <row r="589" spans="1:1">
      <c r="A589" s="64"/>
    </row>
    <row r="590" spans="1:1">
      <c r="A590" s="64"/>
    </row>
    <row r="591" spans="1:1">
      <c r="A591" s="64"/>
    </row>
    <row r="592" spans="1:1">
      <c r="A592" s="64"/>
    </row>
    <row r="593" spans="1:1">
      <c r="A593" s="64"/>
    </row>
    <row r="594" spans="1:1">
      <c r="A594" s="64"/>
    </row>
    <row r="595" spans="1:1">
      <c r="A595" s="64"/>
    </row>
    <row r="596" spans="1:1">
      <c r="A596" s="64"/>
    </row>
    <row r="597" spans="1:1">
      <c r="A597" s="64"/>
    </row>
    <row r="598" spans="1:1">
      <c r="A598" s="64"/>
    </row>
    <row r="599" spans="1:1">
      <c r="A599" s="64"/>
    </row>
    <row r="600" spans="1:1">
      <c r="A600" s="64"/>
    </row>
    <row r="601" spans="1:1">
      <c r="A601" s="64"/>
    </row>
    <row r="602" spans="1:1">
      <c r="A602" s="64"/>
    </row>
    <row r="603" spans="1:1">
      <c r="A603" s="64"/>
    </row>
    <row r="604" spans="1:1">
      <c r="A604" s="64"/>
    </row>
    <row r="605" spans="1:1">
      <c r="A605" s="64"/>
    </row>
    <row r="606" spans="1:1">
      <c r="A606" s="64"/>
    </row>
    <row r="607" spans="1:1">
      <c r="A607" s="64"/>
    </row>
    <row r="608" spans="1:1">
      <c r="A608" s="64"/>
    </row>
    <row r="609" spans="1:1">
      <c r="A609" s="64"/>
    </row>
    <row r="610" spans="1:1">
      <c r="A610" s="64"/>
    </row>
    <row r="611" spans="1:1">
      <c r="A611" s="64"/>
    </row>
    <row r="612" spans="1:1">
      <c r="A612" s="64"/>
    </row>
    <row r="613" spans="1:1">
      <c r="A613" s="64"/>
    </row>
    <row r="614" spans="1:1">
      <c r="A614" s="64"/>
    </row>
    <row r="615" spans="1:1">
      <c r="A615" s="64"/>
    </row>
    <row r="616" spans="1:1">
      <c r="A616" s="64"/>
    </row>
    <row r="617" spans="1:1">
      <c r="A617" s="64"/>
    </row>
    <row r="618" spans="1:1">
      <c r="A618" s="64"/>
    </row>
    <row r="619" spans="1:1">
      <c r="A619" s="64"/>
    </row>
    <row r="620" spans="1:1">
      <c r="A620" s="64"/>
    </row>
    <row r="621" spans="1:1">
      <c r="A621" s="64"/>
    </row>
    <row r="622" spans="1:1">
      <c r="A622" s="64"/>
    </row>
    <row r="623" spans="1:1">
      <c r="A623" s="64"/>
    </row>
  </sheetData>
  <mergeCells count="250">
    <mergeCell ref="E105:H105"/>
    <mergeCell ref="C86:C88"/>
    <mergeCell ref="C95:C97"/>
    <mergeCell ref="C65:C67"/>
    <mergeCell ref="E76:H76"/>
    <mergeCell ref="C56:C58"/>
    <mergeCell ref="C26:C28"/>
    <mergeCell ref="I26:I28"/>
    <mergeCell ref="C29:C31"/>
    <mergeCell ref="I29:I31"/>
    <mergeCell ref="C32:C34"/>
    <mergeCell ref="I32:I34"/>
    <mergeCell ref="I95:I97"/>
    <mergeCell ref="K4:Q4"/>
    <mergeCell ref="Q13:Q18"/>
    <mergeCell ref="K20:K22"/>
    <mergeCell ref="Q20:Q22"/>
    <mergeCell ref="K23:K25"/>
    <mergeCell ref="Q23:Q25"/>
    <mergeCell ref="M6:P6"/>
    <mergeCell ref="C4:I4"/>
    <mergeCell ref="I13:I18"/>
    <mergeCell ref="C20:C22"/>
    <mergeCell ref="I20:I22"/>
    <mergeCell ref="C23:C25"/>
    <mergeCell ref="I23:I25"/>
    <mergeCell ref="E6:H6"/>
    <mergeCell ref="I79:I84"/>
    <mergeCell ref="Q79:Q84"/>
    <mergeCell ref="E73:H73"/>
    <mergeCell ref="E74:H74"/>
    <mergeCell ref="E75:H75"/>
    <mergeCell ref="I86:I88"/>
    <mergeCell ref="K86:K88"/>
    <mergeCell ref="K26:K28"/>
    <mergeCell ref="Q26:Q28"/>
    <mergeCell ref="K29:K31"/>
    <mergeCell ref="Q29:Q31"/>
    <mergeCell ref="K32:K34"/>
    <mergeCell ref="Q32:Q34"/>
    <mergeCell ref="K56:K58"/>
    <mergeCell ref="C37:I37"/>
    <mergeCell ref="K37:Q37"/>
    <mergeCell ref="E39:H39"/>
    <mergeCell ref="M39:P39"/>
    <mergeCell ref="I46:I51"/>
    <mergeCell ref="Q46:Q51"/>
    <mergeCell ref="C53:C55"/>
    <mergeCell ref="I53:I55"/>
    <mergeCell ref="K53:K55"/>
    <mergeCell ref="Q53:Q55"/>
    <mergeCell ref="I194:I196"/>
    <mergeCell ref="K194:K196"/>
    <mergeCell ref="I185:I187"/>
    <mergeCell ref="I188:I190"/>
    <mergeCell ref="K188:K190"/>
    <mergeCell ref="I164:I166"/>
    <mergeCell ref="K164:K166"/>
    <mergeCell ref="M171:P171"/>
    <mergeCell ref="I152:I154"/>
    <mergeCell ref="K152:K154"/>
    <mergeCell ref="I158:I160"/>
    <mergeCell ref="K158:K160"/>
    <mergeCell ref="M105:P105"/>
    <mergeCell ref="I112:I117"/>
    <mergeCell ref="Q56:Q58"/>
    <mergeCell ref="C59:C61"/>
    <mergeCell ref="I59:I61"/>
    <mergeCell ref="K59:K61"/>
    <mergeCell ref="Q59:Q61"/>
    <mergeCell ref="C62:C64"/>
    <mergeCell ref="I62:I64"/>
    <mergeCell ref="K62:K64"/>
    <mergeCell ref="Q62:Q64"/>
    <mergeCell ref="C92:C94"/>
    <mergeCell ref="I92:I94"/>
    <mergeCell ref="K92:K94"/>
    <mergeCell ref="Q92:Q94"/>
    <mergeCell ref="Q65:Q67"/>
    <mergeCell ref="C70:I70"/>
    <mergeCell ref="K70:Q70"/>
    <mergeCell ref="E72:H72"/>
    <mergeCell ref="M72:P72"/>
    <mergeCell ref="K95:K97"/>
    <mergeCell ref="I65:I67"/>
    <mergeCell ref="K65:K67"/>
    <mergeCell ref="I56:I58"/>
    <mergeCell ref="C131:C133"/>
    <mergeCell ref="I131:I133"/>
    <mergeCell ref="K131:K133"/>
    <mergeCell ref="Q131:Q133"/>
    <mergeCell ref="Q112:Q117"/>
    <mergeCell ref="C119:C121"/>
    <mergeCell ref="I119:I121"/>
    <mergeCell ref="K119:K121"/>
    <mergeCell ref="Q119:Q121"/>
    <mergeCell ref="C122:C124"/>
    <mergeCell ref="I122:I124"/>
    <mergeCell ref="K122:K124"/>
    <mergeCell ref="Q122:Q124"/>
    <mergeCell ref="C125:C127"/>
    <mergeCell ref="I125:I127"/>
    <mergeCell ref="K125:K127"/>
    <mergeCell ref="S4:Y4"/>
    <mergeCell ref="U6:X6"/>
    <mergeCell ref="Y13:Y18"/>
    <mergeCell ref="S20:S22"/>
    <mergeCell ref="Y20:Y22"/>
    <mergeCell ref="S23:S25"/>
    <mergeCell ref="Y23:Y25"/>
    <mergeCell ref="Q125:Q127"/>
    <mergeCell ref="C128:C130"/>
    <mergeCell ref="I128:I130"/>
    <mergeCell ref="K128:K130"/>
    <mergeCell ref="Q128:Q130"/>
    <mergeCell ref="Q95:Q97"/>
    <mergeCell ref="C98:C100"/>
    <mergeCell ref="I98:I100"/>
    <mergeCell ref="K98:K100"/>
    <mergeCell ref="Q98:Q100"/>
    <mergeCell ref="C103:I103"/>
    <mergeCell ref="K103:Q103"/>
    <mergeCell ref="Q86:Q88"/>
    <mergeCell ref="C89:C91"/>
    <mergeCell ref="I89:I91"/>
    <mergeCell ref="K89:K91"/>
    <mergeCell ref="Q89:Q91"/>
    <mergeCell ref="S37:Y37"/>
    <mergeCell ref="U39:X39"/>
    <mergeCell ref="Y46:Y51"/>
    <mergeCell ref="S53:S55"/>
    <mergeCell ref="Y53:Y55"/>
    <mergeCell ref="S56:S58"/>
    <mergeCell ref="Y56:Y58"/>
    <mergeCell ref="S26:S28"/>
    <mergeCell ref="Y26:Y28"/>
    <mergeCell ref="S29:S31"/>
    <mergeCell ref="Y29:Y31"/>
    <mergeCell ref="S32:S34"/>
    <mergeCell ref="Y32:Y34"/>
    <mergeCell ref="S70:Y70"/>
    <mergeCell ref="U72:X72"/>
    <mergeCell ref="Y79:Y84"/>
    <mergeCell ref="S86:S88"/>
    <mergeCell ref="Y86:Y88"/>
    <mergeCell ref="S89:S91"/>
    <mergeCell ref="Y89:Y91"/>
    <mergeCell ref="S59:S61"/>
    <mergeCell ref="Y59:Y61"/>
    <mergeCell ref="S62:S64"/>
    <mergeCell ref="Y62:Y64"/>
    <mergeCell ref="S65:S67"/>
    <mergeCell ref="Y65:Y67"/>
    <mergeCell ref="S103:Y103"/>
    <mergeCell ref="U105:X105"/>
    <mergeCell ref="Y112:Y117"/>
    <mergeCell ref="S119:S121"/>
    <mergeCell ref="Y119:Y121"/>
    <mergeCell ref="S122:S124"/>
    <mergeCell ref="Y122:Y124"/>
    <mergeCell ref="S92:S94"/>
    <mergeCell ref="Y92:Y94"/>
    <mergeCell ref="S95:S97"/>
    <mergeCell ref="Y95:Y97"/>
    <mergeCell ref="S98:S100"/>
    <mergeCell ref="Y98:Y100"/>
    <mergeCell ref="S136:Y136"/>
    <mergeCell ref="E138:H138"/>
    <mergeCell ref="M138:P138"/>
    <mergeCell ref="U138:X138"/>
    <mergeCell ref="I145:I150"/>
    <mergeCell ref="Q145:Q150"/>
    <mergeCell ref="Y145:Y150"/>
    <mergeCell ref="S125:S127"/>
    <mergeCell ref="Y125:Y127"/>
    <mergeCell ref="S128:S130"/>
    <mergeCell ref="Y128:Y130"/>
    <mergeCell ref="S131:S133"/>
    <mergeCell ref="Y131:Y133"/>
    <mergeCell ref="E139:H139"/>
    <mergeCell ref="E140:H140"/>
    <mergeCell ref="E141:H141"/>
    <mergeCell ref="E142:H142"/>
    <mergeCell ref="C136:I136"/>
    <mergeCell ref="K136:Q136"/>
    <mergeCell ref="Q152:Q154"/>
    <mergeCell ref="S152:S154"/>
    <mergeCell ref="Y152:Y154"/>
    <mergeCell ref="C155:C157"/>
    <mergeCell ref="I155:I157"/>
    <mergeCell ref="K155:K157"/>
    <mergeCell ref="Q155:Q157"/>
    <mergeCell ref="S155:S157"/>
    <mergeCell ref="Y155:Y157"/>
    <mergeCell ref="C152:C154"/>
    <mergeCell ref="Q164:Q166"/>
    <mergeCell ref="S164:S166"/>
    <mergeCell ref="Y164:Y166"/>
    <mergeCell ref="C169:I169"/>
    <mergeCell ref="K169:Q169"/>
    <mergeCell ref="S169:Y169"/>
    <mergeCell ref="Q158:Q160"/>
    <mergeCell ref="S158:S160"/>
    <mergeCell ref="Y158:Y160"/>
    <mergeCell ref="C161:C163"/>
    <mergeCell ref="I161:I163"/>
    <mergeCell ref="K161:K163"/>
    <mergeCell ref="Q161:Q163"/>
    <mergeCell ref="S161:S163"/>
    <mergeCell ref="Y161:Y163"/>
    <mergeCell ref="C164:C166"/>
    <mergeCell ref="C158:C160"/>
    <mergeCell ref="U171:X171"/>
    <mergeCell ref="I178:I183"/>
    <mergeCell ref="Q178:Q183"/>
    <mergeCell ref="Y178:Y183"/>
    <mergeCell ref="C185:C187"/>
    <mergeCell ref="K185:K187"/>
    <mergeCell ref="Q185:Q187"/>
    <mergeCell ref="S185:S187"/>
    <mergeCell ref="Y185:Y187"/>
    <mergeCell ref="E172:H172"/>
    <mergeCell ref="E171:H171"/>
    <mergeCell ref="E173:H173"/>
    <mergeCell ref="E174:H174"/>
    <mergeCell ref="E175:H175"/>
    <mergeCell ref="E106:H106"/>
    <mergeCell ref="E107:H107"/>
    <mergeCell ref="E108:H108"/>
    <mergeCell ref="E109:H109"/>
    <mergeCell ref="Q194:Q196"/>
    <mergeCell ref="S194:S196"/>
    <mergeCell ref="Y194:Y196"/>
    <mergeCell ref="C197:C199"/>
    <mergeCell ref="I197:I199"/>
    <mergeCell ref="K197:K199"/>
    <mergeCell ref="Q197:Q199"/>
    <mergeCell ref="S197:S199"/>
    <mergeCell ref="Y197:Y199"/>
    <mergeCell ref="C194:C196"/>
    <mergeCell ref="Q188:Q190"/>
    <mergeCell ref="S188:S190"/>
    <mergeCell ref="Y188:Y190"/>
    <mergeCell ref="C191:C193"/>
    <mergeCell ref="I191:I193"/>
    <mergeCell ref="K191:K193"/>
    <mergeCell ref="Q191:Q193"/>
    <mergeCell ref="S191:S193"/>
    <mergeCell ref="Y191:Y193"/>
    <mergeCell ref="C188:C190"/>
  </mergeCells>
  <conditionalFormatting sqref="E21:E34">
    <cfRule type="expression" dxfId="107" priority="415">
      <formula>G21="No"</formula>
    </cfRule>
    <cfRule type="expression" dxfId="106" priority="416">
      <formula>G21="Yes"</formula>
    </cfRule>
  </conditionalFormatting>
  <conditionalFormatting sqref="E18">
    <cfRule type="expression" dxfId="105" priority="399">
      <formula>G18="No"</formula>
    </cfRule>
    <cfRule type="expression" dxfId="104" priority="400">
      <formula>G18="Yes"</formula>
    </cfRule>
  </conditionalFormatting>
  <conditionalFormatting sqref="F18">
    <cfRule type="expression" dxfId="103" priority="401">
      <formula>#REF!="No"</formula>
    </cfRule>
    <cfRule type="expression" dxfId="102" priority="402">
      <formula>#REF!="Yes"</formula>
    </cfRule>
  </conditionalFormatting>
  <conditionalFormatting sqref="M21:M34">
    <cfRule type="expression" dxfId="101" priority="101">
      <formula>O21="No"</formula>
    </cfRule>
    <cfRule type="expression" dxfId="100" priority="102">
      <formula>O21="Yes"</formula>
    </cfRule>
  </conditionalFormatting>
  <conditionalFormatting sqref="M13:M18">
    <cfRule type="expression" dxfId="99" priority="97">
      <formula>O13="No"</formula>
    </cfRule>
    <cfRule type="expression" dxfId="98" priority="98">
      <formula>O13="Yes"</formula>
    </cfRule>
  </conditionalFormatting>
  <conditionalFormatting sqref="N13:N18">
    <cfRule type="expression" dxfId="97" priority="99">
      <formula>#REF!="No"</formula>
    </cfRule>
    <cfRule type="expression" dxfId="96" priority="100">
      <formula>#REF!="Yes"</formula>
    </cfRule>
  </conditionalFormatting>
  <conditionalFormatting sqref="E54:E67">
    <cfRule type="expression" dxfId="95" priority="95">
      <formula>G54="No"</formula>
    </cfRule>
    <cfRule type="expression" dxfId="94" priority="96">
      <formula>G54="Yes"</formula>
    </cfRule>
  </conditionalFormatting>
  <conditionalFormatting sqref="E49:E51">
    <cfRule type="expression" dxfId="93" priority="91">
      <formula>G49="No"</formula>
    </cfRule>
    <cfRule type="expression" dxfId="92" priority="92">
      <formula>G49="Yes"</formula>
    </cfRule>
  </conditionalFormatting>
  <conditionalFormatting sqref="F46:F51">
    <cfRule type="expression" dxfId="91" priority="93">
      <formula>#REF!="No"</formula>
    </cfRule>
    <cfRule type="expression" dxfId="90" priority="94">
      <formula>#REF!="Yes"</formula>
    </cfRule>
  </conditionalFormatting>
  <conditionalFormatting sqref="M54:M67">
    <cfRule type="expression" dxfId="89" priority="89">
      <formula>O54="No"</formula>
    </cfRule>
    <cfRule type="expression" dxfId="88" priority="90">
      <formula>O54="Yes"</formula>
    </cfRule>
  </conditionalFormatting>
  <conditionalFormatting sqref="M46:M51">
    <cfRule type="expression" dxfId="87" priority="85">
      <formula>O46="No"</formula>
    </cfRule>
    <cfRule type="expression" dxfId="86" priority="86">
      <formula>O46="Yes"</formula>
    </cfRule>
  </conditionalFormatting>
  <conditionalFormatting sqref="N46:N51">
    <cfRule type="expression" dxfId="85" priority="87">
      <formula>#REF!="No"</formula>
    </cfRule>
    <cfRule type="expression" dxfId="84" priority="88">
      <formula>#REF!="Yes"</formula>
    </cfRule>
  </conditionalFormatting>
  <conditionalFormatting sqref="E87:E100">
    <cfRule type="expression" dxfId="83" priority="83">
      <formula>G87="No"</formula>
    </cfRule>
    <cfRule type="expression" dxfId="82" priority="84">
      <formula>G87="Yes"</formula>
    </cfRule>
  </conditionalFormatting>
  <conditionalFormatting sqref="E79:E84">
    <cfRule type="expression" dxfId="81" priority="79">
      <formula>G79="No"</formula>
    </cfRule>
    <cfRule type="expression" dxfId="80" priority="80">
      <formula>G79="Yes"</formula>
    </cfRule>
  </conditionalFormatting>
  <conditionalFormatting sqref="F79:F84">
    <cfRule type="expression" dxfId="79" priority="81">
      <formula>#REF!="No"</formula>
    </cfRule>
    <cfRule type="expression" dxfId="78" priority="82">
      <formula>#REF!="Yes"</formula>
    </cfRule>
  </conditionalFormatting>
  <conditionalFormatting sqref="M87:M100">
    <cfRule type="expression" dxfId="77" priority="77">
      <formula>O87="No"</formula>
    </cfRule>
    <cfRule type="expression" dxfId="76" priority="78">
      <formula>O87="Yes"</formula>
    </cfRule>
  </conditionalFormatting>
  <conditionalFormatting sqref="M79:M84">
    <cfRule type="expression" dxfId="75" priority="73">
      <formula>O79="No"</formula>
    </cfRule>
    <cfRule type="expression" dxfId="74" priority="74">
      <formula>O79="Yes"</formula>
    </cfRule>
  </conditionalFormatting>
  <conditionalFormatting sqref="N79:N84">
    <cfRule type="expression" dxfId="73" priority="75">
      <formula>#REF!="No"</formula>
    </cfRule>
    <cfRule type="expression" dxfId="72" priority="76">
      <formula>#REF!="Yes"</formula>
    </cfRule>
  </conditionalFormatting>
  <conditionalFormatting sqref="E120:E133">
    <cfRule type="expression" dxfId="71" priority="71">
      <formula>G120="No"</formula>
    </cfRule>
    <cfRule type="expression" dxfId="70" priority="72">
      <formula>G120="Yes"</formula>
    </cfRule>
  </conditionalFormatting>
  <conditionalFormatting sqref="E112:E117">
    <cfRule type="expression" dxfId="69" priority="67">
      <formula>G112="No"</formula>
    </cfRule>
    <cfRule type="expression" dxfId="68" priority="68">
      <formula>G112="Yes"</formula>
    </cfRule>
  </conditionalFormatting>
  <conditionalFormatting sqref="F112:F117">
    <cfRule type="expression" dxfId="67" priority="69">
      <formula>#REF!="No"</formula>
    </cfRule>
    <cfRule type="expression" dxfId="66" priority="70">
      <formula>#REF!="Yes"</formula>
    </cfRule>
  </conditionalFormatting>
  <conditionalFormatting sqref="M120:M133">
    <cfRule type="expression" dxfId="65" priority="65">
      <formula>O120="No"</formula>
    </cfRule>
    <cfRule type="expression" dxfId="64" priority="66">
      <formula>O120="Yes"</formula>
    </cfRule>
  </conditionalFormatting>
  <conditionalFormatting sqref="M112:M117">
    <cfRule type="expression" dxfId="63" priority="61">
      <formula>O112="No"</formula>
    </cfRule>
    <cfRule type="expression" dxfId="62" priority="62">
      <formula>O112="Yes"</formula>
    </cfRule>
  </conditionalFormatting>
  <conditionalFormatting sqref="N112:N117">
    <cfRule type="expression" dxfId="61" priority="63">
      <formula>#REF!="No"</formula>
    </cfRule>
    <cfRule type="expression" dxfId="60" priority="64">
      <formula>#REF!="Yes"</formula>
    </cfRule>
  </conditionalFormatting>
  <conditionalFormatting sqref="U21:U34">
    <cfRule type="expression" dxfId="59" priority="59">
      <formula>W21="No"</formula>
    </cfRule>
    <cfRule type="expression" dxfId="58" priority="60">
      <formula>W21="Yes"</formula>
    </cfRule>
  </conditionalFormatting>
  <conditionalFormatting sqref="U13:U18">
    <cfRule type="expression" dxfId="57" priority="55">
      <formula>W13="No"</formula>
    </cfRule>
    <cfRule type="expression" dxfId="56" priority="56">
      <formula>W13="Yes"</formula>
    </cfRule>
  </conditionalFormatting>
  <conditionalFormatting sqref="V13:V18">
    <cfRule type="expression" dxfId="55" priority="57">
      <formula>#REF!="No"</formula>
    </cfRule>
    <cfRule type="expression" dxfId="54" priority="58">
      <formula>#REF!="Yes"</formula>
    </cfRule>
  </conditionalFormatting>
  <conditionalFormatting sqref="U54:U67">
    <cfRule type="expression" dxfId="53" priority="53">
      <formula>W54="No"</formula>
    </cfRule>
    <cfRule type="expression" dxfId="52" priority="54">
      <formula>W54="Yes"</formula>
    </cfRule>
  </conditionalFormatting>
  <conditionalFormatting sqref="U46:U51">
    <cfRule type="expression" dxfId="51" priority="49">
      <formula>W46="No"</formula>
    </cfRule>
    <cfRule type="expression" dxfId="50" priority="50">
      <formula>W46="Yes"</formula>
    </cfRule>
  </conditionalFormatting>
  <conditionalFormatting sqref="V46:V51">
    <cfRule type="expression" dxfId="49" priority="51">
      <formula>#REF!="No"</formula>
    </cfRule>
    <cfRule type="expression" dxfId="48" priority="52">
      <formula>#REF!="Yes"</formula>
    </cfRule>
  </conditionalFormatting>
  <conditionalFormatting sqref="U87:U100">
    <cfRule type="expression" dxfId="47" priority="47">
      <formula>W87="No"</formula>
    </cfRule>
    <cfRule type="expression" dxfId="46" priority="48">
      <formula>W87="Yes"</formula>
    </cfRule>
  </conditionalFormatting>
  <conditionalFormatting sqref="U79:U84">
    <cfRule type="expression" dxfId="45" priority="43">
      <formula>W79="No"</formula>
    </cfRule>
    <cfRule type="expression" dxfId="44" priority="44">
      <formula>W79="Yes"</formula>
    </cfRule>
  </conditionalFormatting>
  <conditionalFormatting sqref="V79:V84">
    <cfRule type="expression" dxfId="43" priority="45">
      <formula>#REF!="No"</formula>
    </cfRule>
    <cfRule type="expression" dxfId="42" priority="46">
      <formula>#REF!="Yes"</formula>
    </cfRule>
  </conditionalFormatting>
  <conditionalFormatting sqref="U120:U133">
    <cfRule type="expression" dxfId="41" priority="41">
      <formula>W120="No"</formula>
    </cfRule>
    <cfRule type="expression" dxfId="40" priority="42">
      <formula>W120="Yes"</formula>
    </cfRule>
  </conditionalFormatting>
  <conditionalFormatting sqref="U112:U117">
    <cfRule type="expression" dxfId="39" priority="37">
      <formula>W112="No"</formula>
    </cfRule>
    <cfRule type="expression" dxfId="38" priority="38">
      <formula>W112="Yes"</formula>
    </cfRule>
  </conditionalFormatting>
  <conditionalFormatting sqref="V112:V117">
    <cfRule type="expression" dxfId="37" priority="39">
      <formula>#REF!="No"</formula>
    </cfRule>
    <cfRule type="expression" dxfId="36" priority="40">
      <formula>#REF!="Yes"</formula>
    </cfRule>
  </conditionalFormatting>
  <conditionalFormatting sqref="E153:E166">
    <cfRule type="expression" dxfId="35" priority="35">
      <formula>G153="No"</formula>
    </cfRule>
    <cfRule type="expression" dxfId="34" priority="36">
      <formula>G153="Yes"</formula>
    </cfRule>
  </conditionalFormatting>
  <conditionalFormatting sqref="E145:E150">
    <cfRule type="expression" dxfId="33" priority="31">
      <formula>G145="No"</formula>
    </cfRule>
    <cfRule type="expression" dxfId="32" priority="32">
      <formula>G145="Yes"</formula>
    </cfRule>
  </conditionalFormatting>
  <conditionalFormatting sqref="F145:F150">
    <cfRule type="expression" dxfId="31" priority="33">
      <formula>#REF!="No"</formula>
    </cfRule>
    <cfRule type="expression" dxfId="30" priority="34">
      <formula>#REF!="Yes"</formula>
    </cfRule>
  </conditionalFormatting>
  <conditionalFormatting sqref="M153:M166">
    <cfRule type="expression" dxfId="29" priority="29">
      <formula>O153="No"</formula>
    </cfRule>
    <cfRule type="expression" dxfId="28" priority="30">
      <formula>O153="Yes"</formula>
    </cfRule>
  </conditionalFormatting>
  <conditionalFormatting sqref="M145:M150">
    <cfRule type="expression" dxfId="27" priority="25">
      <formula>O145="No"</formula>
    </cfRule>
    <cfRule type="expression" dxfId="26" priority="26">
      <formula>O145="Yes"</formula>
    </cfRule>
  </conditionalFormatting>
  <conditionalFormatting sqref="N145:N150">
    <cfRule type="expression" dxfId="25" priority="27">
      <formula>#REF!="No"</formula>
    </cfRule>
    <cfRule type="expression" dxfId="24" priority="28">
      <formula>#REF!="Yes"</formula>
    </cfRule>
  </conditionalFormatting>
  <conditionalFormatting sqref="U153:U166">
    <cfRule type="expression" dxfId="23" priority="23">
      <formula>W153="No"</formula>
    </cfRule>
    <cfRule type="expression" dxfId="22" priority="24">
      <formula>W153="Yes"</formula>
    </cfRule>
  </conditionalFormatting>
  <conditionalFormatting sqref="U145:U150">
    <cfRule type="expression" dxfId="21" priority="19">
      <formula>W145="No"</formula>
    </cfRule>
    <cfRule type="expression" dxfId="20" priority="20">
      <formula>W145="Yes"</formula>
    </cfRule>
  </conditionalFormatting>
  <conditionalFormatting sqref="V145:V150">
    <cfRule type="expression" dxfId="19" priority="21">
      <formula>#REF!="No"</formula>
    </cfRule>
    <cfRule type="expression" dxfId="18" priority="22">
      <formula>#REF!="Yes"</formula>
    </cfRule>
  </conditionalFormatting>
  <conditionalFormatting sqref="E186:E199">
    <cfRule type="expression" dxfId="17" priority="17">
      <formula>G186="No"</formula>
    </cfRule>
    <cfRule type="expression" dxfId="16" priority="18">
      <formula>G186="Yes"</formula>
    </cfRule>
  </conditionalFormatting>
  <conditionalFormatting sqref="E178:E183">
    <cfRule type="expression" dxfId="15" priority="13">
      <formula>G178="No"</formula>
    </cfRule>
    <cfRule type="expression" dxfId="14" priority="14">
      <formula>G178="Yes"</formula>
    </cfRule>
  </conditionalFormatting>
  <conditionalFormatting sqref="F178:F183">
    <cfRule type="expression" dxfId="13" priority="15">
      <formula>#REF!="No"</formula>
    </cfRule>
    <cfRule type="expression" dxfId="12" priority="16">
      <formula>#REF!="Yes"</formula>
    </cfRule>
  </conditionalFormatting>
  <conditionalFormatting sqref="M186:M199">
    <cfRule type="expression" dxfId="11" priority="11">
      <formula>O186="No"</formula>
    </cfRule>
    <cfRule type="expression" dxfId="10" priority="12">
      <formula>O186="Yes"</formula>
    </cfRule>
  </conditionalFormatting>
  <conditionalFormatting sqref="M178:M183">
    <cfRule type="expression" dxfId="9" priority="7">
      <formula>O178="No"</formula>
    </cfRule>
    <cfRule type="expression" dxfId="8" priority="8">
      <formula>O178="Yes"</formula>
    </cfRule>
  </conditionalFormatting>
  <conditionalFormatting sqref="N178:N183">
    <cfRule type="expression" dxfId="7" priority="9">
      <formula>#REF!="No"</formula>
    </cfRule>
    <cfRule type="expression" dxfId="6" priority="10">
      <formula>#REF!="Yes"</formula>
    </cfRule>
  </conditionalFormatting>
  <conditionalFormatting sqref="U186:U199">
    <cfRule type="expression" dxfId="5" priority="5">
      <formula>W186="No"</formula>
    </cfRule>
    <cfRule type="expression" dxfId="4" priority="6">
      <formula>W186="Yes"</formula>
    </cfRule>
  </conditionalFormatting>
  <conditionalFormatting sqref="U178:U183">
    <cfRule type="expression" dxfId="3" priority="1">
      <formula>W178="No"</formula>
    </cfRule>
    <cfRule type="expression" dxfId="2" priority="2">
      <formula>W178="Yes"</formula>
    </cfRule>
  </conditionalFormatting>
  <conditionalFormatting sqref="V178:V183">
    <cfRule type="expression" dxfId="1" priority="3">
      <formula>#REF!="No"</formula>
    </cfRule>
    <cfRule type="expression" dxfId="0" priority="4">
      <formula>#REF!="Yes"</formula>
    </cfRule>
  </conditionalFormatting>
  <hyperlinks>
    <hyperlink ref="C1" location="Quarterly!A1" display="QUARTELY" xr:uid="{3F381D1E-2818-E84C-B0A7-5826209116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BC763B-B0BD-A644-9778-04D9A1FCC3FB}">
          <x14:formula1>
            <xm:f>Dropdowns!$B$2:$B$3</xm:f>
          </x14:formula1>
          <xm:sqref>G13:G18 G20:G34 O13:O18 O20:O34 G46:G51 G53:G67 O46:O51 O53:O67 G79:G84 G86:G100 O79:O84 O86:O100 G112:G117 G119:G133 O112:O117 O119:O133 W13:W18 W20:W34 W46:W51 W53:W67 W79:W84 W86:W100 W112:W117 W119:W133 G145:G150 G152:G166 O145:O150 O152:O166 W145:W150 W152:W166 G178:G183 G185:G199 O178:O183 O185:O199 W178:W183 W185:W199</xm:sqref>
        </x14:dataValidation>
        <x14:dataValidation type="list" allowBlank="1" showInputMessage="1" showErrorMessage="1" xr:uid="{4AE15B92-23B1-594A-A430-5C8114267B46}">
          <x14:formula1>
            <xm:f>Dropdowns!$D$2:$D$8</xm:f>
          </x14:formula1>
          <xm:sqref>H13:H18 H20:H34 P13:P18 P20:P34 H46:H51 H53:H67 P46:P51 P53:P67 H79:H84 H86:H100 P79:P84 P86:P100 H112:H117 H119:H133 P112:P117 P119:P133 X13:X18 X20:X34 X46:X51 X53:X67 X79:X84 X86:X100 X112:X117 X119:X133 H145:H150 H152:H166 P145:P150 P152:P166 X145:X150 X152:X166 H178:H183 H185:H199 P178:P183 P185:P199 X178:X183 X185:X199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50E-5669-2647-8A62-889D9F32675E}">
  <dimension ref="B1:D7"/>
  <sheetViews>
    <sheetView workbookViewId="0">
      <selection activeCell="C25" sqref="C25"/>
    </sheetView>
  </sheetViews>
  <sheetFormatPr defaultColWidth="11.42578125" defaultRowHeight="15"/>
  <cols>
    <col min="4" max="4" width="19.42578125" bestFit="1" customWidth="1"/>
  </cols>
  <sheetData>
    <row r="1" spans="2:4">
      <c r="B1" s="35" t="s">
        <v>178</v>
      </c>
      <c r="D1" s="35" t="s">
        <v>160</v>
      </c>
    </row>
    <row r="2" spans="2:4">
      <c r="B2" s="35" t="s">
        <v>179</v>
      </c>
      <c r="D2" s="35" t="s">
        <v>180</v>
      </c>
    </row>
    <row r="3" spans="2:4">
      <c r="B3" s="35" t="s">
        <v>181</v>
      </c>
      <c r="D3" s="35" t="s">
        <v>182</v>
      </c>
    </row>
    <row r="4" spans="2:4">
      <c r="D4" s="35" t="s">
        <v>183</v>
      </c>
    </row>
    <row r="5" spans="2:4">
      <c r="D5" s="35" t="s">
        <v>184</v>
      </c>
    </row>
    <row r="6" spans="2:4">
      <c r="D6" s="35" t="s">
        <v>185</v>
      </c>
    </row>
    <row r="7" spans="2:4">
      <c r="D7" s="3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2016-02-09T10:28:13Z</dcterms:created>
  <dcterms:modified xsi:type="dcterms:W3CDTF">2024-12-05T16:51:37Z</dcterms:modified>
  <cp:category/>
  <cp:contentStatus/>
</cp:coreProperties>
</file>