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4" documentId="13_ncr:1_{F911F54F-B56B-0D49-B3C3-8585E2D35D44}" xr6:coauthVersionLast="47" xr6:coauthVersionMax="47" xr10:uidLastSave="{D8D39F2C-1474-4811-B326-7A321CB6B96D}"/>
  <bookViews>
    <workbookView xWindow="0" yWindow="740" windowWidth="29400" windowHeight="16820" tabRatio="695" activeTab="7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" sheetId="11" r:id="rId7"/>
    <sheet name="LER Example" sheetId="12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2" l="1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G11" i="7"/>
  <c r="G12" i="7"/>
  <c r="H19" i="6" l="1"/>
  <c r="H15" i="7"/>
  <c r="J25" i="6" s="1"/>
  <c r="H25" i="6" s="1"/>
  <c r="J17" i="6"/>
  <c r="H17" i="6" s="1"/>
  <c r="J21" i="6"/>
  <c r="H21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<sst xmlns="http://schemas.openxmlformats.org/spreadsheetml/2006/main" count="398" uniqueCount="120">
  <si>
    <t>ACTIONS TO IMPROVE LIQUIDITY</t>
  </si>
  <si>
    <t>IDEAS</t>
  </si>
  <si>
    <t>IMPACT</t>
  </si>
  <si>
    <t>EASY</t>
  </si>
  <si>
    <t>SCORE</t>
  </si>
  <si>
    <t>INSTRUCTIONS</t>
  </si>
  <si>
    <t>IMPACT:</t>
  </si>
  <si>
    <t>A score of 3 means it has the biggest impact</t>
  </si>
  <si>
    <t>A score of 1 means it has the least impact.</t>
  </si>
  <si>
    <t>EASY:</t>
  </si>
  <si>
    <t xml:space="preserve">A score of 3 means it's very easy                                                                                                        </t>
  </si>
  <si>
    <t>A score of 1 means it's very difficult.</t>
  </si>
  <si>
    <t>ACTIONS TO IMPROVE PROFITABILITY</t>
  </si>
  <si>
    <t>POWER OF ONE DATA INPUT</t>
  </si>
  <si>
    <t>Denotes input field</t>
  </si>
  <si>
    <t>Profit and Loss</t>
  </si>
  <si>
    <t>[PERIOD]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</si>
  <si>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</si>
  <si>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</si>
  <si>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</si>
  <si>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</si>
  <si>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</si>
  <si>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</si>
  <si>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</si>
  <si>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</si>
  <si>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</si>
  <si>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</si>
  <si>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</si>
  <si>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</si>
  <si>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</si>
  <si>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</si>
  <si>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</si>
  <si>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</si>
  <si>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</si>
  <si>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</si>
  <si>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</si>
  <si>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</si>
  <si>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</si>
  <si>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</si>
  <si>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</si>
  <si>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</si>
  <si>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</si>
  <si>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</si>
  <si>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</si>
  <si>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</si>
  <si>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</si>
  <si>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</si>
  <si>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</si>
  <si>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</si>
  <si>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</si>
  <si>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</si>
  <si>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</si>
  <si>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</si>
  <si>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</si>
  <si>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</si>
  <si>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</si>
  <si>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</si>
  <si>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>POWER OF ONE TEMPALTE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</si>
  <si>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</si>
  <si>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</si>
  <si>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</si>
  <si>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</si>
  <si>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</si>
  <si>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</si>
  <si>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</si>
  <si>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</si>
  <si>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</si>
  <si>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</si>
  <si>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</si>
  <si>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</si>
  <si>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</si>
  <si>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</si>
  <si>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</si>
  <si>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</si>
  <si>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</si>
  <si>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</si>
  <si>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</si>
  <si>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</si>
  <si>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</si>
  <si>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>Reset</t>
  </si>
  <si>
    <t>d</t>
  </si>
  <si>
    <t xml:space="preserve">POWER OF ONE WWW - WHO, WHAT, WHEN </t>
  </si>
  <si>
    <t>WHAT</t>
  </si>
  <si>
    <t xml:space="preserve">WHO </t>
  </si>
  <si>
    <t>WHEN</t>
  </si>
  <si>
    <t>LER - LABOUR EFFICIENCY RATIO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</si>
  <si>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</si>
  <si>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</si>
  <si>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</si>
  <si>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</si>
  <si>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</si>
  <si>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</si>
  <si>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</si>
  <si>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</si>
  <si>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</si>
  <si>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</si>
  <si>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</si>
  <si>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</si>
  <si>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</si>
  <si>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</si>
  <si>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</si>
  <si>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</si>
  <si>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</si>
  <si>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</si>
  <si>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</si>
  <si>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</si>
  <si>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</si>
  <si>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</si>
  <si>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</si>
  <si>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</si>
  <si>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>LER - LABOUR EFFICIENCY RATIO [EXAMPLE]</t>
  </si>
  <si>
    <t>Year 1</t>
  </si>
  <si>
    <t>Year 2</t>
  </si>
  <si>
    <t>Year 3</t>
  </si>
  <si>
    <t>Year 4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</si>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</sst>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_(&quot;$&quot;* #,##0.00_);_(&quot;$&quot;* \(#,##0.00\);_(&quot;$&quot;* &quot;-&quot;??_);_(@_)"/>
    <numFmt numFmtId="169" formatCode="_(&quot;$&quot;* #,##0_);_(&quot;$&quot;* \(#,##0\);_(&quot;$&quot;* &quot;-&quot;??_);_(@_)"/>
    <numFmt numFmtId="170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56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4" fillId="7" borderId="0" xfId="1" applyNumberFormat="1" applyFont="1" applyFill="1" applyProtection="1"/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8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8" fillId="4" borderId="26" xfId="1" applyNumberFormat="1" applyFont="1" applyFill="1" applyBorder="1"/>
    <xf numFmtId="166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6" fontId="15" fillId="6" borderId="0" xfId="1" applyNumberFormat="1" applyFont="1" applyFill="1"/>
    <xf numFmtId="0" fontId="21" fillId="6" borderId="0" xfId="0" applyFont="1" applyFill="1"/>
    <xf numFmtId="166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2" xfId="1" applyNumberFormat="1" applyFont="1" applyFill="1" applyBorder="1"/>
    <xf numFmtId="0" fontId="15" fillId="6" borderId="23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9" fillId="6" borderId="0" xfId="1" applyNumberFormat="1" applyFont="1" applyFill="1"/>
    <xf numFmtId="165" fontId="15" fillId="6" borderId="13" xfId="1" applyNumberFormat="1" applyFont="1" applyFill="1" applyBorder="1"/>
    <xf numFmtId="43" fontId="17" fillId="6" borderId="0" xfId="0" applyNumberFormat="1" applyFont="1" applyFill="1"/>
    <xf numFmtId="166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166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6" fontId="15" fillId="8" borderId="0" xfId="1" applyNumberFormat="1" applyFont="1" applyFill="1" applyBorder="1" applyProtection="1">
      <protection locked="0"/>
    </xf>
    <xf numFmtId="166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6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6" fontId="14" fillId="8" borderId="0" xfId="1" applyNumberFormat="1" applyFont="1" applyFill="1" applyProtection="1">
      <protection locked="0"/>
    </xf>
    <xf numFmtId="166" fontId="15" fillId="8" borderId="0" xfId="1" applyNumberFormat="1" applyFont="1" applyFill="1" applyProtection="1">
      <protection locked="0"/>
    </xf>
    <xf numFmtId="166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6" fontId="14" fillId="8" borderId="0" xfId="1" applyNumberFormat="1" applyFont="1" applyFill="1" applyBorder="1" applyProtection="1">
      <protection locked="0"/>
    </xf>
    <xf numFmtId="166" fontId="14" fillId="8" borderId="0" xfId="1" applyNumberFormat="1" applyFont="1" applyFill="1" applyBorder="1" applyProtection="1"/>
    <xf numFmtId="164" fontId="15" fillId="8" borderId="0" xfId="0" applyNumberFormat="1" applyFont="1" applyFill="1"/>
    <xf numFmtId="166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6" fontId="34" fillId="8" borderId="0" xfId="1" applyNumberFormat="1" applyFont="1" applyFill="1" applyProtection="1"/>
    <xf numFmtId="0" fontId="28" fillId="10" borderId="16" xfId="96" applyFill="1" applyBorder="1"/>
    <xf numFmtId="166" fontId="15" fillId="10" borderId="12" xfId="1" applyNumberFormat="1" applyFont="1" applyFill="1" applyBorder="1" applyProtection="1">
      <protection locked="0"/>
    </xf>
    <xf numFmtId="166" fontId="15" fillId="10" borderId="18" xfId="1" applyNumberFormat="1" applyFont="1" applyFill="1" applyBorder="1" applyProtection="1">
      <protection locked="0"/>
    </xf>
    <xf numFmtId="166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6" fontId="40" fillId="8" borderId="0" xfId="1" applyNumberFormat="1" applyFont="1" applyFill="1" applyProtection="1"/>
    <xf numFmtId="165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5" fontId="40" fillId="8" borderId="0" xfId="1" applyNumberFormat="1" applyFont="1" applyFill="1" applyBorder="1" applyProtection="1"/>
    <xf numFmtId="166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43" fontId="40" fillId="8" borderId="0" xfId="1" applyFont="1" applyFill="1" applyBorder="1" applyProtection="1"/>
    <xf numFmtId="166" fontId="41" fillId="8" borderId="0" xfId="1" applyNumberFormat="1" applyFont="1" applyFill="1" applyProtection="1"/>
    <xf numFmtId="166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6" fontId="40" fillId="8" borderId="16" xfId="1" applyNumberFormat="1" applyFont="1" applyFill="1" applyBorder="1" applyProtection="1"/>
    <xf numFmtId="43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6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5" fontId="34" fillId="8" borderId="0" xfId="1" applyNumberFormat="1" applyFont="1" applyFill="1" applyProtection="1"/>
    <xf numFmtId="165" fontId="34" fillId="8" borderId="2" xfId="1" applyNumberFormat="1" applyFont="1" applyFill="1" applyBorder="1" applyProtection="1"/>
    <xf numFmtId="9" fontId="34" fillId="8" borderId="0" xfId="54" applyFont="1" applyFill="1" applyProtection="1"/>
    <xf numFmtId="165" fontId="34" fillId="8" borderId="0" xfId="1" applyNumberFormat="1" applyFont="1" applyFill="1" applyBorder="1" applyProtection="1"/>
    <xf numFmtId="166" fontId="46" fillId="8" borderId="2" xfId="1" applyNumberFormat="1" applyFont="1" applyFill="1" applyBorder="1" applyAlignment="1">
      <alignment horizontal="left" vertical="top"/>
    </xf>
    <xf numFmtId="166" fontId="40" fillId="8" borderId="2" xfId="1" applyNumberFormat="1" applyFont="1" applyFill="1" applyBorder="1" applyProtection="1"/>
    <xf numFmtId="165" fontId="47" fillId="8" borderId="0" xfId="1" applyNumberFormat="1" applyFont="1" applyFill="1" applyProtection="1"/>
    <xf numFmtId="166" fontId="47" fillId="10" borderId="12" xfId="1" applyNumberFormat="1" applyFont="1" applyFill="1" applyBorder="1" applyProtection="1">
      <protection locked="0"/>
    </xf>
    <xf numFmtId="166" fontId="47" fillId="10" borderId="18" xfId="1" applyNumberFormat="1" applyFont="1" applyFill="1" applyBorder="1" applyProtection="1">
      <protection locked="0"/>
    </xf>
    <xf numFmtId="165" fontId="47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9" fontId="47" fillId="8" borderId="0" xfId="54" applyFont="1" applyFill="1" applyProtection="1"/>
    <xf numFmtId="166" fontId="47" fillId="10" borderId="14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5" fontId="47" fillId="8" borderId="0" xfId="1" applyNumberFormat="1" applyFont="1" applyFill="1" applyBorder="1" applyProtection="1"/>
    <xf numFmtId="166" fontId="47" fillId="10" borderId="19" xfId="1" applyNumberFormat="1" applyFont="1" applyFill="1" applyBorder="1" applyProtection="1">
      <protection locked="0"/>
    </xf>
    <xf numFmtId="165" fontId="47" fillId="8" borderId="3" xfId="1" applyNumberFormat="1" applyFont="1" applyFill="1" applyBorder="1" applyProtection="1"/>
    <xf numFmtId="166" fontId="47" fillId="10" borderId="15" xfId="1" applyNumberFormat="1" applyFont="1" applyFill="1" applyBorder="1" applyProtection="1">
      <protection locked="0"/>
    </xf>
    <xf numFmtId="166" fontId="47" fillId="7" borderId="0" xfId="1" applyNumberFormat="1" applyFont="1" applyFill="1" applyProtection="1"/>
    <xf numFmtId="166" fontId="40" fillId="11" borderId="18" xfId="1" applyNumberFormat="1" applyFont="1" applyFill="1" applyBorder="1" applyProtection="1"/>
    <xf numFmtId="166" fontId="47" fillId="8" borderId="3" xfId="1" applyNumberFormat="1" applyFont="1" applyFill="1" applyBorder="1" applyProtection="1"/>
    <xf numFmtId="166" fontId="47" fillId="8" borderId="13" xfId="1" applyNumberFormat="1" applyFont="1" applyFill="1" applyBorder="1" applyProtection="1"/>
    <xf numFmtId="165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6" fontId="47" fillId="8" borderId="0" xfId="1" applyNumberFormat="1" applyFont="1" applyFill="1" applyBorder="1" applyProtection="1">
      <protection locked="0"/>
    </xf>
    <xf numFmtId="166" fontId="47" fillId="8" borderId="0" xfId="1" applyNumberFormat="1" applyFont="1" applyFill="1" applyProtection="1">
      <protection locked="0"/>
    </xf>
    <xf numFmtId="166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6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6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6" fontId="40" fillId="8" borderId="0" xfId="1" applyNumberFormat="1" applyFont="1" applyFill="1" applyBorder="1" applyProtection="1">
      <protection locked="0"/>
    </xf>
    <xf numFmtId="166" fontId="41" fillId="8" borderId="26" xfId="1" applyNumberFormat="1" applyFont="1" applyFill="1" applyBorder="1" applyProtection="1"/>
    <xf numFmtId="166" fontId="40" fillId="8" borderId="27" xfId="1" applyNumberFormat="1" applyFont="1" applyFill="1" applyBorder="1" applyProtection="1"/>
    <xf numFmtId="166" fontId="40" fillId="11" borderId="16" xfId="1" applyNumberFormat="1" applyFont="1" applyFill="1" applyBorder="1" applyProtection="1"/>
    <xf numFmtId="166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7" fontId="0" fillId="0" borderId="0" xfId="98" applyNumberFormat="1" applyFont="1"/>
    <xf numFmtId="167" fontId="0" fillId="0" borderId="34" xfId="98" applyNumberFormat="1" applyFont="1" applyBorder="1"/>
    <xf numFmtId="167" fontId="0" fillId="0" borderId="1" xfId="98" applyNumberFormat="1" applyFont="1" applyBorder="1"/>
    <xf numFmtId="0" fontId="1" fillId="0" borderId="1" xfId="97" applyBorder="1"/>
    <xf numFmtId="167" fontId="0" fillId="0" borderId="36" xfId="98" applyNumberFormat="1" applyFont="1" applyBorder="1"/>
    <xf numFmtId="167" fontId="0" fillId="0" borderId="0" xfId="98" applyNumberFormat="1" applyFont="1" applyBorder="1"/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69" fontId="56" fillId="0" borderId="36" xfId="100" applyNumberFormat="1" applyFont="1" applyFill="1" applyBorder="1"/>
    <xf numFmtId="169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7" fontId="58" fillId="0" borderId="36" xfId="98" applyNumberFormat="1" applyFont="1" applyFill="1" applyBorder="1"/>
    <xf numFmtId="167" fontId="58" fillId="0" borderId="0" xfId="98" applyNumberFormat="1" applyFont="1" applyFill="1" applyBorder="1"/>
    <xf numFmtId="0" fontId="58" fillId="0" borderId="0" xfId="97" applyFont="1"/>
    <xf numFmtId="167" fontId="59" fillId="11" borderId="38" xfId="98" applyNumberFormat="1" applyFont="1" applyFill="1" applyBorder="1"/>
    <xf numFmtId="167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7" fontId="61" fillId="0" borderId="36" xfId="98" applyNumberFormat="1" applyFont="1" applyFill="1" applyBorder="1"/>
    <xf numFmtId="167" fontId="61" fillId="0" borderId="0" xfId="98" applyNumberFormat="1" applyFont="1" applyFill="1" applyBorder="1"/>
    <xf numFmtId="167" fontId="61" fillId="0" borderId="36" xfId="98" applyNumberFormat="1" applyFont="1" applyBorder="1"/>
    <xf numFmtId="167" fontId="61" fillId="0" borderId="0" xfId="98" applyNumberFormat="1" applyFont="1" applyBorder="1"/>
    <xf numFmtId="167" fontId="58" fillId="0" borderId="36" xfId="98" applyNumberFormat="1" applyFont="1" applyBorder="1"/>
    <xf numFmtId="167" fontId="58" fillId="0" borderId="0" xfId="98" applyNumberFormat="1" applyFont="1" applyBorder="1"/>
    <xf numFmtId="165" fontId="62" fillId="13" borderId="2" xfId="98" applyFont="1" applyFill="1" applyBorder="1"/>
    <xf numFmtId="165" fontId="62" fillId="13" borderId="8" xfId="98" applyFont="1" applyFill="1" applyBorder="1" applyAlignment="1">
      <alignment horizontal="right"/>
    </xf>
    <xf numFmtId="167" fontId="63" fillId="0" borderId="36" xfId="98" applyNumberFormat="1" applyFont="1" applyFill="1" applyBorder="1"/>
    <xf numFmtId="167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7" fontId="28" fillId="0" borderId="0" xfId="96" applyNumberFormat="1"/>
    <xf numFmtId="0" fontId="65" fillId="0" borderId="0" xfId="97" applyFont="1"/>
    <xf numFmtId="167" fontId="66" fillId="11" borderId="38" xfId="98" applyNumberFormat="1" applyFont="1" applyFill="1" applyBorder="1"/>
    <xf numFmtId="167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43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7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0" fontId="72" fillId="0" borderId="37" xfId="97" applyFont="1" applyBorder="1"/>
    <xf numFmtId="167" fontId="0" fillId="0" borderId="37" xfId="98" applyNumberFormat="1" applyFont="1" applyBorder="1"/>
    <xf numFmtId="167" fontId="66" fillId="11" borderId="36" xfId="98" applyNumberFormat="1" applyFont="1" applyFill="1" applyBorder="1"/>
    <xf numFmtId="167" fontId="66" fillId="11" borderId="0" xfId="98" applyNumberFormat="1" applyFont="1" applyFill="1" applyBorder="1"/>
    <xf numFmtId="167" fontId="59" fillId="11" borderId="36" xfId="98" applyNumberFormat="1" applyFont="1" applyFill="1" applyBorder="1"/>
    <xf numFmtId="167" fontId="59" fillId="11" borderId="0" xfId="98" applyNumberFormat="1" applyFont="1" applyFill="1" applyBorder="1"/>
    <xf numFmtId="167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7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0" fontId="69" fillId="12" borderId="16" xfId="103" applyNumberFormat="1" applyBorder="1" applyAlignment="1">
      <alignment horizontal="center"/>
    </xf>
    <xf numFmtId="0" fontId="68" fillId="0" borderId="28" xfId="97" applyFont="1" applyBorder="1"/>
    <xf numFmtId="167" fontId="58" fillId="0" borderId="7" xfId="98" applyNumberFormat="1" applyFont="1" applyFill="1" applyBorder="1"/>
    <xf numFmtId="9" fontId="55" fillId="0" borderId="7" xfId="99" applyFont="1" applyFill="1" applyBorder="1"/>
    <xf numFmtId="167" fontId="63" fillId="0" borderId="7" xfId="98" applyNumberFormat="1" applyFont="1" applyFill="1" applyBorder="1"/>
    <xf numFmtId="165" fontId="62" fillId="13" borderId="9" xfId="98" applyFont="1" applyFill="1" applyBorder="1"/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7" fontId="53" fillId="9" borderId="29" xfId="98" applyNumberFormat="1" applyFont="1" applyFill="1" applyBorder="1" applyAlignment="1">
      <alignment horizontal="center" vertical="center" textRotation="90" wrapText="1"/>
    </xf>
    <xf numFmtId="167" fontId="53" fillId="9" borderId="31" xfId="98" applyNumberFormat="1" applyFont="1" applyFill="1" applyBorder="1" applyAlignment="1">
      <alignment horizontal="center" vertical="center" textRotation="90" wrapText="1"/>
    </xf>
    <xf numFmtId="167" fontId="53" fillId="9" borderId="43" xfId="98" applyNumberFormat="1" applyFont="1" applyFill="1" applyBorder="1" applyAlignment="1">
      <alignment horizontal="center" vertical="center" textRotation="90" wrapText="1"/>
    </xf>
    <xf numFmtId="167" fontId="53" fillId="9" borderId="42" xfId="98" applyNumberFormat="1" applyFont="1" applyFill="1" applyBorder="1" applyAlignment="1">
      <alignment horizontal="center" vertical="center" textRotation="90" wrapText="1"/>
    </xf>
    <xf numFmtId="167" fontId="53" fillId="9" borderId="41" xfId="98" applyNumberFormat="1" applyFont="1" applyFill="1" applyBorder="1" applyAlignment="1">
      <alignment horizontal="center" vertical="center" textRotation="90" wrapText="1"/>
    </xf>
    <xf numFmtId="167" fontId="53" fillId="9" borderId="40" xfId="98" applyNumberFormat="1" applyFont="1" applyFill="1" applyBorder="1" applyAlignment="1">
      <alignment horizontal="center" vertical="center" textRotation="90" wrapText="1"/>
    </xf>
    <xf numFmtId="167" fontId="53" fillId="9" borderId="37" xfId="98" applyNumberFormat="1" applyFont="1" applyFill="1" applyBorder="1" applyAlignment="1">
      <alignment horizontal="center" vertical="center" textRotation="90" wrapText="1"/>
    </xf>
    <xf numFmtId="167" fontId="53" fillId="9" borderId="35" xfId="98" applyNumberFormat="1" applyFont="1" applyFill="1" applyBorder="1" applyAlignment="1">
      <alignment horizontal="center" vertical="center" textRotation="90" wrapText="1"/>
    </xf>
    <xf numFmtId="167" fontId="53" fillId="9" borderId="39" xfId="98" applyNumberFormat="1" applyFont="1" applyFill="1" applyBorder="1" applyAlignment="1">
      <alignment horizontal="center" vertical="center" textRotation="90" wrapText="1"/>
    </xf>
    <xf numFmtId="167" fontId="71" fillId="9" borderId="42" xfId="98" applyNumberFormat="1" applyFont="1" applyFill="1" applyBorder="1" applyAlignment="1">
      <alignment horizontal="center" vertical="center" textRotation="90" wrapText="1"/>
    </xf>
    <xf numFmtId="167" fontId="71" fillId="9" borderId="41" xfId="98" applyNumberFormat="1" applyFont="1" applyFill="1" applyBorder="1" applyAlignment="1">
      <alignment horizontal="center" vertical="center" textRotation="90" wrapText="1"/>
    </xf>
    <xf numFmtId="167" fontId="71" fillId="9" borderId="40" xfId="98" applyNumberFormat="1" applyFont="1" applyFill="1" applyBorder="1" applyAlignment="1">
      <alignment horizontal="center" vertical="center" textRotation="90" wrapText="1"/>
    </xf>
    <xf numFmtId="167" fontId="71" fillId="9" borderId="39" xfId="98" applyNumberFormat="1" applyFont="1" applyFill="1" applyBorder="1" applyAlignment="1">
      <alignment horizontal="center" vertical="center" textRotation="90" wrapText="1"/>
    </xf>
    <xf numFmtId="167" fontId="71" fillId="9" borderId="37" xfId="98" applyNumberFormat="1" applyFont="1" applyFill="1" applyBorder="1" applyAlignment="1">
      <alignment horizontal="center" vertical="center" textRotation="90" wrapText="1"/>
    </xf>
    <xf numFmtId="167" fontId="71" fillId="9" borderId="35" xfId="98" applyNumberFormat="1" applyFont="1" applyFill="1" applyBorder="1" applyAlignment="1">
      <alignment horizontal="center" vertical="center"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72" builtinId="9" hidden="1"/>
    <cellStyle name="Followed Hyperlink" xfId="94" builtinId="9" hidden="1"/>
    <cellStyle name="Followed Hyperlink" xfId="25" builtinId="9" hidden="1"/>
    <cellStyle name="Followed Hyperlink" xfId="56" builtinId="9" hidden="1"/>
    <cellStyle name="Followed Hyperlink" xfId="84" builtinId="9" hidden="1"/>
    <cellStyle name="Followed Hyperlink" xfId="90" builtinId="9" hidden="1"/>
    <cellStyle name="Followed Hyperlink" xfId="66" builtinId="9" hidden="1"/>
    <cellStyle name="Followed Hyperlink" xfId="31" builtinId="9" hidden="1"/>
    <cellStyle name="Followed Hyperlink" xfId="15" builtinId="9" hidden="1"/>
    <cellStyle name="Followed Hyperlink" xfId="76" builtinId="9" hidden="1"/>
    <cellStyle name="Followed Hyperlink" xfId="53" builtinId="9" hidden="1"/>
    <cellStyle name="Followed Hyperlink" xfId="23" builtinId="9" hidden="1"/>
    <cellStyle name="Followed Hyperlink" xfId="39" builtinId="9" hidden="1"/>
    <cellStyle name="Followed Hyperlink" xfId="5" builtinId="9" hidden="1"/>
    <cellStyle name="Followed Hyperlink" xfId="47" builtinId="9" hidden="1"/>
    <cellStyle name="Followed Hyperlink" xfId="37" builtinId="9" hidden="1"/>
    <cellStyle name="Followed Hyperlink" xfId="35" builtinId="9" hidden="1"/>
    <cellStyle name="Followed Hyperlink" xfId="27" builtinId="9" hidden="1"/>
    <cellStyle name="Followed Hyperlink" xfId="80" builtinId="9" hidden="1"/>
    <cellStyle name="Followed Hyperlink" xfId="68" builtinId="9" hidden="1"/>
    <cellStyle name="Followed Hyperlink" xfId="29" builtinId="9" hidden="1"/>
    <cellStyle name="Followed Hyperlink" xfId="60" builtinId="9" hidden="1"/>
    <cellStyle name="Followed Hyperlink" xfId="13" builtinId="9" hidden="1"/>
    <cellStyle name="Followed Hyperlink" xfId="43" builtinId="9" hidden="1"/>
    <cellStyle name="Followed Hyperlink" xfId="62" builtinId="9" hidden="1"/>
    <cellStyle name="Followed Hyperlink" xfId="33" builtinId="9" hidden="1"/>
    <cellStyle name="Followed Hyperlink" xfId="70" builtinId="9" hidden="1"/>
    <cellStyle name="Followed Hyperlink" xfId="9" builtinId="9" hidden="1"/>
    <cellStyle name="Followed Hyperlink" xfId="17" builtinId="9" hidden="1"/>
    <cellStyle name="Followed Hyperlink" xfId="58" builtinId="9" hidden="1"/>
    <cellStyle name="Followed Hyperlink" xfId="3" builtinId="9" hidden="1"/>
    <cellStyle name="Followed Hyperlink" xfId="88" builtinId="9" hidden="1"/>
    <cellStyle name="Followed Hyperlink" xfId="86" builtinId="9" hidden="1"/>
    <cellStyle name="Followed Hyperlink" xfId="64" builtinId="9" hidden="1"/>
    <cellStyle name="Followed Hyperlink" xfId="19" builtinId="9" hidden="1"/>
    <cellStyle name="Followed Hyperlink" xfId="41" builtinId="9" hidden="1"/>
    <cellStyle name="Followed Hyperlink" xfId="74" builtinId="9" hidden="1"/>
    <cellStyle name="Followed Hyperlink" xfId="45" builtinId="9" hidden="1"/>
    <cellStyle name="Followed Hyperlink" xfId="51" builtinId="9" hidden="1"/>
    <cellStyle name="Followed Hyperlink" xfId="82" builtinId="9" hidden="1"/>
    <cellStyle name="Followed Hyperlink" xfId="78" builtinId="9" hidden="1"/>
    <cellStyle name="Followed Hyperlink" xfId="21" builtinId="9" hidden="1"/>
    <cellStyle name="Followed Hyperlink" xfId="11" builtinId="9" hidden="1"/>
    <cellStyle name="Followed Hyperlink" xfId="92" builtinId="9" hidden="1"/>
    <cellStyle name="Followed Hyperlink" xfId="7" builtinId="9" hidden="1"/>
    <cellStyle name="Followed Hyperlink" xfId="49" builtinId="9" hidden="1"/>
    <cellStyle name="Hyperlink" xfId="65" builtinId="8" hidden="1"/>
    <cellStyle name="Hyperlink" xfId="73" builtinId="8" hidden="1"/>
    <cellStyle name="Hyperlink" xfId="34" builtinId="8" hidden="1"/>
    <cellStyle name="Hyperlink" xfId="93" builtinId="8" hidden="1"/>
    <cellStyle name="Hyperlink" xfId="42" builtinId="8" hidden="1"/>
    <cellStyle name="Hyperlink" xfId="69" builtinId="8" hidden="1"/>
    <cellStyle name="Hyperlink" xfId="91" builtinId="8" hidden="1"/>
    <cellStyle name="Hyperlink" xfId="52" builtinId="8" hidden="1"/>
    <cellStyle name="Hyperlink" xfId="22" builtinId="8" hidden="1"/>
    <cellStyle name="Hyperlink" xfId="79" builtinId="8" hidden="1"/>
    <cellStyle name="Hyperlink" xfId="71" builtinId="8" hidden="1"/>
    <cellStyle name="Hyperlink" xfId="28" builtinId="8" hidden="1"/>
    <cellStyle name="Hyperlink" xfId="14" builtinId="8" hidden="1"/>
    <cellStyle name="Hyperlink" xfId="89" builtinId="8" hidden="1"/>
    <cellStyle name="Hyperlink" xfId="24" builtinId="8" hidden="1"/>
    <cellStyle name="Hyperlink" xfId="12" builtinId="8" hidden="1"/>
    <cellStyle name="Hyperlink" xfId="81" builtinId="8" hidden="1"/>
    <cellStyle name="Hyperlink" xfId="46" builtinId="8" hidden="1"/>
    <cellStyle name="Hyperlink" xfId="75" builtinId="8" hidden="1"/>
    <cellStyle name="Hyperlink" xfId="32" builtinId="8" hidden="1"/>
    <cellStyle name="Hyperlink" xfId="77" builtinId="8" hidden="1"/>
    <cellStyle name="Hyperlink" xfId="4" builtinId="8" hidden="1"/>
    <cellStyle name="Hyperlink" xfId="57" builtinId="8" hidden="1"/>
    <cellStyle name="Hyperlink" xfId="59" builtinId="8" hidden="1"/>
    <cellStyle name="Hyperlink" xfId="16" builtinId="8" hidden="1"/>
    <cellStyle name="Hyperlink" xfId="48" builtinId="8" hidden="1"/>
    <cellStyle name="Hyperlink" xfId="18" builtinId="8" hidden="1"/>
    <cellStyle name="Hyperlink" xfId="38" builtinId="8" hidden="1"/>
    <cellStyle name="Hyperlink" xfId="26" builtinId="8" hidden="1"/>
    <cellStyle name="Hyperlink" xfId="67" builtinId="8" hidden="1"/>
    <cellStyle name="Hyperlink" xfId="2" builtinId="8" hidden="1"/>
    <cellStyle name="Hyperlink" xfId="61" builtinId="8" hidden="1"/>
    <cellStyle name="Hyperlink" xfId="50" builtinId="8" hidden="1"/>
    <cellStyle name="Hyperlink" xfId="30" builtinId="8" hidden="1"/>
    <cellStyle name="Hyperlink" xfId="63" builtinId="8" hidden="1"/>
    <cellStyle name="Hyperlink" xfId="10" builtinId="8" hidden="1"/>
    <cellStyle name="Hyperlink" xfId="83" builtinId="8" hidden="1"/>
    <cellStyle name="Hyperlink" xfId="85" builtinId="8" hidden="1"/>
    <cellStyle name="Hyperlink" xfId="36" builtinId="8" hidden="1"/>
    <cellStyle name="Hyperlink" xfId="40" builtinId="8" hidden="1"/>
    <cellStyle name="Hyperlink" xfId="55" builtinId="8" hidden="1"/>
    <cellStyle name="Hyperlink" xfId="6" builtinId="8" hidden="1"/>
    <cellStyle name="Hyperlink" xfId="20" builtinId="8" hidden="1"/>
    <cellStyle name="Hyperlink" xfId="87" builtinId="8" hidden="1"/>
    <cellStyle name="Hyperlink" xfId="8" builtinId="8" hidden="1"/>
    <cellStyle name="Hyperlink" xfId="44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" xfId="54" builtinId="5"/>
    <cellStyle name="Per cent 2" xfId="102" xr:uid="{72646D89-D774-1B40-8B76-1D92E37EB3DE}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sheetPr>
    <pageSetUpPr fitToPage="1"/>
  </sheetPr>
  <dimension ref="A1:O32"/>
  <sheetViews>
    <sheetView zoomScale="96" workbookViewId="0">
      <selection activeCell="J22" sqref="J22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2.62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2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9</v>
      </c>
      <c r="D11" s="175"/>
      <c r="E11" s="175"/>
      <c r="F11" s="175"/>
      <c r="G11" s="150">
        <f t="shared" si="0"/>
        <v>0</v>
      </c>
    </row>
    <row r="12" spans="1:15">
      <c r="C12" s="147">
        <v>11</v>
      </c>
      <c r="D12" s="175"/>
      <c r="E12" s="175"/>
      <c r="F12" s="175"/>
      <c r="G12" s="150">
        <f t="shared" si="0"/>
        <v>0</v>
      </c>
    </row>
    <row r="13" spans="1:15">
      <c r="C13" s="147">
        <v>12</v>
      </c>
      <c r="D13" s="175"/>
      <c r="E13" s="175"/>
      <c r="F13" s="175"/>
      <c r="G13" s="150">
        <f t="shared" si="0"/>
        <v>0</v>
      </c>
    </row>
    <row r="14" spans="1:15">
      <c r="C14" s="147">
        <v>13</v>
      </c>
      <c r="D14" s="175"/>
      <c r="E14" s="175"/>
      <c r="F14" s="175"/>
      <c r="G14" s="150">
        <f t="shared" si="0"/>
        <v>0</v>
      </c>
    </row>
    <row r="15" spans="1:15">
      <c r="C15" s="147">
        <v>14</v>
      </c>
      <c r="D15" s="175"/>
      <c r="E15" s="175"/>
      <c r="F15" s="175"/>
      <c r="G15" s="150">
        <f t="shared" si="0"/>
        <v>0</v>
      </c>
    </row>
    <row r="16" spans="1:15">
      <c r="C16" s="147">
        <v>15</v>
      </c>
      <c r="D16" s="175"/>
      <c r="E16" s="175"/>
      <c r="F16" s="175"/>
      <c r="G16" s="150">
        <f t="shared" si="0"/>
        <v>0</v>
      </c>
    </row>
    <row r="17" spans="3:7">
      <c r="C17" s="147">
        <v>16</v>
      </c>
      <c r="D17" s="175"/>
      <c r="E17" s="175"/>
      <c r="F17" s="175"/>
      <c r="G17" s="150">
        <f t="shared" si="0"/>
        <v>0</v>
      </c>
    </row>
    <row r="18" spans="3:7">
      <c r="C18" s="147">
        <v>17</v>
      </c>
      <c r="D18" s="175"/>
      <c r="E18" s="175"/>
      <c r="F18" s="175"/>
      <c r="G18" s="150">
        <f t="shared" si="0"/>
        <v>0</v>
      </c>
    </row>
    <row r="19" spans="3:7">
      <c r="C19" s="147">
        <v>18</v>
      </c>
      <c r="D19" s="175"/>
      <c r="E19" s="175"/>
      <c r="F19" s="175"/>
      <c r="G19" s="150">
        <f t="shared" si="0"/>
        <v>0</v>
      </c>
    </row>
    <row r="20" spans="3:7">
      <c r="C20" s="147">
        <v>19</v>
      </c>
      <c r="D20" s="175"/>
      <c r="E20" s="175"/>
      <c r="F20" s="175"/>
      <c r="G20" s="150">
        <f t="shared" si="0"/>
        <v>0</v>
      </c>
    </row>
    <row r="21" spans="3:7">
      <c r="C21" s="147">
        <v>20</v>
      </c>
      <c r="D21" s="175"/>
      <c r="E21" s="175"/>
      <c r="F21" s="175"/>
      <c r="G21" s="150">
        <f t="shared" si="0"/>
        <v>0</v>
      </c>
    </row>
    <row r="22" spans="3:7">
      <c r="C22" s="147">
        <v>20</v>
      </c>
      <c r="D22" s="175"/>
      <c r="E22" s="175"/>
      <c r="F22" s="175"/>
      <c r="G22" s="150">
        <f t="shared" si="0"/>
        <v>0</v>
      </c>
    </row>
    <row r="23" spans="3:7">
      <c r="C23" s="147">
        <v>21</v>
      </c>
      <c r="D23" s="175"/>
      <c r="E23" s="175"/>
      <c r="F23" s="175"/>
      <c r="G23" s="150">
        <f t="shared" si="0"/>
        <v>0</v>
      </c>
    </row>
    <row r="24" spans="3:7">
      <c r="C24" s="147">
        <v>22</v>
      </c>
      <c r="D24" s="175"/>
      <c r="E24" s="175"/>
      <c r="F24" s="175"/>
      <c r="G24" s="150">
        <f t="shared" si="0"/>
        <v>0</v>
      </c>
    </row>
    <row r="25" spans="3:7">
      <c r="C25" s="147">
        <v>23</v>
      </c>
      <c r="D25" s="175"/>
      <c r="E25" s="175"/>
      <c r="F25" s="175"/>
      <c r="G25" s="150">
        <f t="shared" si="0"/>
        <v>0</v>
      </c>
    </row>
    <row r="26" spans="3:7">
      <c r="C26" s="147">
        <v>24</v>
      </c>
      <c r="D26" s="175"/>
      <c r="E26" s="175"/>
      <c r="F26" s="175"/>
      <c r="G26" s="150">
        <f t="shared" si="0"/>
        <v>0</v>
      </c>
    </row>
    <row r="27" spans="3:7">
      <c r="C27" s="147">
        <v>25</v>
      </c>
      <c r="D27" s="175"/>
      <c r="E27" s="175"/>
      <c r="F27" s="175"/>
      <c r="G27" s="150">
        <f t="shared" si="0"/>
        <v>0</v>
      </c>
    </row>
    <row r="28" spans="3:7">
      <c r="C28" s="147">
        <v>26</v>
      </c>
      <c r="D28" s="175"/>
      <c r="E28" s="175"/>
      <c r="F28" s="175"/>
      <c r="G28" s="150">
        <f t="shared" si="0"/>
        <v>0</v>
      </c>
    </row>
    <row r="29" spans="3:7">
      <c r="C29" s="147">
        <v>27</v>
      </c>
      <c r="D29" s="175"/>
      <c r="E29" s="175"/>
      <c r="F29" s="175"/>
      <c r="G29" s="150">
        <f t="shared" si="0"/>
        <v>0</v>
      </c>
    </row>
    <row r="30" spans="3:7">
      <c r="C30" s="147">
        <v>28</v>
      </c>
      <c r="D30" s="175"/>
      <c r="E30" s="175"/>
      <c r="F30" s="175"/>
      <c r="G30" s="150">
        <f t="shared" si="0"/>
        <v>0</v>
      </c>
    </row>
    <row r="31" spans="3:7">
      <c r="C31" s="147">
        <v>29</v>
      </c>
      <c r="D31" s="175"/>
      <c r="E31" s="175"/>
      <c r="F31" s="175"/>
      <c r="G31" s="150">
        <f t="shared" si="0"/>
        <v>0</v>
      </c>
    </row>
    <row r="32" spans="3:7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zoomScale="94" workbookViewId="0">
      <selection activeCell="M17" sqref="M17:M18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62.37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12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3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8</v>
      </c>
      <c r="D11" s="175"/>
      <c r="E11" s="175"/>
      <c r="F11" s="175"/>
      <c r="G11" s="150">
        <f t="shared" si="0"/>
        <v>0</v>
      </c>
    </row>
    <row r="12" spans="1:15">
      <c r="C12" s="147">
        <v>9</v>
      </c>
      <c r="D12" s="175"/>
      <c r="E12" s="175"/>
      <c r="F12" s="175"/>
      <c r="G12" s="150">
        <f t="shared" si="0"/>
        <v>0</v>
      </c>
    </row>
    <row r="13" spans="1:15">
      <c r="C13" s="147">
        <v>10</v>
      </c>
      <c r="D13" s="175"/>
      <c r="E13" s="175"/>
      <c r="F13" s="175"/>
      <c r="G13" s="150">
        <f t="shared" si="0"/>
        <v>0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</row>
    <row r="17" spans="3:7">
      <c r="C17" s="147">
        <v>14</v>
      </c>
      <c r="D17" s="175"/>
      <c r="E17" s="175"/>
      <c r="F17" s="175"/>
      <c r="G17" s="150">
        <f t="shared" si="0"/>
        <v>0</v>
      </c>
    </row>
    <row r="18" spans="3:7">
      <c r="C18" s="147">
        <v>15</v>
      </c>
      <c r="D18" s="175"/>
      <c r="E18" s="175"/>
      <c r="F18" s="175"/>
      <c r="G18" s="150">
        <f t="shared" si="0"/>
        <v>0</v>
      </c>
    </row>
    <row r="19" spans="3:7">
      <c r="C19" s="147">
        <v>16</v>
      </c>
      <c r="D19" s="175"/>
      <c r="E19" s="175"/>
      <c r="F19" s="175"/>
      <c r="G19" s="150">
        <f t="shared" si="0"/>
        <v>0</v>
      </c>
    </row>
    <row r="20" spans="3:7">
      <c r="C20" s="147">
        <v>17</v>
      </c>
      <c r="D20" s="175"/>
      <c r="E20" s="175"/>
      <c r="F20" s="175"/>
      <c r="G20" s="150">
        <f t="shared" si="0"/>
        <v>0</v>
      </c>
    </row>
    <row r="21" spans="3:7">
      <c r="C21" s="147">
        <v>18</v>
      </c>
      <c r="D21" s="175"/>
      <c r="E21" s="175"/>
      <c r="F21" s="175"/>
      <c r="G21" s="150">
        <f t="shared" si="0"/>
        <v>0</v>
      </c>
    </row>
    <row r="22" spans="3:7">
      <c r="C22" s="147">
        <v>19</v>
      </c>
      <c r="D22" s="175"/>
      <c r="E22" s="175"/>
      <c r="F22" s="175"/>
      <c r="G22" s="150">
        <f t="shared" si="0"/>
        <v>0</v>
      </c>
    </row>
    <row r="23" spans="3:7">
      <c r="C23" s="147">
        <v>20</v>
      </c>
      <c r="D23" s="175"/>
      <c r="E23" s="175"/>
      <c r="F23" s="175"/>
      <c r="G23" s="150">
        <f t="shared" si="0"/>
        <v>0</v>
      </c>
    </row>
    <row r="24" spans="3:7">
      <c r="C24" s="147">
        <v>21</v>
      </c>
      <c r="D24" s="175"/>
      <c r="E24" s="175"/>
      <c r="F24" s="175"/>
      <c r="G24" s="150">
        <f t="shared" si="0"/>
        <v>0</v>
      </c>
    </row>
    <row r="25" spans="3:7">
      <c r="C25" s="147">
        <v>22</v>
      </c>
      <c r="D25" s="175"/>
      <c r="E25" s="175"/>
      <c r="F25" s="175"/>
      <c r="G25" s="150">
        <f t="shared" si="0"/>
        <v>0</v>
      </c>
    </row>
    <row r="26" spans="3:7">
      <c r="C26" s="147">
        <v>23</v>
      </c>
      <c r="D26" s="175"/>
      <c r="E26" s="175"/>
      <c r="F26" s="175"/>
      <c r="G26" s="150">
        <f t="shared" si="0"/>
        <v>0</v>
      </c>
    </row>
    <row r="27" spans="3:7">
      <c r="C27" s="147">
        <v>24</v>
      </c>
      <c r="D27" s="175"/>
      <c r="E27" s="175"/>
      <c r="F27" s="175"/>
      <c r="G27" s="150">
        <f t="shared" si="0"/>
        <v>0</v>
      </c>
    </row>
    <row r="28" spans="3:7">
      <c r="C28" s="147">
        <v>25</v>
      </c>
      <c r="D28" s="175"/>
      <c r="E28" s="175"/>
      <c r="F28" s="175"/>
      <c r="G28" s="150">
        <f t="shared" si="0"/>
        <v>0</v>
      </c>
    </row>
    <row r="29" spans="3:7">
      <c r="C29" s="147">
        <v>26</v>
      </c>
      <c r="D29" s="175"/>
      <c r="E29" s="175"/>
      <c r="F29" s="175"/>
      <c r="G29" s="150">
        <f t="shared" si="0"/>
        <v>0</v>
      </c>
    </row>
    <row r="30" spans="3:7">
      <c r="C30" s="147">
        <v>27</v>
      </c>
      <c r="D30" s="175"/>
      <c r="E30" s="175"/>
      <c r="F30" s="175"/>
      <c r="G30" s="150">
        <f t="shared" si="0"/>
        <v>0</v>
      </c>
    </row>
    <row r="31" spans="3:7">
      <c r="C31" s="147">
        <v>28</v>
      </c>
      <c r="D31" s="175"/>
      <c r="E31" s="175"/>
      <c r="F31" s="175"/>
      <c r="G31" s="150">
        <f t="shared" si="0"/>
        <v>0</v>
      </c>
    </row>
    <row r="32" spans="3:7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K10" sqref="K10"/>
    </sheetView>
  </sheetViews>
  <sheetFormatPr defaultColWidth="11" defaultRowHeight="12.95"/>
  <cols>
    <col min="1" max="1" width="8.375" style="210" customWidth="1"/>
    <col min="2" max="2" width="2.625" style="167" customWidth="1"/>
    <col min="3" max="4" width="4.125" style="180" customWidth="1"/>
    <col min="5" max="5" width="23.375" style="180" customWidth="1"/>
    <col min="6" max="6" width="14.125" style="167" customWidth="1"/>
    <col min="7" max="7" width="7.125" style="172" customWidth="1"/>
    <col min="8" max="8" width="14.375" style="171" customWidth="1"/>
    <col min="9" max="9" width="7.125" style="172" customWidth="1"/>
    <col min="10" max="10" width="10.125" style="181" customWidth="1"/>
    <col min="11" max="11" width="13.875" style="180" customWidth="1"/>
    <col min="12" max="12" width="6.375" style="180" hidden="1" customWidth="1"/>
    <col min="13" max="13" width="20.875" style="180" hidden="1" customWidth="1"/>
    <col min="14" max="14" width="10.5" style="180" hidden="1" customWidth="1"/>
    <col min="15" max="15" width="3.875" style="180" hidden="1" customWidth="1"/>
    <col min="16" max="16" width="1.625" style="180" customWidth="1"/>
    <col min="17" max="17" width="3.5" style="180" customWidth="1"/>
    <col min="18" max="18" width="15.125" style="180" bestFit="1" customWidth="1"/>
    <col min="19" max="19" width="4.5" style="180" customWidth="1"/>
    <col min="20" max="20" width="14.125" style="180" bestFit="1" customWidth="1"/>
    <col min="21" max="21" width="15.5" style="180" customWidth="1"/>
    <col min="22" max="16384" width="11" style="180"/>
  </cols>
  <sheetData>
    <row r="1" spans="1:154" s="179" customFormat="1" ht="41.1" customHeight="1">
      <c r="A1" s="145"/>
      <c r="B1" s="208"/>
      <c r="C1" s="260" t="s">
        <v>13</v>
      </c>
      <c r="E1" s="201"/>
      <c r="F1" s="261"/>
      <c r="G1" s="262"/>
      <c r="H1" s="205"/>
      <c r="I1" s="218"/>
      <c r="K1" s="206"/>
      <c r="EX1" s="207"/>
    </row>
    <row r="2" spans="1:154" s="172" customFormat="1" ht="8.4499999999999993" customHeight="1">
      <c r="A2" s="209"/>
      <c r="H2" s="174"/>
      <c r="J2" s="174"/>
    </row>
    <row r="3" spans="1:154" s="172" customFormat="1">
      <c r="A3" s="209"/>
      <c r="E3" s="233" t="s">
        <v>14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5.95">
      <c r="A5" s="209"/>
      <c r="F5" s="203"/>
      <c r="H5" s="174"/>
      <c r="J5" s="174"/>
      <c r="S5" s="204"/>
    </row>
    <row r="6" spans="1:154" ht="18">
      <c r="C6" s="211" t="s">
        <v>15</v>
      </c>
      <c r="F6" s="322" t="s">
        <v>16</v>
      </c>
      <c r="H6" s="322" t="s">
        <v>16</v>
      </c>
      <c r="S6" s="182"/>
    </row>
    <row r="7" spans="1:154" ht="5.0999999999999996" customHeight="1">
      <c r="C7" s="211"/>
      <c r="F7" s="134"/>
      <c r="H7" s="138"/>
      <c r="S7" s="182"/>
    </row>
    <row r="8" spans="1:154">
      <c r="F8" s="333" t="s">
        <v>17</v>
      </c>
      <c r="G8" s="334"/>
      <c r="H8" s="333" t="s">
        <v>18</v>
      </c>
      <c r="I8" s="334"/>
      <c r="K8" s="183"/>
      <c r="L8" s="183"/>
      <c r="N8" s="184"/>
      <c r="S8" s="182"/>
    </row>
    <row r="9" spans="1:154">
      <c r="C9" s="180" t="s">
        <v>19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20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21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22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23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24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25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26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27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28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.1" thickBot="1">
      <c r="D19" s="180" t="s">
        <v>29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.1" thickTop="1">
      <c r="C20" s="180" t="s">
        <v>30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6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31</v>
      </c>
      <c r="F23" s="134"/>
      <c r="H23" s="138"/>
      <c r="K23" s="185"/>
      <c r="L23" s="185"/>
      <c r="O23" s="186"/>
    </row>
    <row r="24" spans="3:19" ht="5.45" customHeight="1">
      <c r="C24" s="211"/>
      <c r="F24" s="134"/>
      <c r="H24" s="138"/>
      <c r="I24" s="214"/>
      <c r="K24" s="185"/>
      <c r="L24" s="185"/>
      <c r="O24" s="186"/>
    </row>
    <row r="25" spans="3:19">
      <c r="F25" s="333" t="s">
        <v>17</v>
      </c>
      <c r="G25" s="334"/>
      <c r="H25" s="333" t="s">
        <v>18</v>
      </c>
      <c r="I25" s="334"/>
      <c r="J25" s="190" t="s">
        <v>32</v>
      </c>
      <c r="K25" s="183"/>
      <c r="L25" s="183"/>
      <c r="O25" s="186"/>
      <c r="S25" s="188"/>
    </row>
    <row r="26" spans="3:19">
      <c r="C26" s="180" t="s">
        <v>33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34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35</v>
      </c>
      <c r="N27" s="193"/>
      <c r="O27" s="194"/>
    </row>
    <row r="28" spans="3:19">
      <c r="C28" s="180" t="s">
        <v>36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37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38</v>
      </c>
      <c r="N29" s="197">
        <f>((100+'Power of One'!F15)/100)*'Data Input'!H9</f>
        <v>0</v>
      </c>
      <c r="O29" s="196"/>
    </row>
    <row r="30" spans="3:19">
      <c r="C30" s="212" t="s">
        <v>39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40</v>
      </c>
      <c r="N30" s="197">
        <f>N29/365*'Power of One'!H9</f>
        <v>0</v>
      </c>
      <c r="O30" s="196"/>
      <c r="S30" s="182"/>
    </row>
    <row r="31" spans="3:19">
      <c r="C31" s="180" t="s">
        <v>41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42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38</v>
      </c>
      <c r="N32" s="197">
        <f>('Data Input'!H9*('Power of One'!F17/100))+'Data Input'!H9</f>
        <v>0</v>
      </c>
      <c r="O32" s="196"/>
      <c r="S32" s="188"/>
    </row>
    <row r="33" spans="3:19" ht="14.1" thickBot="1">
      <c r="C33" s="212" t="s">
        <v>43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40</v>
      </c>
      <c r="N33" s="197">
        <f>(N32/365*'Power of One'!H9)</f>
        <v>0</v>
      </c>
      <c r="O33" s="196"/>
    </row>
    <row r="34" spans="3:19" ht="6.6" customHeight="1" thickTop="1">
      <c r="H34" s="167"/>
      <c r="I34" s="214"/>
      <c r="J34" s="189"/>
      <c r="K34" s="185"/>
      <c r="L34" s="195"/>
      <c r="M34" s="180" t="s">
        <v>44</v>
      </c>
      <c r="N34" s="197">
        <f>'Data Input'!H10+('Data Input'!H10*('Power of One'!F17/100))</f>
        <v>0</v>
      </c>
      <c r="O34" s="196"/>
    </row>
    <row r="35" spans="3:19">
      <c r="C35" s="180" t="s">
        <v>45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46</v>
      </c>
      <c r="N35" s="197">
        <f>N34/365*'Power of One'!H10</f>
        <v>0</v>
      </c>
      <c r="O35" s="196"/>
    </row>
    <row r="36" spans="3:19">
      <c r="C36" s="180" t="s">
        <v>47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48</v>
      </c>
      <c r="N36" s="197">
        <f>N34/365*'Power of One'!H11</f>
        <v>0</v>
      </c>
      <c r="O36" s="196"/>
    </row>
    <row r="37" spans="3:19">
      <c r="C37" s="180" t="s">
        <v>49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50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44</v>
      </c>
      <c r="N38" s="197">
        <f>'Data Input'!H10-'Power of One'!J19</f>
        <v>0</v>
      </c>
      <c r="O38" s="196"/>
    </row>
    <row r="39" spans="3:19">
      <c r="C39" s="180" t="s">
        <v>51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46</v>
      </c>
      <c r="N39" s="197">
        <f>N38/365*'Power of One'!H10</f>
        <v>0</v>
      </c>
      <c r="O39" s="196"/>
    </row>
    <row r="40" spans="3:19">
      <c r="C40" s="180" t="s">
        <v>52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48</v>
      </c>
      <c r="N40" s="197">
        <f>N38/365*'Power of One'!H11</f>
        <v>0</v>
      </c>
      <c r="O40" s="196"/>
      <c r="S40" s="198"/>
    </row>
    <row r="41" spans="3:19">
      <c r="C41" s="212" t="s">
        <v>53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54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55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.1" thickBot="1">
      <c r="C44" s="212" t="s">
        <v>56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.1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</sheetPr>
  <dimension ref="A1:EW86"/>
  <sheetViews>
    <sheetView showGridLines="0" zoomScaleNormal="100" zoomScalePageLayoutView="110" workbookViewId="0">
      <pane ySplit="2" topLeftCell="A3" activePane="bottomLeft" state="frozen"/>
      <selection pane="bottomLeft" activeCell="C4" sqref="C4"/>
    </sheetView>
  </sheetViews>
  <sheetFormatPr defaultColWidth="11" defaultRowHeight="15.95"/>
  <cols>
    <col min="1" max="1" width="7.875" style="156" customWidth="1"/>
    <col min="2" max="2" width="3.5" style="157" customWidth="1"/>
    <col min="3" max="4" width="4.125" style="93" customWidth="1"/>
    <col min="5" max="5" width="23.375" style="93" customWidth="1"/>
    <col min="6" max="6" width="14.125" style="93" customWidth="1"/>
    <col min="7" max="7" width="7.125" style="93" customWidth="1"/>
    <col min="8" max="8" width="14.375" style="109" customWidth="1"/>
    <col min="9" max="9" width="7.125" style="93" customWidth="1"/>
    <col min="10" max="10" width="10.125" style="109" customWidth="1"/>
    <col min="11" max="11" width="13.875" style="93" customWidth="1"/>
    <col min="12" max="12" width="6.375" style="93" customWidth="1"/>
    <col min="13" max="13" width="2" style="93" customWidth="1"/>
    <col min="14" max="14" width="16.875" style="93" customWidth="1"/>
    <col min="15" max="15" width="12" style="93" customWidth="1"/>
    <col min="16" max="16" width="1.625" style="93" customWidth="1"/>
    <col min="17" max="17" width="3.5" style="93" customWidth="1"/>
    <col min="18" max="18" width="15.125" style="93" bestFit="1" customWidth="1"/>
    <col min="19" max="19" width="4.5" style="93" customWidth="1"/>
    <col min="20" max="20" width="14.1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.1" customHeight="1" thickBot="1">
      <c r="A2" s="156"/>
      <c r="B2" s="157"/>
      <c r="C2" s="152" t="s">
        <v>57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58</v>
      </c>
    </row>
    <row r="5" spans="1:153">
      <c r="F5" s="108"/>
    </row>
    <row r="6" spans="1:153">
      <c r="F6" s="114"/>
      <c r="S6" s="115"/>
    </row>
    <row r="7" spans="1:153" ht="18">
      <c r="C7" s="104" t="s">
        <v>15</v>
      </c>
      <c r="S7" s="116"/>
    </row>
    <row r="8" spans="1:153">
      <c r="F8" s="335" t="s">
        <v>17</v>
      </c>
      <c r="G8" s="336"/>
      <c r="H8" s="335" t="s">
        <v>18</v>
      </c>
      <c r="I8" s="336"/>
      <c r="K8" s="128"/>
      <c r="L8" s="128"/>
      <c r="S8" s="116"/>
    </row>
    <row r="9" spans="1:153">
      <c r="C9" s="93" t="s">
        <v>19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20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21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22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23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24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25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26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27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28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.100000000000001" thickBot="1">
      <c r="D19" s="93" t="s">
        <v>29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.100000000000001" thickTop="1">
      <c r="C20" s="93" t="s">
        <v>30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31</v>
      </c>
      <c r="F23" s="109"/>
      <c r="G23" s="119"/>
      <c r="I23" s="119"/>
      <c r="K23" s="122"/>
      <c r="L23" s="122"/>
    </row>
    <row r="24" spans="3:19">
      <c r="F24" s="335" t="s">
        <v>17</v>
      </c>
      <c r="G24" s="336"/>
      <c r="H24" s="335" t="s">
        <v>18</v>
      </c>
      <c r="I24" s="336"/>
      <c r="J24" s="127" t="s">
        <v>32</v>
      </c>
      <c r="K24" s="128"/>
      <c r="L24" s="128"/>
      <c r="S24" s="96"/>
    </row>
    <row r="25" spans="3:19">
      <c r="C25" s="93" t="s">
        <v>33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34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36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37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39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41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42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.100000000000001" thickBot="1">
      <c r="C32" s="105" t="s">
        <v>43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.100000000000001" thickTop="1">
      <c r="I33" s="119"/>
      <c r="J33" s="124"/>
      <c r="K33" s="122"/>
      <c r="L33" s="122"/>
    </row>
    <row r="34" spans="3:19">
      <c r="C34" s="93" t="s">
        <v>45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47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49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50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51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52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53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54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55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.100000000000001" thickBot="1">
      <c r="C43" s="105" t="s">
        <v>56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.100000000000001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59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60</v>
      </c>
      <c r="J50" s="85" t="s">
        <v>61</v>
      </c>
    </row>
    <row r="51" spans="3:18">
      <c r="C51" s="93" t="s">
        <v>62</v>
      </c>
      <c r="H51" s="86">
        <f>H19+J26+J27+J34+J30</f>
        <v>-3260074</v>
      </c>
      <c r="J51" s="86">
        <f>H16</f>
        <v>4618850</v>
      </c>
      <c r="M51" s="87"/>
      <c r="N51" s="88" t="s">
        <v>35</v>
      </c>
      <c r="O51" s="89"/>
      <c r="P51" s="90"/>
    </row>
    <row r="52" spans="3:18">
      <c r="C52" s="93" t="s">
        <v>63</v>
      </c>
      <c r="H52" s="91">
        <f>H26/(H9/365)</f>
        <v>75.000000119047627</v>
      </c>
      <c r="J52" s="95"/>
      <c r="M52" s="92"/>
      <c r="P52" s="94"/>
    </row>
    <row r="53" spans="3:18">
      <c r="C53" s="93" t="s">
        <v>64</v>
      </c>
      <c r="H53" s="86">
        <f>H34/(H10/365)</f>
        <v>69.999997239475505</v>
      </c>
      <c r="J53" s="95"/>
      <c r="M53" s="92"/>
      <c r="N53" s="93" t="s">
        <v>38</v>
      </c>
      <c r="O53" s="86">
        <f>((100+F58)/100)*H9</f>
        <v>42420000</v>
      </c>
      <c r="P53" s="94"/>
    </row>
    <row r="54" spans="3:18">
      <c r="C54" s="93" t="s">
        <v>65</v>
      </c>
      <c r="H54" s="86">
        <f>H27/(H10/365)</f>
        <v>180.00000189786061</v>
      </c>
      <c r="J54" s="95"/>
      <c r="M54" s="92"/>
      <c r="N54" s="93" t="s">
        <v>40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38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40</v>
      </c>
      <c r="O57" s="86">
        <f>(O56/365*H52)</f>
        <v>8716438.370000001</v>
      </c>
      <c r="P57" s="94"/>
      <c r="R57" s="109"/>
    </row>
    <row r="58" spans="3:18">
      <c r="C58" s="93" t="s">
        <v>66</v>
      </c>
      <c r="F58" s="73">
        <v>1</v>
      </c>
      <c r="G58" s="131" t="s">
        <v>67</v>
      </c>
      <c r="H58" s="86">
        <f>J58*(365-H52)/365</f>
        <v>333698.63</v>
      </c>
      <c r="J58" s="86">
        <f>H9*(F58/100)</f>
        <v>420000</v>
      </c>
      <c r="M58" s="92"/>
      <c r="N58" s="93" t="s">
        <v>44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46</v>
      </c>
      <c r="O59" s="86">
        <f>O58/365*H53</f>
        <v>5613386.0800000001</v>
      </c>
      <c r="P59" s="94"/>
    </row>
    <row r="60" spans="3:18">
      <c r="C60" s="93" t="s">
        <v>68</v>
      </c>
      <c r="F60" s="73">
        <v>1</v>
      </c>
      <c r="G60" s="131" t="s">
        <v>67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48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69</v>
      </c>
      <c r="F62" s="73">
        <v>1</v>
      </c>
      <c r="G62" s="131" t="s">
        <v>67</v>
      </c>
      <c r="H62" s="86">
        <f>J62-H34+O63+H27-O64</f>
        <v>377136.98999999836</v>
      </c>
      <c r="J62" s="86">
        <f>H10*(F62/100)</f>
        <v>289800</v>
      </c>
      <c r="M62" s="92"/>
      <c r="N62" s="93" t="s">
        <v>44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46</v>
      </c>
      <c r="O63" s="86">
        <f>O62/365*H53</f>
        <v>5502229.9199999999</v>
      </c>
      <c r="P63" s="94"/>
    </row>
    <row r="64" spans="3:18">
      <c r="C64" s="93" t="s">
        <v>70</v>
      </c>
      <c r="F64" s="73">
        <v>1</v>
      </c>
      <c r="G64" s="131" t="s">
        <v>67</v>
      </c>
      <c r="H64" s="86">
        <f>+J64</f>
        <v>130199.99999999898</v>
      </c>
      <c r="J64" s="86">
        <f>H12*(O65-I12)</f>
        <v>130199.99999999898</v>
      </c>
      <c r="M64" s="92"/>
      <c r="N64" s="93" t="s">
        <v>48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71</v>
      </c>
      <c r="F66" s="73">
        <v>1</v>
      </c>
      <c r="G66" s="131" t="s">
        <v>67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72</v>
      </c>
      <c r="F68" s="73">
        <v>1</v>
      </c>
      <c r="G68" s="131" t="s">
        <v>67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73</v>
      </c>
      <c r="F70" s="73">
        <v>1</v>
      </c>
      <c r="G70" s="93" t="s">
        <v>74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75</v>
      </c>
      <c r="F72" s="73">
        <v>1</v>
      </c>
      <c r="G72" s="93" t="s">
        <v>74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76</v>
      </c>
      <c r="F74" s="73">
        <v>1</v>
      </c>
      <c r="G74" s="93" t="s">
        <v>74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.100000000000001" thickBot="1">
      <c r="C76" s="108" t="s">
        <v>77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.100000000000001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0" fitToHeight="0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</sheetPr>
  <dimension ref="A1:EW43"/>
  <sheetViews>
    <sheetView showGridLines="0" zoomScale="109" zoomScaleNormal="100" zoomScalePageLayoutView="110" workbookViewId="0">
      <selection activeCell="C1" sqref="C1"/>
    </sheetView>
  </sheetViews>
  <sheetFormatPr defaultColWidth="11" defaultRowHeight="12.95"/>
  <cols>
    <col min="1" max="1" width="7.375" style="247" customWidth="1"/>
    <col min="2" max="2" width="3.375" style="237" customWidth="1"/>
    <col min="3" max="4" width="4.125" style="237" customWidth="1"/>
    <col min="5" max="5" width="30.125" style="237" customWidth="1"/>
    <col min="6" max="6" width="5.375" style="237" bestFit="1" customWidth="1"/>
    <col min="7" max="7" width="5.625" style="237" customWidth="1"/>
    <col min="8" max="8" width="14.375" style="240" customWidth="1"/>
    <col min="9" max="9" width="2.625" style="237" customWidth="1"/>
    <col min="10" max="10" width="10.125" style="240" customWidth="1"/>
    <col min="11" max="11" width="13.875" style="135" customWidth="1"/>
    <col min="12" max="12" width="6.375" style="135" customWidth="1"/>
    <col min="13" max="13" width="2" style="135" customWidth="1"/>
    <col min="14" max="14" width="16.875" style="162" customWidth="1"/>
    <col min="15" max="15" width="10.625" style="135" customWidth="1"/>
    <col min="16" max="16" width="1.625" style="135" customWidth="1"/>
    <col min="17" max="17" width="3.5" style="135" customWidth="1"/>
    <col min="18" max="18" width="15.125" style="135" bestFit="1" customWidth="1"/>
    <col min="19" max="19" width="4.5" style="135" customWidth="1"/>
    <col min="20" max="20" width="14.125" style="135" bestFit="1" customWidth="1"/>
    <col min="21" max="21" width="15.5" style="135" customWidth="1"/>
    <col min="22" max="16384" width="11" style="135"/>
  </cols>
  <sheetData>
    <row r="1" spans="1:153" s="243" customFormat="1" ht="38.1" customHeight="1">
      <c r="A1" s="247"/>
      <c r="B1" s="245"/>
      <c r="C1" s="242" t="s">
        <v>78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58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59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60</v>
      </c>
      <c r="I7" s="162"/>
      <c r="J7" s="259" t="s">
        <v>61</v>
      </c>
    </row>
    <row r="8" spans="1:153">
      <c r="C8" s="180" t="s">
        <v>62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63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64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65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79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66</v>
      </c>
      <c r="D15" s="180"/>
      <c r="E15" s="249"/>
      <c r="F15" s="248"/>
      <c r="G15" s="252" t="s">
        <v>67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68</v>
      </c>
      <c r="D17" s="180"/>
      <c r="E17" s="249"/>
      <c r="F17" s="248">
        <v>0</v>
      </c>
      <c r="G17" s="252" t="s">
        <v>67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69</v>
      </c>
      <c r="D19" s="180"/>
      <c r="E19" s="249"/>
      <c r="F19" s="248">
        <v>0</v>
      </c>
      <c r="G19" s="252" t="s">
        <v>67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70</v>
      </c>
      <c r="D21" s="180"/>
      <c r="E21" s="249"/>
      <c r="F21" s="248">
        <v>0</v>
      </c>
      <c r="G21" s="252" t="s">
        <v>67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71</v>
      </c>
      <c r="D23" s="180"/>
      <c r="E23" s="249"/>
      <c r="F23" s="248">
        <v>0</v>
      </c>
      <c r="G23" s="252" t="s">
        <v>67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72</v>
      </c>
      <c r="D25" s="180"/>
      <c r="E25" s="249"/>
      <c r="F25" s="248">
        <v>0</v>
      </c>
      <c r="G25" s="252" t="s">
        <v>67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73</v>
      </c>
      <c r="D27" s="180"/>
      <c r="E27" s="249"/>
      <c r="F27" s="248">
        <v>0</v>
      </c>
      <c r="G27" s="180" t="s">
        <v>74</v>
      </c>
      <c r="H27" s="197" t="s">
        <v>80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75</v>
      </c>
      <c r="D29" s="180"/>
      <c r="E29" s="249"/>
      <c r="F29" s="248">
        <v>0</v>
      </c>
      <c r="G29" s="180" t="s">
        <v>74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76</v>
      </c>
      <c r="D31" s="180"/>
      <c r="E31" s="249"/>
      <c r="F31" s="248">
        <v>0</v>
      </c>
      <c r="G31" s="180" t="s">
        <v>74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.1" thickBot="1">
      <c r="C33" s="251" t="s">
        <v>77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.1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0" fitToHeight="0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J9" sqref="J9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4.5" style="146" customWidth="1"/>
    <col min="5" max="5" width="22.375" style="146" customWidth="1"/>
    <col min="6" max="6" width="13.875" style="146" customWidth="1"/>
    <col min="7" max="7" width="9" style="146"/>
    <col min="8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81</v>
      </c>
      <c r="H1" s="143"/>
      <c r="O1" s="144"/>
    </row>
    <row r="3" spans="1:15">
      <c r="C3" s="147"/>
      <c r="D3" s="148" t="s">
        <v>82</v>
      </c>
      <c r="E3" s="149" t="s">
        <v>83</v>
      </c>
      <c r="F3" s="149" t="s">
        <v>84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zoomScale="87" zoomScaleNormal="80" workbookViewId="0">
      <selection activeCell="C1" sqref="C1"/>
    </sheetView>
  </sheetViews>
  <sheetFormatPr defaultColWidth="8.875" defaultRowHeight="15.95"/>
  <cols>
    <col min="1" max="1" width="7.125" style="323" customWidth="1"/>
    <col min="2" max="2" width="4.5" style="267" customWidth="1"/>
    <col min="3" max="3" width="4.5" style="266" customWidth="1"/>
    <col min="4" max="4" width="36.5" style="266" bestFit="1" customWidth="1"/>
    <col min="5" max="7" width="13.125" style="268" customWidth="1"/>
    <col min="8" max="8" width="27.875" style="268" customWidth="1"/>
    <col min="9" max="10" width="8.875" style="267"/>
    <col min="11" max="11" width="8.875" style="266"/>
    <col min="12" max="15" width="8.875" style="267"/>
    <col min="16" max="16" width="8.5" style="267" bestFit="1" customWidth="1"/>
    <col min="17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1.1" customHeight="1">
      <c r="A1" s="323"/>
      <c r="B1" s="325"/>
      <c r="C1" s="242" t="s">
        <v>85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hidden="1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3"/>
      <c r="C5" s="267"/>
      <c r="D5" s="267"/>
      <c r="E5" s="327">
        <v>2018</v>
      </c>
      <c r="F5" s="327">
        <v>2019</v>
      </c>
      <c r="G5" s="327">
        <v>2020</v>
      </c>
      <c r="H5" s="327">
        <v>2021</v>
      </c>
    </row>
    <row r="6" spans="1:21" s="268" customFormat="1" ht="5.25" customHeight="1">
      <c r="A6" s="323"/>
      <c r="C6" s="267"/>
    </row>
    <row r="7" spans="1:21" s="268" customFormat="1" ht="15.75" customHeight="1">
      <c r="A7" s="323"/>
      <c r="C7" s="337" t="s">
        <v>86</v>
      </c>
      <c r="D7" s="328" t="s">
        <v>19</v>
      </c>
      <c r="E7" s="305"/>
      <c r="F7" s="305"/>
      <c r="G7" s="305"/>
      <c r="H7" s="305"/>
      <c r="I7" s="273"/>
      <c r="J7" s="311"/>
      <c r="K7" s="311"/>
      <c r="L7" s="311"/>
    </row>
    <row r="8" spans="1:21" ht="6" customHeight="1">
      <c r="C8" s="338"/>
      <c r="D8" s="303"/>
      <c r="E8" s="285"/>
      <c r="F8" s="285"/>
      <c r="G8" s="285"/>
      <c r="H8" s="329"/>
    </row>
    <row r="9" spans="1:21" s="268" customFormat="1" ht="18">
      <c r="A9" s="323"/>
      <c r="C9" s="338"/>
      <c r="D9" s="303" t="s">
        <v>20</v>
      </c>
      <c r="E9" s="305"/>
      <c r="F9" s="305"/>
      <c r="G9" s="305"/>
      <c r="H9" s="305"/>
      <c r="I9" s="273"/>
      <c r="J9" s="310"/>
    </row>
    <row r="10" spans="1:21" ht="4.5" customHeight="1">
      <c r="C10" s="338"/>
      <c r="D10" s="303"/>
      <c r="E10" s="285"/>
      <c r="F10" s="285"/>
      <c r="G10" s="285"/>
      <c r="H10" s="329"/>
    </row>
    <row r="11" spans="1:21" s="268" customFormat="1">
      <c r="A11" s="323"/>
      <c r="C11" s="338"/>
      <c r="D11" s="283" t="s">
        <v>87</v>
      </c>
      <c r="E11" s="285">
        <f>+E7-E9</f>
        <v>0</v>
      </c>
      <c r="F11" s="285">
        <f>+F7-F9</f>
        <v>0</v>
      </c>
      <c r="G11" s="285">
        <f>+G7-G9</f>
        <v>0</v>
      </c>
      <c r="H11" s="329">
        <f>+H7-H9</f>
        <v>0</v>
      </c>
      <c r="I11" s="273"/>
    </row>
    <row r="12" spans="1:21" s="268" customFormat="1">
      <c r="A12" s="323"/>
      <c r="C12" s="338"/>
      <c r="D12" s="309" t="s">
        <v>88</v>
      </c>
      <c r="E12" s="308" t="e">
        <f>+E11/E7</f>
        <v>#DIV/0!</v>
      </c>
      <c r="F12" s="308" t="e">
        <f>+F11/F7</f>
        <v>#DIV/0!</v>
      </c>
      <c r="G12" s="308" t="e">
        <f>+G11/G7</f>
        <v>#DIV/0!</v>
      </c>
      <c r="H12" s="330" t="e">
        <f>+H11/H7</f>
        <v>#DIV/0!</v>
      </c>
      <c r="I12" s="273"/>
    </row>
    <row r="13" spans="1:21" ht="10.5" customHeight="1">
      <c r="C13" s="338"/>
      <c r="D13" s="303"/>
      <c r="E13" s="285"/>
      <c r="F13" s="285"/>
      <c r="G13" s="285"/>
      <c r="H13" s="329"/>
    </row>
    <row r="14" spans="1:21" s="268" customFormat="1" ht="18">
      <c r="A14" s="323"/>
      <c r="C14" s="338"/>
      <c r="D14" s="303" t="s">
        <v>89</v>
      </c>
      <c r="E14" s="305"/>
      <c r="F14" s="305"/>
      <c r="G14" s="305"/>
      <c r="H14" s="305"/>
      <c r="I14" s="273"/>
    </row>
    <row r="15" spans="1:21" ht="4.5" customHeight="1">
      <c r="C15" s="338"/>
      <c r="D15" s="303"/>
      <c r="E15" s="285"/>
      <c r="F15" s="285"/>
      <c r="G15" s="285"/>
      <c r="H15" s="329"/>
    </row>
    <row r="16" spans="1:21" s="268" customFormat="1" ht="18.95">
      <c r="A16" s="323"/>
      <c r="C16" s="338"/>
      <c r="D16" s="301" t="s">
        <v>23</v>
      </c>
      <c r="E16" s="300">
        <f>E11-E14</f>
        <v>0</v>
      </c>
      <c r="F16" s="300">
        <f>F11-F14</f>
        <v>0</v>
      </c>
      <c r="G16" s="300">
        <f>G11-G14</f>
        <v>0</v>
      </c>
      <c r="H16" s="331">
        <f>H11-H14</f>
        <v>0</v>
      </c>
      <c r="I16" s="273"/>
    </row>
    <row r="17" spans="1:45" s="268" customFormat="1" ht="18.95">
      <c r="A17" s="323"/>
      <c r="C17" s="339"/>
      <c r="D17" s="298" t="s">
        <v>90</v>
      </c>
      <c r="E17" s="297" t="str">
        <f>IFERROR(+E11/E14,"")</f>
        <v/>
      </c>
      <c r="F17" s="297" t="str">
        <f>IFERROR(+F11/F14,"")</f>
        <v/>
      </c>
      <c r="G17" s="297" t="str">
        <f>IFERROR(+G11/G14,"")</f>
        <v/>
      </c>
      <c r="H17" s="332" t="str">
        <f>IFERROR(+H11/H14,"")</f>
        <v/>
      </c>
      <c r="I17" s="273"/>
    </row>
    <row r="18" spans="1:45" ht="5.25" customHeight="1">
      <c r="C18" s="274"/>
      <c r="E18" s="296"/>
      <c r="F18" s="296"/>
      <c r="G18" s="296"/>
      <c r="H18" s="295"/>
      <c r="P18" s="307"/>
    </row>
    <row r="19" spans="1:45" s="268" customFormat="1" ht="15" customHeight="1">
      <c r="A19" s="323"/>
      <c r="C19" s="340" t="s">
        <v>91</v>
      </c>
      <c r="D19" s="303" t="s">
        <v>92</v>
      </c>
      <c r="E19" s="296"/>
      <c r="F19" s="296"/>
      <c r="G19" s="296"/>
      <c r="H19" s="295"/>
      <c r="I19" s="273"/>
    </row>
    <row r="20" spans="1:45" s="268" customFormat="1">
      <c r="A20" s="323"/>
      <c r="C20" s="341"/>
      <c r="D20" s="306" t="s">
        <v>93</v>
      </c>
      <c r="E20" s="288"/>
      <c r="F20" s="288"/>
      <c r="G20" s="288"/>
      <c r="H20" s="287"/>
      <c r="I20" s="273"/>
    </row>
    <row r="21" spans="1:45" s="268" customFormat="1">
      <c r="A21" s="323"/>
      <c r="C21" s="341"/>
      <c r="D21" s="306" t="s">
        <v>94</v>
      </c>
      <c r="E21" s="288"/>
      <c r="F21" s="288"/>
      <c r="G21" s="288"/>
      <c r="H21" s="287"/>
      <c r="I21" s="273"/>
    </row>
    <row r="22" spans="1:45" s="268" customFormat="1">
      <c r="A22" s="323"/>
      <c r="C22" s="341"/>
      <c r="D22" s="306" t="s">
        <v>95</v>
      </c>
      <c r="E22" s="288"/>
      <c r="F22" s="288"/>
      <c r="G22" s="288"/>
      <c r="H22" s="287"/>
      <c r="I22" s="273"/>
    </row>
    <row r="23" spans="1:45" s="268" customFormat="1">
      <c r="A23" s="323"/>
      <c r="C23" s="341"/>
      <c r="D23" s="306" t="s">
        <v>96</v>
      </c>
      <c r="E23" s="288"/>
      <c r="F23" s="288"/>
      <c r="G23" s="288"/>
      <c r="H23" s="287"/>
      <c r="I23" s="273"/>
    </row>
    <row r="24" spans="1:45" s="268" customFormat="1" ht="18">
      <c r="A24" s="323"/>
      <c r="C24" s="341"/>
      <c r="D24" s="306" t="s">
        <v>97</v>
      </c>
      <c r="E24" s="305"/>
      <c r="F24" s="305"/>
      <c r="G24" s="305"/>
      <c r="H24" s="304"/>
      <c r="I24" s="273"/>
    </row>
    <row r="25" spans="1:45" ht="15">
      <c r="C25" s="341"/>
      <c r="D25" s="303"/>
      <c r="E25" s="285"/>
      <c r="F25" s="285"/>
      <c r="G25" s="285"/>
      <c r="H25" s="284"/>
      <c r="N25" s="302"/>
    </row>
    <row r="26" spans="1:45" s="268" customFormat="1" ht="18.95">
      <c r="A26" s="323"/>
      <c r="C26" s="341"/>
      <c r="D26" s="301" t="s">
        <v>98</v>
      </c>
      <c r="E26" s="300">
        <f>SUM(E20:E24)</f>
        <v>0</v>
      </c>
      <c r="F26" s="300">
        <f>SUM(F20:F24)</f>
        <v>0</v>
      </c>
      <c r="G26" s="300">
        <f>SUM(G20:G24)</f>
        <v>0</v>
      </c>
      <c r="H26" s="299">
        <f>SUM(H20:H24)</f>
        <v>0</v>
      </c>
      <c r="I26" s="273"/>
    </row>
    <row r="27" spans="1:45" s="268" customFormat="1" ht="18.95">
      <c r="A27" s="323"/>
      <c r="C27" s="342"/>
      <c r="D27" s="298" t="s">
        <v>99</v>
      </c>
      <c r="E27" s="297" t="str">
        <f>IFERROR(+E16/E22,"")</f>
        <v/>
      </c>
      <c r="F27" s="297" t="str">
        <f>IFERROR(+F16/F22,"")</f>
        <v/>
      </c>
      <c r="G27" s="297" t="str">
        <f>IFERROR(+G16/G22,"")</f>
        <v/>
      </c>
      <c r="H27" s="297" t="str">
        <f>IFERROR(+H16/H22,"")</f>
        <v/>
      </c>
      <c r="I27" s="273"/>
    </row>
    <row r="28" spans="1:45" ht="4.5" customHeight="1">
      <c r="C28" s="274"/>
      <c r="E28" s="296"/>
      <c r="F28" s="296"/>
      <c r="G28" s="296"/>
      <c r="H28" s="295"/>
      <c r="I28" s="273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3"/>
      <c r="C29" s="345" t="s">
        <v>100</v>
      </c>
      <c r="D29" s="283" t="s">
        <v>101</v>
      </c>
      <c r="E29" s="294">
        <f>E16-E26</f>
        <v>0</v>
      </c>
      <c r="F29" s="294">
        <f>F16-F26</f>
        <v>0</v>
      </c>
      <c r="G29" s="294">
        <f>G16-G26</f>
        <v>0</v>
      </c>
      <c r="H29" s="293">
        <f>H16-H26</f>
        <v>0</v>
      </c>
      <c r="I29" s="273"/>
      <c r="J29" s="266"/>
    </row>
    <row r="30" spans="1:45" s="268" customFormat="1" ht="6.75" customHeight="1">
      <c r="A30" s="323"/>
      <c r="C30" s="343"/>
      <c r="D30" s="283"/>
      <c r="E30" s="292"/>
      <c r="F30" s="292"/>
      <c r="G30" s="292"/>
      <c r="H30" s="291"/>
      <c r="I30" s="273"/>
      <c r="J30" s="266"/>
    </row>
    <row r="31" spans="1:45" s="268" customFormat="1">
      <c r="A31" s="323"/>
      <c r="C31" s="343"/>
      <c r="D31" s="290" t="s">
        <v>102</v>
      </c>
      <c r="E31" s="285"/>
      <c r="F31" s="285"/>
      <c r="G31" s="285"/>
      <c r="H31" s="284"/>
      <c r="I31" s="273"/>
      <c r="J31" s="266"/>
    </row>
    <row r="32" spans="1:45" s="268" customFormat="1">
      <c r="A32" s="323"/>
      <c r="C32" s="343"/>
      <c r="D32" s="289" t="s">
        <v>103</v>
      </c>
      <c r="E32" s="288"/>
      <c r="F32" s="288"/>
      <c r="G32" s="288"/>
      <c r="H32" s="287"/>
      <c r="I32" s="273"/>
      <c r="J32" s="266"/>
    </row>
    <row r="33" spans="1:45" s="268" customFormat="1">
      <c r="A33" s="323"/>
      <c r="C33" s="343"/>
      <c r="D33" s="289" t="s">
        <v>104</v>
      </c>
      <c r="E33" s="288"/>
      <c r="F33" s="288"/>
      <c r="G33" s="288"/>
      <c r="H33" s="287"/>
      <c r="I33" s="273"/>
      <c r="J33" s="266"/>
    </row>
    <row r="34" spans="1:45" ht="4.5" customHeight="1">
      <c r="C34" s="343"/>
      <c r="D34" s="286"/>
      <c r="E34" s="285"/>
      <c r="F34" s="285"/>
      <c r="G34" s="285"/>
      <c r="H34" s="284"/>
      <c r="I34" s="273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3"/>
      <c r="C35" s="343"/>
      <c r="D35" s="286" t="s">
        <v>105</v>
      </c>
      <c r="E35" s="288"/>
      <c r="F35" s="288"/>
      <c r="G35" s="288"/>
      <c r="H35" s="287"/>
      <c r="I35" s="273"/>
      <c r="J35" s="266"/>
    </row>
    <row r="36" spans="1:45" ht="7.5" customHeight="1">
      <c r="C36" s="343"/>
      <c r="D36" s="286"/>
      <c r="E36" s="285"/>
      <c r="F36" s="285"/>
      <c r="G36" s="285"/>
      <c r="H36" s="284"/>
      <c r="I36" s="273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3"/>
      <c r="C37" s="343"/>
      <c r="D37" s="283" t="s">
        <v>106</v>
      </c>
      <c r="E37" s="282">
        <f>E29-E35</f>
        <v>0</v>
      </c>
      <c r="F37" s="282">
        <f>F29-F35</f>
        <v>0</v>
      </c>
      <c r="G37" s="282">
        <f>G29-G35</f>
        <v>0</v>
      </c>
      <c r="H37" s="281">
        <f>H29-H35</f>
        <v>0</v>
      </c>
      <c r="I37" s="273"/>
      <c r="J37" s="266"/>
    </row>
    <row r="38" spans="1:45" s="268" customFormat="1">
      <c r="A38" s="323"/>
      <c r="C38" s="343"/>
      <c r="D38" s="280" t="s">
        <v>107</v>
      </c>
      <c r="E38" s="279" t="str">
        <f>IFERROR(E37/E7,"")</f>
        <v/>
      </c>
      <c r="F38" s="279" t="str">
        <f>IFERROR(F37/F7,"")</f>
        <v/>
      </c>
      <c r="G38" s="279" t="str">
        <f>IFERROR(G37/G7,"")</f>
        <v/>
      </c>
      <c r="H38" s="278" t="str">
        <f>IFERROR(H37/H7,"")</f>
        <v/>
      </c>
      <c r="I38" s="273"/>
      <c r="J38" s="266"/>
    </row>
    <row r="39" spans="1:45" s="268" customFormat="1" ht="17.100000000000001" thickBot="1">
      <c r="A39" s="323"/>
      <c r="C39" s="344"/>
      <c r="D39" s="277" t="s">
        <v>108</v>
      </c>
      <c r="E39" s="276" t="str">
        <f>IFERROR(E37/E11,"")</f>
        <v/>
      </c>
      <c r="F39" s="276" t="str">
        <f>IFERROR(F37/F11,"")</f>
        <v/>
      </c>
      <c r="G39" s="276" t="str">
        <f>IFERROR(G37/G11,"")</f>
        <v/>
      </c>
      <c r="H39" s="275" t="str">
        <f>IFERROR(H37/H11,"")</f>
        <v/>
      </c>
      <c r="I39" s="273"/>
      <c r="J39" s="266"/>
    </row>
    <row r="40" spans="1:45" ht="5.25" customHeight="1">
      <c r="C40" s="274"/>
      <c r="E40" s="273"/>
      <c r="F40" s="273"/>
      <c r="G40" s="273"/>
      <c r="H40" s="272"/>
    </row>
    <row r="41" spans="1:45" ht="15" customHeight="1">
      <c r="C41" s="343" t="s">
        <v>109</v>
      </c>
      <c r="E41" s="273"/>
      <c r="F41" s="273"/>
      <c r="G41" s="273"/>
      <c r="H41" s="272"/>
    </row>
    <row r="42" spans="1:45">
      <c r="C42" s="343"/>
      <c r="E42" s="273"/>
      <c r="F42" s="273"/>
      <c r="G42" s="273"/>
      <c r="H42" s="272"/>
    </row>
    <row r="43" spans="1:45">
      <c r="C43" s="343"/>
      <c r="E43" s="273"/>
      <c r="F43" s="273"/>
      <c r="G43" s="273"/>
      <c r="H43" s="272"/>
    </row>
    <row r="44" spans="1:45">
      <c r="C44" s="343"/>
      <c r="E44" s="273"/>
      <c r="F44" s="273"/>
      <c r="G44" s="273"/>
      <c r="H44" s="272"/>
    </row>
    <row r="45" spans="1:45">
      <c r="C45" s="343"/>
      <c r="E45" s="273"/>
      <c r="F45" s="273"/>
      <c r="G45" s="273"/>
      <c r="H45" s="272"/>
    </row>
    <row r="46" spans="1:45">
      <c r="C46" s="343"/>
      <c r="E46" s="273"/>
      <c r="F46" s="273"/>
      <c r="G46" s="273"/>
      <c r="H46" s="272"/>
    </row>
    <row r="47" spans="1:45">
      <c r="C47" s="343"/>
      <c r="E47" s="273"/>
      <c r="F47" s="273"/>
      <c r="G47" s="273"/>
      <c r="H47" s="272"/>
    </row>
    <row r="48" spans="1:45" ht="17.100000000000001" thickBot="1">
      <c r="C48" s="344"/>
      <c r="D48" s="271"/>
      <c r="E48" s="270"/>
      <c r="F48" s="270"/>
      <c r="G48" s="270"/>
      <c r="H48" s="269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tabSelected="1" zoomScale="125" zoomScaleNormal="80" workbookViewId="0">
      <selection activeCell="K4" sqref="K4"/>
    </sheetView>
  </sheetViews>
  <sheetFormatPr defaultColWidth="8.875" defaultRowHeight="15.95"/>
  <cols>
    <col min="1" max="1" width="8.875" style="323"/>
    <col min="2" max="2" width="3.125" style="267" customWidth="1"/>
    <col min="3" max="3" width="4.5" style="266" customWidth="1"/>
    <col min="4" max="4" width="36.5" style="266" bestFit="1" customWidth="1"/>
    <col min="5" max="8" width="13.125" style="268" customWidth="1"/>
    <col min="9" max="10" width="8.875" style="267"/>
    <col min="11" max="11" width="8.875" style="266"/>
    <col min="12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5" customHeight="1">
      <c r="A1" s="323"/>
      <c r="B1" s="325"/>
      <c r="C1" s="242" t="s">
        <v>110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4"/>
      <c r="C5" s="321"/>
      <c r="D5" s="326"/>
      <c r="E5" s="327" t="s">
        <v>111</v>
      </c>
      <c r="F5" s="327" t="s">
        <v>112</v>
      </c>
      <c r="G5" s="327" t="s">
        <v>113</v>
      </c>
      <c r="H5" s="327" t="s">
        <v>114</v>
      </c>
    </row>
    <row r="6" spans="1:21" s="268" customFormat="1" ht="5.25" customHeight="1">
      <c r="A6" s="324"/>
    </row>
    <row r="7" spans="1:21" s="268" customFormat="1" ht="15.75" customHeight="1">
      <c r="A7" s="324"/>
      <c r="C7" s="346" t="s">
        <v>86</v>
      </c>
      <c r="D7" s="312" t="s">
        <v>19</v>
      </c>
      <c r="E7" s="318">
        <v>1401652</v>
      </c>
      <c r="F7" s="318">
        <v>1571437</v>
      </c>
      <c r="G7" s="318">
        <v>1752325</v>
      </c>
      <c r="H7" s="317">
        <v>1925466</v>
      </c>
      <c r="I7" s="316"/>
      <c r="J7" s="311"/>
      <c r="K7" s="311"/>
      <c r="L7" s="311"/>
    </row>
    <row r="8" spans="1:21" ht="6" customHeight="1">
      <c r="C8" s="347"/>
      <c r="D8" s="303"/>
      <c r="E8" s="285"/>
      <c r="F8" s="285"/>
      <c r="G8" s="285"/>
      <c r="H8" s="285"/>
      <c r="I8" s="314"/>
    </row>
    <row r="9" spans="1:21" s="268" customFormat="1" ht="18">
      <c r="A9" s="324"/>
      <c r="C9" s="347"/>
      <c r="D9" s="303" t="s">
        <v>20</v>
      </c>
      <c r="E9" s="318">
        <v>79093</v>
      </c>
      <c r="F9" s="318">
        <v>108090</v>
      </c>
      <c r="G9" s="318">
        <v>121459</v>
      </c>
      <c r="H9" s="317">
        <v>163498</v>
      </c>
      <c r="I9" s="316"/>
    </row>
    <row r="10" spans="1:21" ht="4.5" customHeight="1">
      <c r="C10" s="347"/>
      <c r="D10" s="303"/>
      <c r="E10" s="285"/>
      <c r="F10" s="285"/>
      <c r="G10" s="285"/>
      <c r="H10" s="285"/>
      <c r="I10" s="314"/>
    </row>
    <row r="11" spans="1:21" s="268" customFormat="1">
      <c r="A11" s="324"/>
      <c r="C11" s="347"/>
      <c r="D11" s="283" t="s">
        <v>87</v>
      </c>
      <c r="E11" s="285">
        <f>+E7-E9</f>
        <v>1322559</v>
      </c>
      <c r="F11" s="285">
        <f>+F7-F9</f>
        <v>1463347</v>
      </c>
      <c r="G11" s="285">
        <f>+G7-G9</f>
        <v>1630866</v>
      </c>
      <c r="H11" s="285">
        <f>+H7-H9</f>
        <v>1761968</v>
      </c>
      <c r="I11" s="316"/>
    </row>
    <row r="12" spans="1:21" s="268" customFormat="1">
      <c r="A12" s="324"/>
      <c r="C12" s="347"/>
      <c r="D12" s="309" t="s">
        <v>88</v>
      </c>
      <c r="E12" s="308">
        <f>+E11/E7</f>
        <v>0.94357158552907572</v>
      </c>
      <c r="F12" s="308">
        <f>+F11/F7</f>
        <v>0.93121582347876497</v>
      </c>
      <c r="G12" s="308">
        <f>+G11/G7</f>
        <v>0.93068694448803735</v>
      </c>
      <c r="H12" s="308">
        <f>+H11/H7</f>
        <v>0.9150865297024201</v>
      </c>
      <c r="I12" s="316"/>
    </row>
    <row r="13" spans="1:21" ht="10.5" customHeight="1">
      <c r="C13" s="347"/>
      <c r="D13" s="303"/>
      <c r="E13" s="285"/>
      <c r="F13" s="285"/>
      <c r="G13" s="285"/>
      <c r="H13" s="285"/>
      <c r="I13" s="314"/>
    </row>
    <row r="14" spans="1:21" s="268" customFormat="1" ht="18">
      <c r="A14" s="324"/>
      <c r="C14" s="347"/>
      <c r="D14" s="303" t="s">
        <v>89</v>
      </c>
      <c r="E14" s="318">
        <v>561522</v>
      </c>
      <c r="F14" s="318">
        <v>603352</v>
      </c>
      <c r="G14" s="318">
        <v>590167</v>
      </c>
      <c r="H14" s="317">
        <v>666739</v>
      </c>
      <c r="I14" s="316"/>
    </row>
    <row r="15" spans="1:21" ht="4.5" customHeight="1">
      <c r="C15" s="347"/>
      <c r="D15" s="303"/>
      <c r="E15" s="285"/>
      <c r="F15" s="285"/>
      <c r="G15" s="285"/>
      <c r="H15" s="285"/>
      <c r="I15" s="314"/>
    </row>
    <row r="16" spans="1:21" s="268" customFormat="1" ht="18.95">
      <c r="A16" s="324"/>
      <c r="C16" s="347"/>
      <c r="D16" s="301" t="s">
        <v>23</v>
      </c>
      <c r="E16" s="300">
        <f>E11-E14</f>
        <v>761037</v>
      </c>
      <c r="F16" s="300">
        <f>F11-F14</f>
        <v>859995</v>
      </c>
      <c r="G16" s="300">
        <f>G11-G14</f>
        <v>1040699</v>
      </c>
      <c r="H16" s="300">
        <f>H11-H14</f>
        <v>1095229</v>
      </c>
      <c r="I16" s="316"/>
    </row>
    <row r="17" spans="1:45" s="268" customFormat="1" ht="18.95">
      <c r="A17" s="324"/>
      <c r="C17" s="348"/>
      <c r="D17" s="298" t="s">
        <v>90</v>
      </c>
      <c r="E17" s="297">
        <f>+E11/E14</f>
        <v>2.3553111009007663</v>
      </c>
      <c r="F17" s="297">
        <f>+F11/F14</f>
        <v>2.4253619777509647</v>
      </c>
      <c r="G17" s="297">
        <f>+G11/G14</f>
        <v>2.7633974790186508</v>
      </c>
      <c r="H17" s="297">
        <f>+H11/H14</f>
        <v>2.6426652708181164</v>
      </c>
      <c r="I17" s="316"/>
    </row>
    <row r="18" spans="1:45" ht="5.25" customHeight="1">
      <c r="C18" s="315"/>
      <c r="E18" s="296"/>
      <c r="F18" s="296"/>
      <c r="G18" s="296"/>
      <c r="H18" s="296"/>
      <c r="I18" s="314"/>
    </row>
    <row r="19" spans="1:45" s="268" customFormat="1" ht="15" customHeight="1">
      <c r="A19" s="324"/>
      <c r="C19" s="346" t="s">
        <v>91</v>
      </c>
      <c r="D19" s="303" t="s">
        <v>92</v>
      </c>
      <c r="E19" s="296"/>
      <c r="F19" s="296"/>
      <c r="G19" s="296"/>
      <c r="H19" s="296"/>
      <c r="I19" s="316"/>
    </row>
    <row r="20" spans="1:45" s="268" customFormat="1">
      <c r="A20" s="324"/>
      <c r="C20" s="347"/>
      <c r="D20" s="306" t="s">
        <v>93</v>
      </c>
      <c r="E20" s="320">
        <v>157292</v>
      </c>
      <c r="F20" s="320">
        <v>221278</v>
      </c>
      <c r="G20" s="320">
        <v>169233</v>
      </c>
      <c r="H20" s="319">
        <v>116615</v>
      </c>
      <c r="I20" s="316"/>
    </row>
    <row r="21" spans="1:45" s="268" customFormat="1">
      <c r="A21" s="324"/>
      <c r="C21" s="347"/>
      <c r="D21" s="306" t="s">
        <v>94</v>
      </c>
      <c r="E21" s="320">
        <v>8955</v>
      </c>
      <c r="F21" s="320">
        <v>13520</v>
      </c>
      <c r="G21" s="320">
        <v>12404</v>
      </c>
      <c r="H21" s="319">
        <v>12559</v>
      </c>
      <c r="I21" s="316"/>
    </row>
    <row r="22" spans="1:45" s="268" customFormat="1">
      <c r="A22" s="324"/>
      <c r="C22" s="347"/>
      <c r="D22" s="306" t="s">
        <v>95</v>
      </c>
      <c r="E22" s="320">
        <v>195795</v>
      </c>
      <c r="F22" s="320">
        <v>236254</v>
      </c>
      <c r="G22" s="320">
        <v>205462</v>
      </c>
      <c r="H22" s="319">
        <v>270490</v>
      </c>
      <c r="I22" s="316"/>
    </row>
    <row r="23" spans="1:45" s="268" customFormat="1">
      <c r="A23" s="324"/>
      <c r="C23" s="347"/>
      <c r="D23" s="306" t="s">
        <v>96</v>
      </c>
      <c r="E23" s="320">
        <v>285620</v>
      </c>
      <c r="F23" s="320">
        <v>299557</v>
      </c>
      <c r="G23" s="320">
        <v>296432</v>
      </c>
      <c r="H23" s="319">
        <v>324361</v>
      </c>
      <c r="I23" s="316"/>
    </row>
    <row r="24" spans="1:45" s="268" customFormat="1" ht="18">
      <c r="A24" s="324"/>
      <c r="C24" s="347"/>
      <c r="D24" s="306" t="s">
        <v>97</v>
      </c>
      <c r="E24" s="318">
        <v>36641</v>
      </c>
      <c r="F24" s="318">
        <v>55885</v>
      </c>
      <c r="G24" s="318">
        <v>33029</v>
      </c>
      <c r="H24" s="317">
        <v>32087</v>
      </c>
      <c r="I24" s="316"/>
    </row>
    <row r="25" spans="1:45" ht="15">
      <c r="C25" s="347"/>
      <c r="D25" s="303"/>
      <c r="E25" s="285"/>
      <c r="F25" s="285"/>
      <c r="G25" s="285"/>
      <c r="H25" s="285"/>
      <c r="I25" s="314"/>
    </row>
    <row r="26" spans="1:45" s="268" customFormat="1" ht="18.95">
      <c r="A26" s="324"/>
      <c r="C26" s="347"/>
      <c r="D26" s="301" t="s">
        <v>98</v>
      </c>
      <c r="E26" s="300">
        <f>SUM(E20:E24)</f>
        <v>684303</v>
      </c>
      <c r="F26" s="300">
        <f>SUM(F20:F24)</f>
        <v>826494</v>
      </c>
      <c r="G26" s="300">
        <f>SUM(G20:G24)</f>
        <v>716560</v>
      </c>
      <c r="H26" s="300">
        <f>SUM(H20:H24)</f>
        <v>756112</v>
      </c>
      <c r="I26" s="316"/>
    </row>
    <row r="27" spans="1:45" s="268" customFormat="1" ht="18.95">
      <c r="A27" s="324"/>
      <c r="C27" s="348"/>
      <c r="D27" s="298" t="s">
        <v>99</v>
      </c>
      <c r="E27" s="297">
        <f>+E16/E22</f>
        <v>3.8869072243928597</v>
      </c>
      <c r="F27" s="297">
        <f>+F16/F22</f>
        <v>3.6401288443793542</v>
      </c>
      <c r="G27" s="297">
        <f>+G16/G22</f>
        <v>5.0651653347090946</v>
      </c>
      <c r="H27" s="297">
        <f>+H16/H22</f>
        <v>4.049055417945211</v>
      </c>
      <c r="I27" s="316"/>
    </row>
    <row r="28" spans="1:45" ht="4.5" customHeight="1">
      <c r="C28" s="315"/>
      <c r="E28" s="296"/>
      <c r="F28" s="296"/>
      <c r="G28" s="296"/>
      <c r="H28" s="296"/>
      <c r="I28" s="316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4"/>
      <c r="C29" s="349" t="s">
        <v>100</v>
      </c>
      <c r="D29" s="283" t="s">
        <v>101</v>
      </c>
      <c r="E29" s="294">
        <f>E16-E26</f>
        <v>76734</v>
      </c>
      <c r="F29" s="294">
        <f>F16-F26</f>
        <v>33501</v>
      </c>
      <c r="G29" s="294">
        <f>G16-G26</f>
        <v>324139</v>
      </c>
      <c r="H29" s="294">
        <f>H16-H26</f>
        <v>339117</v>
      </c>
      <c r="I29" s="316"/>
      <c r="J29" s="266"/>
    </row>
    <row r="30" spans="1:45" s="268" customFormat="1" ht="6.75" customHeight="1">
      <c r="A30" s="324"/>
      <c r="C30" s="350"/>
      <c r="D30" s="283"/>
      <c r="E30" s="292"/>
      <c r="F30" s="292"/>
      <c r="G30" s="292"/>
      <c r="H30" s="292"/>
      <c r="I30" s="316"/>
      <c r="J30" s="266"/>
    </row>
    <row r="31" spans="1:45" s="268" customFormat="1">
      <c r="A31" s="324"/>
      <c r="C31" s="350"/>
      <c r="D31" s="290" t="s">
        <v>102</v>
      </c>
      <c r="E31" s="285"/>
      <c r="F31" s="285"/>
      <c r="G31" s="285"/>
      <c r="H31" s="285"/>
      <c r="I31" s="316"/>
      <c r="J31" s="266"/>
    </row>
    <row r="32" spans="1:45" s="268" customFormat="1">
      <c r="A32" s="324"/>
      <c r="C32" s="350"/>
      <c r="D32" s="289" t="s">
        <v>103</v>
      </c>
      <c r="E32" s="288">
        <v>18979</v>
      </c>
      <c r="F32" s="288">
        <v>21990</v>
      </c>
      <c r="G32" s="288">
        <v>20664</v>
      </c>
      <c r="H32" s="287">
        <v>22140</v>
      </c>
      <c r="I32" s="316"/>
      <c r="J32" s="266"/>
    </row>
    <row r="33" spans="1:45" s="268" customFormat="1">
      <c r="A33" s="324"/>
      <c r="C33" s="350"/>
      <c r="D33" s="289" t="s">
        <v>104</v>
      </c>
      <c r="E33" s="288">
        <v>-6214</v>
      </c>
      <c r="F33" s="288">
        <v>15901</v>
      </c>
      <c r="G33" s="288">
        <v>10478</v>
      </c>
      <c r="H33" s="287">
        <v>22174</v>
      </c>
      <c r="I33" s="316"/>
      <c r="J33" s="266"/>
    </row>
    <row r="34" spans="1:45" ht="4.5" customHeight="1">
      <c r="C34" s="350"/>
      <c r="D34" s="286"/>
      <c r="E34" s="285"/>
      <c r="F34" s="285"/>
      <c r="G34" s="285"/>
      <c r="H34" s="284"/>
      <c r="I34" s="316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4"/>
      <c r="C35" s="350"/>
      <c r="D35" s="286" t="s">
        <v>105</v>
      </c>
      <c r="E35" s="288">
        <v>12765</v>
      </c>
      <c r="F35" s="288">
        <v>37891</v>
      </c>
      <c r="G35" s="288">
        <v>31142</v>
      </c>
      <c r="H35" s="287">
        <v>44314</v>
      </c>
      <c r="I35" s="316"/>
      <c r="J35" s="266"/>
    </row>
    <row r="36" spans="1:45" ht="7.5" customHeight="1">
      <c r="C36" s="350"/>
      <c r="D36" s="286"/>
      <c r="E36" s="285"/>
      <c r="F36" s="285"/>
      <c r="G36" s="285"/>
      <c r="H36" s="285"/>
      <c r="I36" s="316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4"/>
      <c r="C37" s="350"/>
      <c r="D37" s="283" t="s">
        <v>106</v>
      </c>
      <c r="E37" s="282">
        <f>E29-E35</f>
        <v>63969</v>
      </c>
      <c r="F37" s="282">
        <f>F29-F35</f>
        <v>-4390</v>
      </c>
      <c r="G37" s="282">
        <f>G29-G35</f>
        <v>292997</v>
      </c>
      <c r="H37" s="282">
        <f>H29-H35</f>
        <v>294803</v>
      </c>
      <c r="I37" s="316"/>
      <c r="J37" s="266"/>
    </row>
    <row r="38" spans="1:45" s="268" customFormat="1">
      <c r="A38" s="324"/>
      <c r="C38" s="350"/>
      <c r="D38" s="280" t="s">
        <v>107</v>
      </c>
      <c r="E38" s="279">
        <f>E37/E7</f>
        <v>4.5638289675325974E-2</v>
      </c>
      <c r="F38" s="279">
        <f>F37/F7</f>
        <v>-2.7936213796671454E-3</v>
      </c>
      <c r="G38" s="279">
        <f>G37/G7</f>
        <v>0.1672047137374631</v>
      </c>
      <c r="H38" s="279">
        <f>H37/H7</f>
        <v>0.15310735167486728</v>
      </c>
      <c r="I38" s="316"/>
      <c r="J38" s="266"/>
    </row>
    <row r="39" spans="1:45" s="268" customFormat="1" ht="17.100000000000001" thickBot="1">
      <c r="A39" s="324"/>
      <c r="C39" s="351"/>
      <c r="D39" s="277" t="s">
        <v>108</v>
      </c>
      <c r="E39" s="276">
        <f>E37/E11</f>
        <v>4.8367596455054181E-2</v>
      </c>
      <c r="F39" s="276">
        <f>F37/F11</f>
        <v>-2.9999719820384364E-3</v>
      </c>
      <c r="G39" s="276">
        <f>G37/G11</f>
        <v>0.17965731090107956</v>
      </c>
      <c r="H39" s="276">
        <f>H37/H11</f>
        <v>0.16731461638349845</v>
      </c>
      <c r="I39" s="316"/>
      <c r="J39" s="266"/>
    </row>
    <row r="40" spans="1:45" ht="5.25" customHeight="1">
      <c r="C40" s="315"/>
      <c r="E40" s="273"/>
      <c r="F40" s="273"/>
      <c r="G40" s="273"/>
      <c r="H40" s="273"/>
      <c r="I40" s="314"/>
    </row>
    <row r="41" spans="1:45" ht="15" customHeight="1">
      <c r="C41" s="350" t="s">
        <v>109</v>
      </c>
      <c r="E41" s="273"/>
      <c r="F41" s="273"/>
      <c r="G41" s="273"/>
      <c r="H41" s="273"/>
      <c r="I41" s="314"/>
    </row>
    <row r="42" spans="1:45">
      <c r="C42" s="350"/>
      <c r="E42" s="273"/>
      <c r="F42" s="273"/>
      <c r="G42" s="273"/>
      <c r="H42" s="273"/>
      <c r="I42" s="314"/>
    </row>
    <row r="43" spans="1:45">
      <c r="C43" s="350"/>
      <c r="E43" s="273"/>
      <c r="F43" s="273"/>
      <c r="G43" s="273"/>
      <c r="H43" s="273"/>
      <c r="I43" s="314"/>
    </row>
    <row r="44" spans="1:45">
      <c r="C44" s="350"/>
      <c r="E44" s="273"/>
      <c r="F44" s="273"/>
      <c r="G44" s="273"/>
      <c r="H44" s="273"/>
      <c r="I44" s="314"/>
    </row>
    <row r="45" spans="1:45">
      <c r="C45" s="350"/>
      <c r="E45" s="273"/>
      <c r="F45" s="273"/>
      <c r="G45" s="273"/>
      <c r="H45" s="273"/>
      <c r="I45" s="314"/>
    </row>
    <row r="46" spans="1:45">
      <c r="C46" s="350"/>
      <c r="E46" s="273"/>
      <c r="F46" s="273"/>
      <c r="G46" s="273"/>
      <c r="H46" s="273"/>
      <c r="I46" s="314"/>
    </row>
    <row r="47" spans="1:45">
      <c r="C47" s="350"/>
      <c r="E47" s="273"/>
      <c r="F47" s="273"/>
      <c r="G47" s="273"/>
      <c r="H47" s="273"/>
      <c r="I47" s="314"/>
    </row>
    <row r="48" spans="1:45" ht="17.100000000000001" thickBot="1">
      <c r="C48" s="351"/>
      <c r="D48" s="271"/>
      <c r="E48" s="270"/>
      <c r="F48" s="270"/>
      <c r="G48" s="270"/>
      <c r="H48" s="270"/>
      <c r="I48" s="314"/>
    </row>
    <row r="49" spans="3:3">
      <c r="C49" s="313"/>
    </row>
    <row r="50" spans="3:3">
      <c r="C50" s="313"/>
    </row>
    <row r="51" spans="3:3">
      <c r="C51" s="313"/>
    </row>
    <row r="52" spans="3:3">
      <c r="C52" s="313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scale="80" fitToWidth="0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115</v>
      </c>
      <c r="D1" s="40" t="s">
        <v>116</v>
      </c>
      <c r="J1" s="40" t="s">
        <v>116</v>
      </c>
    </row>
    <row r="2" spans="1:16">
      <c r="D2" s="41" t="s">
        <v>58</v>
      </c>
      <c r="E2" s="41"/>
      <c r="J2" s="38" t="s">
        <v>59</v>
      </c>
      <c r="K2" s="38"/>
      <c r="L2" s="38"/>
      <c r="M2" s="42" t="s">
        <v>117</v>
      </c>
      <c r="N2" s="42" t="s">
        <v>61</v>
      </c>
    </row>
    <row r="3" spans="1:16">
      <c r="A3" s="38" t="s">
        <v>15</v>
      </c>
      <c r="J3" s="39" t="s">
        <v>62</v>
      </c>
      <c r="M3" s="43">
        <f>F15+H22+H23+H30+H26</f>
        <v>-3260074</v>
      </c>
      <c r="N3" s="44">
        <f>F12</f>
        <v>4618850</v>
      </c>
    </row>
    <row r="4" spans="1:16">
      <c r="D4" s="352">
        <v>2012</v>
      </c>
      <c r="E4" s="353"/>
      <c r="F4" s="352">
        <v>2013</v>
      </c>
      <c r="G4" s="353"/>
      <c r="I4" s="45"/>
      <c r="J4" s="39" t="s">
        <v>63</v>
      </c>
      <c r="M4" s="43">
        <f>F22/(F5/365)</f>
        <v>75.000000119047627</v>
      </c>
      <c r="N4" s="44"/>
    </row>
    <row r="5" spans="1:16">
      <c r="A5" s="39" t="s">
        <v>19</v>
      </c>
      <c r="D5" s="46">
        <v>35000000</v>
      </c>
      <c r="E5" s="47"/>
      <c r="F5" s="46">
        <v>42000000</v>
      </c>
      <c r="G5" s="47"/>
      <c r="H5" s="43"/>
      <c r="I5" s="48"/>
      <c r="J5" s="39" t="s">
        <v>64</v>
      </c>
      <c r="M5" s="44">
        <f>F30/(F6/365)</f>
        <v>69.999997239475505</v>
      </c>
      <c r="N5" s="44"/>
    </row>
    <row r="6" spans="1:16">
      <c r="A6" s="39" t="s">
        <v>20</v>
      </c>
      <c r="D6" s="49">
        <v>24500000</v>
      </c>
      <c r="E6" s="50"/>
      <c r="F6" s="49">
        <v>28980000</v>
      </c>
      <c r="G6" s="48"/>
      <c r="H6" s="43"/>
      <c r="I6" s="48"/>
      <c r="J6" s="39" t="s">
        <v>65</v>
      </c>
      <c r="M6" s="44">
        <f>F23/(F6/365)</f>
        <v>180.00000189786061</v>
      </c>
    </row>
    <row r="7" spans="1:16">
      <c r="B7" s="39" t="s">
        <v>21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22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59</v>
      </c>
      <c r="K8" s="53"/>
      <c r="L8" s="53"/>
      <c r="M8" s="53"/>
      <c r="N8" s="53"/>
      <c r="O8" s="54" t="s">
        <v>35</v>
      </c>
      <c r="P8" s="55"/>
    </row>
    <row r="9" spans="1:16">
      <c r="B9" s="39" t="s">
        <v>23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24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66</v>
      </c>
      <c r="K10" s="41">
        <v>1</v>
      </c>
      <c r="L10" s="58" t="s">
        <v>67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38</v>
      </c>
    </row>
    <row r="11" spans="1:16">
      <c r="A11" s="39" t="s">
        <v>25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40</v>
      </c>
    </row>
    <row r="12" spans="1:16">
      <c r="B12" s="39" t="s">
        <v>26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27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28</v>
      </c>
      <c r="D14" s="49">
        <v>930280</v>
      </c>
      <c r="E14" s="50"/>
      <c r="F14" s="49">
        <v>1172348</v>
      </c>
      <c r="G14" s="48"/>
      <c r="H14" s="43"/>
      <c r="I14" s="48"/>
      <c r="J14" s="39" t="s">
        <v>68</v>
      </c>
      <c r="K14" s="41">
        <v>1</v>
      </c>
      <c r="L14" s="58" t="s">
        <v>67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38</v>
      </c>
    </row>
    <row r="15" spans="1:16" ht="15.95" thickBot="1">
      <c r="B15" s="39" t="s">
        <v>29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40</v>
      </c>
    </row>
    <row r="16" spans="1:16" ht="15.95" thickTop="1">
      <c r="A16" s="39" t="s">
        <v>30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44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46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48</v>
      </c>
    </row>
    <row r="19" spans="1:16">
      <c r="A19" s="38" t="s">
        <v>31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32</v>
      </c>
      <c r="I20" s="45"/>
      <c r="J20" s="39" t="s">
        <v>69</v>
      </c>
      <c r="K20" s="41">
        <v>1</v>
      </c>
      <c r="L20" s="58" t="s">
        <v>67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44</v>
      </c>
    </row>
    <row r="21" spans="1:16">
      <c r="A21" s="39" t="s">
        <v>33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46</v>
      </c>
    </row>
    <row r="22" spans="1:16">
      <c r="A22" s="39" t="s">
        <v>34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48</v>
      </c>
    </row>
    <row r="23" spans="1:16">
      <c r="A23" s="39" t="s">
        <v>36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70</v>
      </c>
      <c r="K23" s="41">
        <v>1</v>
      </c>
      <c r="L23" s="58" t="s">
        <v>67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37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39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71</v>
      </c>
      <c r="K25" s="41">
        <v>1</v>
      </c>
      <c r="L25" s="58" t="s">
        <v>67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41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42</v>
      </c>
      <c r="D27" s="49">
        <v>0</v>
      </c>
      <c r="E27" s="50"/>
      <c r="F27" s="49">
        <v>0</v>
      </c>
      <c r="G27" s="48"/>
      <c r="H27" s="43"/>
      <c r="I27" s="48"/>
      <c r="J27" s="39" t="s">
        <v>72</v>
      </c>
      <c r="K27" s="41">
        <v>1</v>
      </c>
      <c r="L27" s="58" t="s">
        <v>67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43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73</v>
      </c>
      <c r="K29" s="41">
        <v>1</v>
      </c>
      <c r="L29" s="39" t="s">
        <v>74</v>
      </c>
      <c r="M29" s="44">
        <f>F5/365*K29</f>
        <v>115068.49315068492</v>
      </c>
    </row>
    <row r="30" spans="1:16">
      <c r="A30" s="39" t="s">
        <v>45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47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75</v>
      </c>
      <c r="K31" s="41">
        <v>1</v>
      </c>
      <c r="L31" s="39" t="s">
        <v>74</v>
      </c>
      <c r="M31" s="44">
        <f>IF(F23&gt;0,F6/365*K31,0)</f>
        <v>79397.260273972599</v>
      </c>
    </row>
    <row r="32" spans="1:16">
      <c r="A32" s="39" t="s">
        <v>49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50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76</v>
      </c>
      <c r="K33" s="41">
        <v>1</v>
      </c>
      <c r="L33" s="39" t="s">
        <v>74</v>
      </c>
      <c r="M33" s="70">
        <f>F6/365*K33</f>
        <v>79397.260273972599</v>
      </c>
      <c r="N33" s="71"/>
    </row>
    <row r="34" spans="1:14">
      <c r="A34" s="39" t="s">
        <v>51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52</v>
      </c>
      <c r="D35" s="49">
        <v>0</v>
      </c>
      <c r="E35" s="50"/>
      <c r="F35" s="49">
        <v>0</v>
      </c>
      <c r="G35" s="48"/>
      <c r="H35" s="43"/>
      <c r="I35" s="48"/>
      <c r="J35" s="40" t="s">
        <v>77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53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54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55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56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118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115</v>
      </c>
      <c r="D1" s="37" t="s">
        <v>119</v>
      </c>
      <c r="J1" s="37" t="s">
        <v>119</v>
      </c>
    </row>
    <row r="2" spans="1:16" ht="18.95">
      <c r="D2" s="13" t="s">
        <v>58</v>
      </c>
      <c r="E2" s="13"/>
      <c r="J2" s="11" t="s">
        <v>59</v>
      </c>
      <c r="K2" s="11"/>
      <c r="L2" s="11"/>
      <c r="M2" s="12" t="s">
        <v>117</v>
      </c>
      <c r="N2" s="12" t="s">
        <v>61</v>
      </c>
    </row>
    <row r="3" spans="1:16" ht="18.95">
      <c r="A3" s="11" t="s">
        <v>15</v>
      </c>
      <c r="J3" t="s">
        <v>62</v>
      </c>
      <c r="M3" s="3">
        <f>F15+H22+H23+H30+H26</f>
        <v>67875.650000000023</v>
      </c>
      <c r="N3" s="4">
        <f>F12</f>
        <v>640525.21</v>
      </c>
    </row>
    <row r="4" spans="1:16">
      <c r="D4" s="354">
        <v>2012</v>
      </c>
      <c r="E4" s="355"/>
      <c r="F4" s="354">
        <v>2013</v>
      </c>
      <c r="G4" s="355"/>
      <c r="I4" s="25"/>
      <c r="J4" t="s">
        <v>63</v>
      </c>
      <c r="M4" s="3">
        <f>F22/(F5/365)</f>
        <v>6.2693866130080158</v>
      </c>
      <c r="N4" s="4"/>
    </row>
    <row r="5" spans="1:16">
      <c r="A5" t="s">
        <v>19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64</v>
      </c>
      <c r="M5" s="4">
        <f>F30/(F6/365)</f>
        <v>92.714645845657685</v>
      </c>
      <c r="N5" s="4"/>
    </row>
    <row r="6" spans="1:16">
      <c r="A6" t="s">
        <v>20</v>
      </c>
      <c r="D6" s="21">
        <v>950121.44</v>
      </c>
      <c r="E6" s="31"/>
      <c r="F6" s="21">
        <v>1386466.27</v>
      </c>
      <c r="G6" s="34"/>
      <c r="H6" s="3"/>
      <c r="I6" s="34"/>
      <c r="J6" t="s">
        <v>65</v>
      </c>
      <c r="M6" s="4">
        <f>F23/(F6/365)</f>
        <v>0</v>
      </c>
    </row>
    <row r="7" spans="1:16">
      <c r="B7" t="s">
        <v>21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22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59</v>
      </c>
      <c r="K8" s="6"/>
      <c r="L8" s="6"/>
      <c r="M8" s="6"/>
      <c r="N8" s="6"/>
      <c r="O8" s="26" t="s">
        <v>35</v>
      </c>
      <c r="P8" s="14"/>
    </row>
    <row r="9" spans="1:16">
      <c r="B9" t="s">
        <v>23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24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66</v>
      </c>
      <c r="K10" s="13">
        <v>1</v>
      </c>
      <c r="L10" s="5" t="s">
        <v>67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38</v>
      </c>
    </row>
    <row r="11" spans="1:16">
      <c r="A11" t="s">
        <v>25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40</v>
      </c>
    </row>
    <row r="12" spans="1:16">
      <c r="B12" t="s">
        <v>26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27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28</v>
      </c>
      <c r="D14" s="21">
        <v>0</v>
      </c>
      <c r="E14" s="31"/>
      <c r="F14" s="21">
        <v>0</v>
      </c>
      <c r="G14" s="34"/>
      <c r="H14" s="3"/>
      <c r="I14" s="34"/>
      <c r="J14" t="s">
        <v>68</v>
      </c>
      <c r="K14" s="13">
        <v>1</v>
      </c>
      <c r="L14" s="5" t="s">
        <v>67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38</v>
      </c>
    </row>
    <row r="15" spans="1:16" ht="17.100000000000001" thickBot="1">
      <c r="B15" t="s">
        <v>29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40</v>
      </c>
    </row>
    <row r="16" spans="1:16" ht="17.100000000000001" thickTop="1">
      <c r="A16" t="s">
        <v>30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44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46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48</v>
      </c>
    </row>
    <row r="19" spans="1:16" ht="18.95">
      <c r="A19" s="11" t="s">
        <v>31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32</v>
      </c>
      <c r="I20" s="25"/>
      <c r="J20" t="s">
        <v>69</v>
      </c>
      <c r="K20" s="13">
        <v>1</v>
      </c>
      <c r="L20" s="5" t="s">
        <v>67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44</v>
      </c>
    </row>
    <row r="21" spans="1:16">
      <c r="A21" t="s">
        <v>33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46</v>
      </c>
    </row>
    <row r="22" spans="1:16">
      <c r="A22" t="s">
        <v>34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48</v>
      </c>
    </row>
    <row r="23" spans="1:16">
      <c r="A23" t="s">
        <v>36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70</v>
      </c>
      <c r="K23" s="13">
        <v>1</v>
      </c>
      <c r="L23" s="5" t="s">
        <v>67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37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39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71</v>
      </c>
      <c r="K25" s="13">
        <v>1</v>
      </c>
      <c r="L25" s="5" t="s">
        <v>67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41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42</v>
      </c>
      <c r="D27" s="21">
        <v>93103.05</v>
      </c>
      <c r="E27" s="31"/>
      <c r="F27" s="21">
        <v>275624.69</v>
      </c>
      <c r="G27" s="34"/>
      <c r="H27" s="3"/>
      <c r="I27" s="34"/>
      <c r="J27" t="s">
        <v>72</v>
      </c>
      <c r="K27" s="13">
        <v>1</v>
      </c>
      <c r="L27" s="5" t="s">
        <v>67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43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73</v>
      </c>
      <c r="K29" s="13">
        <v>1</v>
      </c>
      <c r="L29" t="s">
        <v>74</v>
      </c>
      <c r="M29" s="4">
        <f>F5/365*K29</f>
        <v>22605.701123287672</v>
      </c>
    </row>
    <row r="30" spans="1:16">
      <c r="A30" t="s">
        <v>45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47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75</v>
      </c>
      <c r="K31" s="13">
        <v>1</v>
      </c>
      <c r="L31" t="s">
        <v>74</v>
      </c>
      <c r="M31" s="4">
        <f>IF(F23&gt;0,F6/365*K31,0)</f>
        <v>0</v>
      </c>
    </row>
    <row r="32" spans="1:16">
      <c r="A32" t="s">
        <v>49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50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76</v>
      </c>
      <c r="K33" s="13">
        <v>1</v>
      </c>
      <c r="L33" t="s">
        <v>74</v>
      </c>
      <c r="M33" s="29">
        <f>F6/365*K33</f>
        <v>3798.5377260273972</v>
      </c>
      <c r="N33" s="30"/>
    </row>
    <row r="34" spans="1:14">
      <c r="A34" t="s">
        <v>51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52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77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53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54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55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56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118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Vasil Karasanov</cp:lastModifiedBy>
  <cp:revision/>
  <dcterms:created xsi:type="dcterms:W3CDTF">2015-02-05T23:09:47Z</dcterms:created>
  <dcterms:modified xsi:type="dcterms:W3CDTF">2025-10-01T08:15:18Z</dcterms:modified>
  <cp:category/>
  <cp:contentStatus/>
</cp:coreProperties>
</file>