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2.xml" ContentType="application/vnd.ms-excel.controlproperti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8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224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nikol/Downloads/OneDrive_1_17-10-2024/"/>
    </mc:Choice>
  </mc:AlternateContent>
  <xr:revisionPtr revIDLastSave="103" documentId="13_ncr:1_{3FBF3A16-3A9A-6E42-A128-C52E595CFC3F}" xr6:coauthVersionLast="47" xr6:coauthVersionMax="47" xr10:uidLastSave="{1B00F064-E8EA-4B23-9F40-631178D18863}"/>
  <bookViews>
    <workbookView xWindow="0" yWindow="740" windowWidth="29400" windowHeight="16820" tabRatio="695" xr2:uid="{00000000-000D-0000-FFFF-FFFF00000000}"/>
  </bookViews>
  <sheets>
    <sheet name="IMPROVE LIQUIDITY" sheetId="8" r:id="rId1"/>
    <sheet name="IMPROVE PROFITABILITY" sheetId="9" r:id="rId2"/>
    <sheet name="Data Input" sheetId="7" r:id="rId3"/>
    <sheet name="EXAMPLE" sheetId="5" r:id="rId4"/>
    <sheet name="Power of One" sheetId="6" r:id="rId5"/>
    <sheet name="THE POWER OF ONE - WWW" sheetId="10" r:id="rId6"/>
    <sheet name="LER Example" sheetId="12" r:id="rId7"/>
    <sheet name="LER" sheetId="11" r:id="rId8"/>
    <sheet name="Gary's Furniture with LER" sheetId="3" state="hidden" r:id="rId9"/>
    <sheet name="Power of One Template with LER" sheetId="2" state="hidden" r:id="rId10"/>
  </sheets>
  <calcPr calcId="191028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24" i="12" l="1"/>
  <c r="F24" i="12"/>
  <c r="E24" i="12"/>
  <c r="D24" i="12"/>
  <c r="G9" i="12"/>
  <c r="G15" i="12" s="1"/>
  <c r="F9" i="12"/>
  <c r="F15" i="12" s="1"/>
  <c r="E9" i="12"/>
  <c r="E15" i="12" s="1"/>
  <c r="D9" i="12"/>
  <c r="D10" i="12" s="1"/>
  <c r="G32" i="8"/>
  <c r="G31" i="8"/>
  <c r="G30" i="8"/>
  <c r="G29" i="8"/>
  <c r="G28" i="8"/>
  <c r="G27" i="8"/>
  <c r="G26" i="8"/>
  <c r="G25" i="8"/>
  <c r="G24" i="8"/>
  <c r="G23" i="8"/>
  <c r="G22" i="8"/>
  <c r="G21" i="8"/>
  <c r="G20" i="8"/>
  <c r="G19" i="8"/>
  <c r="G18" i="8"/>
  <c r="G17" i="8"/>
  <c r="G16" i="8"/>
  <c r="G15" i="8"/>
  <c r="G14" i="8"/>
  <c r="G33" i="9"/>
  <c r="G32" i="9"/>
  <c r="G31" i="9"/>
  <c r="G30" i="9"/>
  <c r="G29" i="9"/>
  <c r="G28" i="9"/>
  <c r="G27" i="9"/>
  <c r="G26" i="9"/>
  <c r="G25" i="9"/>
  <c r="G24" i="9"/>
  <c r="G23" i="9"/>
  <c r="G22" i="9"/>
  <c r="G21" i="9"/>
  <c r="G20" i="9"/>
  <c r="G19" i="9"/>
  <c r="G18" i="9"/>
  <c r="G17" i="9"/>
  <c r="G16" i="9"/>
  <c r="G15" i="9"/>
  <c r="G14" i="9"/>
  <c r="G13" i="9"/>
  <c r="G12" i="9"/>
  <c r="G11" i="9"/>
  <c r="G10" i="9"/>
  <c r="G9" i="9"/>
  <c r="G8" i="9"/>
  <c r="G7" i="9"/>
  <c r="G6" i="9"/>
  <c r="G5" i="9"/>
  <c r="G4" i="9"/>
  <c r="H52" i="5"/>
  <c r="D14" i="12" l="1"/>
  <c r="E14" i="12"/>
  <c r="F14" i="12"/>
  <c r="D15" i="12"/>
  <c r="F10" i="12"/>
  <c r="G14" i="12"/>
  <c r="E10" i="12"/>
  <c r="G10" i="12"/>
  <c r="F25" i="12" l="1"/>
  <c r="F27" i="12"/>
  <c r="F35" i="12" s="1"/>
  <c r="G25" i="12"/>
  <c r="G27" i="12"/>
  <c r="G35" i="12" s="1"/>
  <c r="E25" i="12"/>
  <c r="E27" i="12"/>
  <c r="E35" i="12" s="1"/>
  <c r="D25" i="12"/>
  <c r="D27" i="12"/>
  <c r="D35" i="12" s="1"/>
  <c r="E37" i="12" l="1"/>
  <c r="E36" i="12"/>
  <c r="D37" i="12"/>
  <c r="D36" i="12"/>
  <c r="G37" i="12"/>
  <c r="G36" i="12"/>
  <c r="F37" i="12"/>
  <c r="F36" i="12"/>
  <c r="O56" i="5"/>
  <c r="O58" i="5" l="1"/>
  <c r="O53" i="5"/>
  <c r="O54" i="5" s="1"/>
  <c r="O57" i="5"/>
  <c r="J58" i="5"/>
  <c r="H58" i="5" s="1"/>
  <c r="H74" i="5"/>
  <c r="H72" i="5"/>
  <c r="H70" i="5"/>
  <c r="J62" i="5"/>
  <c r="H54" i="5"/>
  <c r="H53" i="5"/>
  <c r="J42" i="5"/>
  <c r="J41" i="5"/>
  <c r="J38" i="5"/>
  <c r="H37" i="5"/>
  <c r="H40" i="5" s="1"/>
  <c r="H43" i="5" s="1"/>
  <c r="F37" i="5"/>
  <c r="F40" i="5" s="1"/>
  <c r="F43" i="5" s="1"/>
  <c r="J35" i="5"/>
  <c r="J34" i="5"/>
  <c r="J30" i="5"/>
  <c r="H29" i="5"/>
  <c r="H32" i="5" s="1"/>
  <c r="F29" i="5"/>
  <c r="F32" i="5" s="1"/>
  <c r="J27" i="5"/>
  <c r="J26" i="5"/>
  <c r="H16" i="5"/>
  <c r="I16" i="5" s="1"/>
  <c r="F16" i="5"/>
  <c r="G16" i="5" s="1"/>
  <c r="H11" i="5"/>
  <c r="I12" i="5" s="1"/>
  <c r="O65" i="5" s="1"/>
  <c r="F11" i="5"/>
  <c r="G11" i="5" s="1"/>
  <c r="O59" i="5" l="1"/>
  <c r="H51" i="5"/>
  <c r="F44" i="5"/>
  <c r="O62" i="5"/>
  <c r="O64" i="5" s="1"/>
  <c r="J64" i="5"/>
  <c r="H64" i="5" s="1"/>
  <c r="J51" i="5"/>
  <c r="F13" i="5"/>
  <c r="F15" i="5" s="1"/>
  <c r="G12" i="5"/>
  <c r="J16" i="5"/>
  <c r="H44" i="5"/>
  <c r="O60" i="5"/>
  <c r="H13" i="5"/>
  <c r="J60" i="5" s="1"/>
  <c r="I11" i="5"/>
  <c r="D12" i="3"/>
  <c r="E12" i="3" s="1"/>
  <c r="F25" i="3"/>
  <c r="F28" i="3" s="1"/>
  <c r="F33" i="3"/>
  <c r="F36" i="3" s="1"/>
  <c r="F39" i="3" s="1"/>
  <c r="D25" i="3"/>
  <c r="D28" i="3" s="1"/>
  <c r="D33" i="3"/>
  <c r="D36" i="3" s="1"/>
  <c r="D39" i="3" s="1"/>
  <c r="H38" i="3"/>
  <c r="N10" i="3"/>
  <c r="O10" i="3" s="1"/>
  <c r="O11" i="3" s="1"/>
  <c r="M10" i="3" s="1"/>
  <c r="F7" i="3"/>
  <c r="F9" i="3" s="1"/>
  <c r="N20" i="3"/>
  <c r="O20" i="3" s="1"/>
  <c r="F12" i="3"/>
  <c r="H12" i="3" s="1"/>
  <c r="H37" i="3"/>
  <c r="M4" i="3"/>
  <c r="O14" i="3"/>
  <c r="O16" i="3"/>
  <c r="M5" i="3"/>
  <c r="M6" i="3"/>
  <c r="M29" i="3"/>
  <c r="M31" i="3"/>
  <c r="M33" i="3"/>
  <c r="H34" i="3"/>
  <c r="H31" i="3"/>
  <c r="H30" i="3"/>
  <c r="H26" i="3"/>
  <c r="H23" i="3"/>
  <c r="H22" i="3"/>
  <c r="G12" i="3"/>
  <c r="D7" i="3"/>
  <c r="D9" i="3" s="1"/>
  <c r="F7" i="2"/>
  <c r="G8" i="2" s="1"/>
  <c r="O23" i="2" s="1"/>
  <c r="N23" i="2" s="1"/>
  <c r="O16" i="2"/>
  <c r="F12" i="2"/>
  <c r="G12" i="2" s="1"/>
  <c r="H12" i="2"/>
  <c r="H22" i="2"/>
  <c r="H23" i="2"/>
  <c r="H26" i="2"/>
  <c r="H30" i="2"/>
  <c r="H31" i="2"/>
  <c r="H34" i="2"/>
  <c r="F37" i="2"/>
  <c r="H37" i="2" s="1"/>
  <c r="F38" i="2"/>
  <c r="D38" i="2"/>
  <c r="D7" i="2"/>
  <c r="D9" i="2" s="1"/>
  <c r="D12" i="2"/>
  <c r="E12" i="2" s="1"/>
  <c r="N10" i="2"/>
  <c r="O10" i="2" s="1"/>
  <c r="M4" i="2"/>
  <c r="O14" i="2"/>
  <c r="M5" i="2"/>
  <c r="M6" i="2"/>
  <c r="N20" i="2"/>
  <c r="O20" i="2" s="1"/>
  <c r="M29" i="2"/>
  <c r="M31" i="2"/>
  <c r="M33" i="2"/>
  <c r="F32" i="2"/>
  <c r="F33" i="2" s="1"/>
  <c r="F36" i="2" s="1"/>
  <c r="D32" i="2"/>
  <c r="D33" i="2" s="1"/>
  <c r="D36" i="2" s="1"/>
  <c r="D39" i="2" s="1"/>
  <c r="F25" i="2"/>
  <c r="F28" i="2" s="1"/>
  <c r="D25" i="2"/>
  <c r="D28" i="2" s="1"/>
  <c r="H38" i="2" l="1"/>
  <c r="O17" i="2"/>
  <c r="O15" i="3"/>
  <c r="N3" i="2"/>
  <c r="M3" i="2"/>
  <c r="M3" i="3"/>
  <c r="D18" i="3"/>
  <c r="G7" i="2"/>
  <c r="O17" i="3"/>
  <c r="G7" i="3"/>
  <c r="F39" i="2"/>
  <c r="F40" i="2" s="1"/>
  <c r="G8" i="3"/>
  <c r="O23" i="3" s="1"/>
  <c r="N23" i="3" s="1"/>
  <c r="M23" i="3" s="1"/>
  <c r="O15" i="2"/>
  <c r="O11" i="2"/>
  <c r="M10" i="2" s="1"/>
  <c r="F9" i="2"/>
  <c r="D40" i="3"/>
  <c r="E7" i="2"/>
  <c r="O18" i="3"/>
  <c r="F40" i="3"/>
  <c r="E8" i="2"/>
  <c r="N3" i="3"/>
  <c r="O63" i="5"/>
  <c r="H62" i="5" s="1"/>
  <c r="O18" i="2"/>
  <c r="E7" i="3"/>
  <c r="G13" i="5"/>
  <c r="G14" i="5"/>
  <c r="H60" i="5"/>
  <c r="E9" i="3"/>
  <c r="D11" i="3"/>
  <c r="E10" i="3"/>
  <c r="M23" i="2"/>
  <c r="O21" i="2"/>
  <c r="O22" i="2"/>
  <c r="O21" i="3"/>
  <c r="O22" i="3"/>
  <c r="D40" i="2"/>
  <c r="E10" i="2"/>
  <c r="D11" i="2"/>
  <c r="E9" i="2"/>
  <c r="G10" i="3"/>
  <c r="O25" i="3" s="1"/>
  <c r="N25" i="3" s="1"/>
  <c r="M25" i="3" s="1"/>
  <c r="G9" i="3"/>
  <c r="F11" i="3"/>
  <c r="N27" i="3" s="1"/>
  <c r="M27" i="3" s="1"/>
  <c r="N14" i="3"/>
  <c r="F11" i="2"/>
  <c r="N27" i="2" s="1"/>
  <c r="M27" i="2" s="1"/>
  <c r="E8" i="3"/>
  <c r="H15" i="5"/>
  <c r="J68" i="5" s="1"/>
  <c r="H68" i="5" s="1"/>
  <c r="I13" i="5"/>
  <c r="I14" i="5"/>
  <c r="M20" i="2" l="1"/>
  <c r="N35" i="3"/>
  <c r="N37" i="3" s="1"/>
  <c r="G10" i="2"/>
  <c r="O25" i="2" s="1"/>
  <c r="N25" i="2" s="1"/>
  <c r="M25" i="2" s="1"/>
  <c r="G9" i="2"/>
  <c r="N14" i="2"/>
  <c r="M14" i="2" s="1"/>
  <c r="M14" i="3"/>
  <c r="M20" i="3"/>
  <c r="O67" i="5"/>
  <c r="J66" i="5" s="1"/>
  <c r="M35" i="3" l="1"/>
  <c r="M35" i="2"/>
  <c r="N35" i="2"/>
  <c r="N37" i="2" s="1"/>
  <c r="H66" i="5"/>
  <c r="H76" i="5" s="1"/>
  <c r="J76" i="5"/>
  <c r="J78" i="5" s="1"/>
</calcChain>
</file>

<file path=xl/sharedStrings.xml><?xml version="1.0" encoding="utf-8"?>
<sst xmlns="http://schemas.openxmlformats.org/spreadsheetml/2006/main" count="14795" uniqueCount="294">
  <si>
    <t>ACTIONS TO IMPROVE LIQUIDITY</t>
  </si>
  <si>
    <t>IDEAS</t>
  </si>
  <si>
    <t>IMPACT</t>
  </si>
  <si>
    <t>EASY</t>
  </si>
  <si>
    <t>SCORE</t>
  </si>
  <si>
    <t>INSTRUCTIONS</t>
  </si>
  <si>
    <t> </t>
  </si>
  <si>
    <t>IMPACT:</t>
  </si>
  <si>
    <t>Introducing in our Commercial Policy an extra Discount for Payment on Delivery or Reduced Payment Term (impact analysis cashflow vs profitability)</t>
  </si>
  <si>
    <t>A score of 3 means it has the biggest impact</t>
  </si>
  <si>
    <t xml:space="preserve">Credit Management Policy -  Discipline in execution for Credit Limit / Cash Collection conditions </t>
  </si>
  <si>
    <t>A score of 1 means it has the least impact.</t>
  </si>
  <si>
    <t>Increase Suppliers` Payment Terms with (mainly Rioja, Better Being, Skanska)  + all suppliers with 5 Days</t>
  </si>
  <si>
    <t>EASY:</t>
  </si>
  <si>
    <t>Inventory - Reduce stock levels by 30 Days</t>
  </si>
  <si>
    <t xml:space="preserve">A score of 3 means it's very easy                                                                                                        </t>
  </si>
  <si>
    <t>Forecast Accuracy - increase forecast accuracy  and implement a forecasting tool</t>
  </si>
  <si>
    <t>A score of 1 means it's very difficult.</t>
  </si>
  <si>
    <t>Inventory - negotiate Incoterms  DDP vs EXW</t>
  </si>
  <si>
    <t>Reducing LeadTIme - switch to air shipment from sea shipment with discount from Supplier</t>
  </si>
  <si>
    <t>Pre-Orders (pay in advance) for exclusive products in B2C</t>
  </si>
  <si>
    <t>Increase efficiency - Implement single payment day per week  (Tuesday)</t>
  </si>
  <si>
    <t>ACTIONS TO IMPROVE PROFITABILITY</t>
  </si>
  <si>
    <t>Pricing policy &gt; increase prices yearly with 1 p.p. over manufacturing price increase (to be calculated for 2025 depending on mix)</t>
  </si>
  <si>
    <t>FX Management - hedging at a lower price point</t>
  </si>
  <si>
    <t>Build a revenue management strategy for long tail assortment based on SKUs with high potential in gross margin increase</t>
  </si>
  <si>
    <t>Consolidate Must Selling List based on a higher weight of Gross Margin in Selection Criteria List</t>
  </si>
  <si>
    <t>Improve Direct And Management Labour Efficiency - Simplify and Digitize Processes to mantain current FTE</t>
  </si>
  <si>
    <t xml:space="preserve">G&amp;A (OPEX HR Cost / Facilities / Others G&amp;A)  + Distribution Expenses (Transport Cost / Labeling Machine) - analyze opportunities for reduction </t>
  </si>
  <si>
    <t>New Categories - expand B2C assortment to increase revenue</t>
  </si>
  <si>
    <t>POWER OF ONE DATA INPUT</t>
  </si>
  <si>
    <t xml:space="preserve"> Denotes input field </t>
  </si>
  <si>
    <t>Profit and Loss</t>
  </si>
  <si>
    <t>9m &gt; YTD Sept 2023</t>
  </si>
  <si>
    <t xml:space="preserve"> 9m &gt; YTD Sept 2024 </t>
  </si>
  <si>
    <t>YEAR 1</t>
  </si>
  <si>
    <t>YEAR 2</t>
  </si>
  <si>
    <t>Revenue</t>
  </si>
  <si>
    <t xml:space="preserve">       105,656,241</t>
  </si>
  <si>
    <t xml:space="preserve">        133,503,123</t>
  </si>
  <si>
    <t>Cost of Goods Sold</t>
  </si>
  <si>
    <t xml:space="preserve">         50,621,401</t>
  </si>
  <si>
    <t xml:space="preserve">         66,053,907</t>
  </si>
  <si>
    <t>Gross Margin</t>
  </si>
  <si>
    <t xml:space="preserve">         55,034,840</t>
  </si>
  <si>
    <t xml:space="preserve">         67,449,216</t>
  </si>
  <si>
    <t>Direct Labor/LER</t>
  </si>
  <si>
    <t xml:space="preserve">         11,529,136</t>
  </si>
  <si>
    <t xml:space="preserve">                4.77</t>
  </si>
  <si>
    <t xml:space="preserve">         13,540,285</t>
  </si>
  <si>
    <t xml:space="preserve">              4.98</t>
  </si>
  <si>
    <t>Contribution Margin</t>
  </si>
  <si>
    <t xml:space="preserve">         43,505,704</t>
  </si>
  <si>
    <t xml:space="preserve">         53,908,931</t>
  </si>
  <si>
    <t>Management Labor</t>
  </si>
  <si>
    <t xml:space="preserve">           9,821,833</t>
  </si>
  <si>
    <t xml:space="preserve">                4.43</t>
  </si>
  <si>
    <t xml:space="preserve">         12,259,096</t>
  </si>
  <si>
    <t xml:space="preserve">              4.40</t>
  </si>
  <si>
    <t>Overheads</t>
  </si>
  <si>
    <t xml:space="preserve">         34,337,593</t>
  </si>
  <si>
    <t xml:space="preserve">         35,815,354</t>
  </si>
  <si>
    <t>EBIT</t>
  </si>
  <si>
    <t xml:space="preserve">           5,834,481</t>
  </si>
  <si>
    <t xml:space="preserve">    3,872,108</t>
  </si>
  <si>
    <t>Interest</t>
  </si>
  <si>
    <t xml:space="preserve">           1,726,256</t>
  </si>
  <si>
    <t>Tax</t>
  </si>
  <si>
    <t xml:space="preserve">           1,370,799</t>
  </si>
  <si>
    <t xml:space="preserve">           2,355,198</t>
  </si>
  <si>
    <t>Net Profit</t>
  </si>
  <si>
    <t>-          3,750,777</t>
  </si>
  <si>
    <t xml:space="preserve">           3,180,367</t>
  </si>
  <si>
    <t>Depreciation (included in OH above)</t>
  </si>
  <si>
    <t xml:space="preserve">           1,977,993</t>
  </si>
  <si>
    <t xml:space="preserve">           1,962,373</t>
  </si>
  <si>
    <t>Balance Sheet</t>
  </si>
  <si>
    <t xml:space="preserve"> Change </t>
  </si>
  <si>
    <t>Cash</t>
  </si>
  <si>
    <t xml:space="preserve">           2,193,075</t>
  </si>
  <si>
    <t>Accounts Receivable</t>
  </si>
  <si>
    <t xml:space="preserve">         20,753,966</t>
  </si>
  <si>
    <t xml:space="preserve">         33,728,975</t>
  </si>
  <si>
    <t>-12,975,009</t>
  </si>
  <si>
    <t>For calculation information only</t>
  </si>
  <si>
    <t>Inventory</t>
  </si>
  <si>
    <t xml:space="preserve">         57,248,816</t>
  </si>
  <si>
    <t xml:space="preserve">         53,607,162</t>
  </si>
  <si>
    <t xml:space="preserve">    3,641,655</t>
  </si>
  <si>
    <t>Other Current Assets</t>
  </si>
  <si>
    <t xml:space="preserve">           1,015,906</t>
  </si>
  <si>
    <t>Revised Revenue</t>
  </si>
  <si>
    <t xml:space="preserve">     134,838,154</t>
  </si>
  <si>
    <t>Total Current Assets</t>
  </si>
  <si>
    <t xml:space="preserve">         79,697,178</t>
  </si>
  <si>
    <t xml:space="preserve">         90,545,117</t>
  </si>
  <si>
    <t>Revised A/R</t>
  </si>
  <si>
    <t xml:space="preserve">       34,066,264</t>
  </si>
  <si>
    <t>Fixed Assets (net book value)</t>
  </si>
  <si>
    <t xml:space="preserve">           4,404,846</t>
  </si>
  <si>
    <t xml:space="preserve">           4,907,430</t>
  </si>
  <si>
    <t>Other Assets</t>
  </si>
  <si>
    <t xml:space="preserve">                      -  </t>
  </si>
  <si>
    <t xml:space="preserve">                       -  </t>
  </si>
  <si>
    <t>Total Assets</t>
  </si>
  <si>
    <t xml:space="preserve">         84,102,024</t>
  </si>
  <si>
    <t xml:space="preserve">         95,452,547</t>
  </si>
  <si>
    <t>Revised COGS</t>
  </si>
  <si>
    <t xml:space="preserve">       66,714,446</t>
  </si>
  <si>
    <t>Accounts Payable</t>
  </si>
  <si>
    <t xml:space="preserve">         25,837,170</t>
  </si>
  <si>
    <t xml:space="preserve">         38,569,905</t>
  </si>
  <si>
    <t xml:space="preserve">  12,732,736</t>
  </si>
  <si>
    <t>Revised AP</t>
  </si>
  <si>
    <t xml:space="preserve">       38,955,604</t>
  </si>
  <si>
    <t>Short-term Debt</t>
  </si>
  <si>
    <t xml:space="preserve">         28,957,515</t>
  </si>
  <si>
    <t xml:space="preserve">           9,889,749</t>
  </si>
  <si>
    <t>-19,067,766</t>
  </si>
  <si>
    <t>Revised Inv</t>
  </si>
  <si>
    <t xml:space="preserve">       54,143,233</t>
  </si>
  <si>
    <t>Other Current Liabilities</t>
  </si>
  <si>
    <t xml:space="preserve">           3,561,279</t>
  </si>
  <si>
    <t xml:space="preserve">           5,293,891</t>
  </si>
  <si>
    <t>Total Current Liabilities</t>
  </si>
  <si>
    <t xml:space="preserve">         58,355,964</t>
  </si>
  <si>
    <t xml:space="preserve">         53,753,546</t>
  </si>
  <si>
    <t xml:space="preserve">       65,393,368</t>
  </si>
  <si>
    <t>Long-term Debt</t>
  </si>
  <si>
    <t xml:space="preserve">                -  </t>
  </si>
  <si>
    <t xml:space="preserve">       38,184,206</t>
  </si>
  <si>
    <t>Other Long-term Liabilities</t>
  </si>
  <si>
    <t xml:space="preserve">       53,071,090</t>
  </si>
  <si>
    <t>Total Liabilities</t>
  </si>
  <si>
    <t xml:space="preserve">                 5.03</t>
  </si>
  <si>
    <t>Capital</t>
  </si>
  <si>
    <t xml:space="preserve">         29,496,837</t>
  </si>
  <si>
    <t xml:space="preserve">         41,583,850</t>
  </si>
  <si>
    <t xml:space="preserve">  12,087,013</t>
  </si>
  <si>
    <t>Retained Earnings</t>
  </si>
  <si>
    <t xml:space="preserve">    3,865,928</t>
  </si>
  <si>
    <t xml:space="preserve">             4.44    </t>
  </si>
  <si>
    <t>Total Liabilities and Equity</t>
  </si>
  <si>
    <t xml:space="preserve">                  (0.27)</t>
  </si>
  <si>
    <t xml:space="preserve">                   0.31</t>
  </si>
  <si>
    <t>POWER OF ONE TEMPALTE</t>
  </si>
  <si>
    <t>denotes input field</t>
  </si>
  <si>
    <t>Change</t>
  </si>
  <si>
    <t>Your Power of One</t>
  </si>
  <si>
    <t>NET CASH FLOW</t>
  </si>
  <si>
    <t>EBIT$</t>
  </si>
  <si>
    <t>Your current position</t>
  </si>
  <si>
    <t>Days in A/R</t>
  </si>
  <si>
    <t>Days in A/P</t>
  </si>
  <si>
    <t>Days of Inventory</t>
  </si>
  <si>
    <t>Price Increase</t>
  </si>
  <si>
    <t>%</t>
  </si>
  <si>
    <t>Volume increase (Contribution Margin)</t>
  </si>
  <si>
    <t>COGS Reduction</t>
  </si>
  <si>
    <t>Direct Labor Efficiency increase</t>
  </si>
  <si>
    <t>Management Labor Efficiency increase</t>
  </si>
  <si>
    <t>Overhead Reduction</t>
  </si>
  <si>
    <t>Reduction in debtor days</t>
  </si>
  <si>
    <t>days</t>
  </si>
  <si>
    <t>Reduction on stock days</t>
  </si>
  <si>
    <t>Increase in creditor days</t>
  </si>
  <si>
    <t>Your Power of One Impact</t>
  </si>
  <si>
    <t xml:space="preserve">POWER OF ONE </t>
  </si>
  <si>
    <t xml:space="preserve"> denotes input field </t>
  </si>
  <si>
    <t xml:space="preserve"> NET CASH FLOW </t>
  </si>
  <si>
    <t xml:space="preserve"> EBIT$ </t>
  </si>
  <si>
    <t xml:space="preserve">           6,077,165</t>
  </si>
  <si>
    <t xml:space="preserve">         5,834,481</t>
  </si>
  <si>
    <t>Reset</t>
  </si>
  <si>
    <t xml:space="preserve">         1,335,031</t>
  </si>
  <si>
    <t xml:space="preserve">           4,944,560</t>
  </si>
  <si>
    <t xml:space="preserve">           7,339,323</t>
  </si>
  <si>
    <t xml:space="preserve">        15,960,342</t>
  </si>
  <si>
    <t xml:space="preserve">       4,106,395</t>
  </si>
  <si>
    <t xml:space="preserve">         7,286,762</t>
  </si>
  <si>
    <t xml:space="preserve">POWER OF ONE WWW - WHO, WHAT, WHEN </t>
  </si>
  <si>
    <t>WHAT</t>
  </si>
  <si>
    <t xml:space="preserve">WHO </t>
  </si>
  <si>
    <t>WHEN</t>
  </si>
  <si>
    <t>Adina</t>
  </si>
  <si>
    <t>SD</t>
  </si>
  <si>
    <t>George</t>
  </si>
  <si>
    <t>Radu</t>
  </si>
  <si>
    <t>on going</t>
  </si>
  <si>
    <t>Tudor</t>
  </si>
  <si>
    <t>Ioan</t>
  </si>
  <si>
    <t>1 per Q</t>
  </si>
  <si>
    <t>FAST TRACK  LABOUR EFFICIENCY RATIO</t>
  </si>
  <si>
    <t>Year 1</t>
  </si>
  <si>
    <t>Year 2</t>
  </si>
  <si>
    <t>Year 3</t>
  </si>
  <si>
    <t>Year 4</t>
  </si>
  <si>
    <t>Business Engine</t>
  </si>
  <si>
    <t>Gross Profit</t>
  </si>
  <si>
    <t>GP as % of Revenue</t>
  </si>
  <si>
    <t>Direct Labor</t>
  </si>
  <si>
    <t>Direct LER</t>
  </si>
  <si>
    <t>Business Chasis</t>
  </si>
  <si>
    <t>Operating expenses:</t>
  </si>
  <si>
    <t>Facilities</t>
  </si>
  <si>
    <t>Marketing</t>
  </si>
  <si>
    <t>Salaries (management and admin)</t>
  </si>
  <si>
    <t>Payroll taxes and benefits</t>
  </si>
  <si>
    <t>Other operating expenses</t>
  </si>
  <si>
    <t>Total operating expenses</t>
  </si>
  <si>
    <t>Management LER</t>
  </si>
  <si>
    <t>Income margins</t>
  </si>
  <si>
    <t>Net operating Income</t>
  </si>
  <si>
    <t>Other expenses:</t>
  </si>
  <si>
    <t>Depreciation</t>
  </si>
  <si>
    <t>Interest Expense</t>
  </si>
  <si>
    <t>Total other expenses</t>
  </si>
  <si>
    <t>Pre-tax Net Income</t>
  </si>
  <si>
    <t>as a % of Revenue</t>
  </si>
  <si>
    <t>as a % of Gross Profit</t>
  </si>
  <si>
    <t>LER Dynamics</t>
  </si>
  <si>
    <t xml:space="preserve"> Business Engine </t>
  </si>
  <si>
    <t xml:space="preserve">     171,762,503</t>
  </si>
  <si>
    <t xml:space="preserve">     173,021,439</t>
  </si>
  <si>
    <t xml:space="preserve">          178,299,734</t>
  </si>
  <si>
    <t xml:space="preserve">       85,895,435</t>
  </si>
  <si>
    <t xml:space="preserve">       89,010,445</t>
  </si>
  <si>
    <t xml:space="preserve">            83,132,907</t>
  </si>
  <si>
    <t xml:space="preserve">                    -  </t>
  </si>
  <si>
    <t xml:space="preserve">      85,867,068</t>
  </si>
  <si>
    <t xml:space="preserve">      84,010,994</t>
  </si>
  <si>
    <t xml:space="preserve">           95,166,827</t>
  </si>
  <si>
    <t xml:space="preserve">       13,521,834</t>
  </si>
  <si>
    <t xml:space="preserve">       13,167,521</t>
  </si>
  <si>
    <t xml:space="preserve">            15,535,750</t>
  </si>
  <si>
    <t xml:space="preserve">     72,345,234</t>
  </si>
  <si>
    <t xml:space="preserve">     70,843,473</t>
  </si>
  <si>
    <t xml:space="preserve">          79,631,077</t>
  </si>
  <si>
    <t xml:space="preserve"> Direct LER </t>
  </si>
  <si>
    <t xml:space="preserve">  </t>
  </si>
  <si>
    <t xml:space="preserve">                6.35</t>
  </si>
  <si>
    <t xml:space="preserve">                6.38</t>
  </si>
  <si>
    <t xml:space="preserve">                     6.13</t>
  </si>
  <si>
    <t xml:space="preserve"> Business Chasis </t>
  </si>
  <si>
    <t xml:space="preserve">         2,015,000</t>
  </si>
  <si>
    <t xml:space="preserve">         2,210,000</t>
  </si>
  <si>
    <t xml:space="preserve">              2,432,806</t>
  </si>
  <si>
    <t xml:space="preserve">       24,357,000</t>
  </si>
  <si>
    <t xml:space="preserve">       27,665,000</t>
  </si>
  <si>
    <t xml:space="preserve">            22,145,884</t>
  </si>
  <si>
    <t xml:space="preserve">       10,478,914</t>
  </si>
  <si>
    <t xml:space="preserve">       12,726,746</t>
  </si>
  <si>
    <t xml:space="preserve">            12,689,830</t>
  </si>
  <si>
    <t xml:space="preserve">         1,271,000</t>
  </si>
  <si>
    <t xml:space="preserve">         1,492,000</t>
  </si>
  <si>
    <t xml:space="preserve">              1,129,072</t>
  </si>
  <si>
    <t xml:space="preserve">       17,834,296</t>
  </si>
  <si>
    <t xml:space="preserve">       14,253,406</t>
  </si>
  <si>
    <t xml:space="preserve">            20,971,226</t>
  </si>
  <si>
    <t xml:space="preserve">     55,956,210</t>
  </si>
  <si>
    <t xml:space="preserve">     58,347,152</t>
  </si>
  <si>
    <t xml:space="preserve">          59,368,817</t>
  </si>
  <si>
    <t xml:space="preserve"> Management LER </t>
  </si>
  <si>
    <t xml:space="preserve">                6.90</t>
  </si>
  <si>
    <t xml:space="preserve">                5.57</t>
  </si>
  <si>
    <t xml:space="preserve">                     6.28</t>
  </si>
  <si>
    <t xml:space="preserve"> Income margins </t>
  </si>
  <si>
    <t xml:space="preserve">       16,389,024</t>
  </si>
  <si>
    <t xml:space="preserve">       12,496,321</t>
  </si>
  <si>
    <t xml:space="preserve">            20,262,260</t>
  </si>
  <si>
    <t xml:space="preserve">         4,581,786</t>
  </si>
  <si>
    <t xml:space="preserve">         4,167,892</t>
  </si>
  <si>
    <t xml:space="preserve">              2,370,349</t>
  </si>
  <si>
    <t xml:space="preserve">         1,658,256</t>
  </si>
  <si>
    <t xml:space="preserve">              2,109,637</t>
  </si>
  <si>
    <t xml:space="preserve">         4,942,639</t>
  </si>
  <si>
    <t xml:space="preserve">         5,826,148</t>
  </si>
  <si>
    <t xml:space="preserve">              4,479,986</t>
  </si>
  <si>
    <t xml:space="preserve"> $                  -  </t>
  </si>
  <si>
    <t xml:space="preserve"> $    11,446,385</t>
  </si>
  <si>
    <t xml:space="preserve"> $      6,670,173</t>
  </si>
  <si>
    <t xml:space="preserve"> $         15,782,274</t>
  </si>
  <si>
    <t>6.66%</t>
  </si>
  <si>
    <t>3.86%</t>
  </si>
  <si>
    <t>8.85%</t>
  </si>
  <si>
    <t>13.33%</t>
  </si>
  <si>
    <t>7.94%</t>
  </si>
  <si>
    <t>16.58%</t>
  </si>
  <si>
    <t xml:space="preserve"> LER Dynamics </t>
  </si>
  <si>
    <t>Power of One Template</t>
  </si>
  <si>
    <t>Gary's Furniture</t>
  </si>
  <si>
    <t>Net Cash Flow</t>
  </si>
  <si>
    <t>Variance</t>
  </si>
  <si>
    <t>Sample Company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</si>
</sst>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_-* #,##0.00\ _л_в_._-;\-* #,##0.00\ _л_в_._-;_-* &quot;-&quot;??\ _л_в_._-;_-@_-"/>
    <numFmt numFmtId="165" formatCode="_(* #,##0.00_);_(* \(#,##0.00\);_(* &quot;-&quot;??_);_(@_)"/>
    <numFmt numFmtId="166" formatCode="_-* #,##0_-;\-* #,##0_-;_-* &quot;-&quot;??_-;_-@_-"/>
    <numFmt numFmtId="167" formatCode="_(* #,##0_);_(* \(#,##0\);_(* &quot;-&quot;??_);_(@_)"/>
    <numFmt numFmtId="168" formatCode="0_);\(0\)"/>
    <numFmt numFmtId="169" formatCode="_(&quot;$&quot;* #,##0.00_);_(&quot;$&quot;* \(#,##0.00\);_(&quot;$&quot;* &quot;-&quot;??_);_(@_)"/>
    <numFmt numFmtId="170" formatCode="_(&quot;$&quot;* #,##0_);_(&quot;$&quot;* \(#,##0\);_(&quot;$&quot;* &quot;-&quot;??_);_(@_)"/>
  </numFmts>
  <fonts count="91">
    <font>
      <sz val="12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b/>
      <i/>
      <sz val="12"/>
      <color theme="1"/>
      <name val="Calibri"/>
      <family val="2"/>
      <charset val="204"/>
      <scheme val="minor"/>
    </font>
    <font>
      <b/>
      <i/>
      <sz val="14"/>
      <color theme="1"/>
      <name val="Calibri"/>
      <family val="2"/>
      <charset val="204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b/>
      <i/>
      <sz val="11"/>
      <color theme="1"/>
      <name val="Calibri"/>
      <family val="2"/>
      <charset val="204"/>
      <scheme val="minor"/>
    </font>
    <font>
      <sz val="10"/>
      <color theme="0"/>
      <name val="Century Gothic"/>
      <family val="2"/>
      <charset val="204"/>
    </font>
    <font>
      <sz val="10"/>
      <name val="Century Gothic"/>
      <family val="2"/>
      <charset val="204"/>
    </font>
    <font>
      <b/>
      <sz val="10"/>
      <name val="Century Gothic"/>
      <family val="2"/>
      <charset val="204"/>
    </font>
    <font>
      <b/>
      <sz val="10"/>
      <color theme="0"/>
      <name val="Century Gothic"/>
      <family val="2"/>
      <charset val="204"/>
    </font>
    <font>
      <b/>
      <sz val="10"/>
      <color theme="0" tint="-0.499984740745262"/>
      <name val="Century Gothic"/>
      <family val="2"/>
      <charset val="204"/>
    </font>
    <font>
      <b/>
      <i/>
      <sz val="10"/>
      <name val="Century Gothic"/>
      <family val="2"/>
      <charset val="204"/>
    </font>
    <font>
      <b/>
      <i/>
      <sz val="12"/>
      <name val="Century Gothic"/>
      <family val="2"/>
      <charset val="204"/>
    </font>
    <font>
      <b/>
      <sz val="14"/>
      <name val="Century Gothic"/>
      <family val="2"/>
      <charset val="204"/>
    </font>
    <font>
      <i/>
      <sz val="10"/>
      <name val="Century Gothic"/>
      <family val="2"/>
      <charset val="204"/>
    </font>
    <font>
      <sz val="11"/>
      <color theme="0"/>
      <name val="Calibri"/>
      <family val="2"/>
      <charset val="204"/>
    </font>
    <font>
      <sz val="26"/>
      <name val="Arial Black"/>
      <family val="2"/>
      <charset val="204"/>
    </font>
    <font>
      <sz val="18"/>
      <name val="Arial Black"/>
      <family val="2"/>
      <charset val="204"/>
    </font>
    <font>
      <sz val="14"/>
      <color rgb="FF000000"/>
      <name val="Consolas"/>
      <family val="3"/>
      <charset val="204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20"/>
      <name val="Arial BLACK"/>
      <family val="2"/>
    </font>
    <font>
      <b/>
      <sz val="22"/>
      <name val="Arial BLACK"/>
      <family val="2"/>
    </font>
    <font>
      <sz val="10"/>
      <name val="Arial BLACK"/>
      <family val="2"/>
    </font>
    <font>
      <sz val="10"/>
      <color theme="1"/>
      <name val="Century Gothic"/>
      <family val="1"/>
      <charset val="204"/>
    </font>
    <font>
      <sz val="10"/>
      <color theme="1"/>
      <name val="Century Gothic"/>
      <family val="2"/>
      <charset val="204"/>
    </font>
    <font>
      <sz val="10"/>
      <color theme="1"/>
      <name val="Century Gothic"/>
      <family val="1"/>
    </font>
    <font>
      <b/>
      <sz val="22"/>
      <color theme="0"/>
      <name val="Arial"/>
      <family val="1"/>
    </font>
    <font>
      <sz val="22"/>
      <color theme="0"/>
      <name val="Plaak 3 Trial Regular"/>
      <family val="1"/>
    </font>
    <font>
      <i/>
      <sz val="10"/>
      <name val="Arial"/>
      <family val="2"/>
    </font>
    <font>
      <b/>
      <sz val="11"/>
      <color theme="0"/>
      <name val="Calibri"/>
      <family val="2"/>
      <scheme val="minor"/>
    </font>
    <font>
      <b/>
      <i/>
      <sz val="10"/>
      <color theme="1"/>
      <name val="Riforma LL"/>
      <family val="2"/>
    </font>
    <font>
      <u val="singleAccounting"/>
      <sz val="10"/>
      <name val="Arial"/>
      <family val="2"/>
    </font>
    <font>
      <sz val="10"/>
      <color theme="1"/>
      <name val="Riforma LL"/>
      <family val="2"/>
    </font>
    <font>
      <sz val="11"/>
      <color theme="1"/>
      <name val="Riforma LL"/>
      <family val="2"/>
    </font>
    <font>
      <b/>
      <i/>
      <sz val="10"/>
      <name val="Riforma LL"/>
      <family val="2"/>
    </font>
    <font>
      <i/>
      <sz val="10"/>
      <name val="Riforma LL"/>
      <family val="2"/>
    </font>
    <font>
      <b/>
      <sz val="10"/>
      <color theme="1"/>
      <name val="Riforma LL"/>
      <family val="2"/>
    </font>
    <font>
      <i/>
      <u val="singleAccounting"/>
      <sz val="11"/>
      <name val="Riforma LL"/>
      <family val="2"/>
    </font>
    <font>
      <b/>
      <i/>
      <u val="singleAccounting"/>
      <sz val="11"/>
      <name val="Riforma LL"/>
      <family val="2"/>
    </font>
    <font>
      <i/>
      <sz val="10"/>
      <color theme="1"/>
      <name val="Riforma LL"/>
      <family val="2"/>
    </font>
    <font>
      <sz val="10"/>
      <name val="Arial"/>
      <family val="2"/>
    </font>
    <font>
      <u val="singleAccounting"/>
      <sz val="10"/>
      <name val="Riforma LL"/>
      <family val="2"/>
    </font>
    <font>
      <sz val="10"/>
      <name val="Riforma LL"/>
      <family val="2"/>
    </font>
    <font>
      <u val="doubleAccounting"/>
      <sz val="10"/>
      <name val="Riforma LL"/>
      <family val="2"/>
    </font>
    <font>
      <sz val="12"/>
      <color theme="0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2"/>
      <color rgb="FF000000"/>
      <name val="Calibri"/>
    </font>
    <font>
      <sz val="12"/>
      <color rgb="FF000000"/>
      <name val="Calibri"/>
    </font>
    <font>
      <sz val="11"/>
      <color rgb="FF000000"/>
      <name val="Calibri"/>
      <family val="2"/>
    </font>
    <font>
      <sz val="12"/>
      <color rgb="FF000000"/>
      <name val="Calibri"/>
      <family val="2"/>
    </font>
    <font>
      <b/>
      <sz val="22"/>
      <color rgb="FF000000"/>
      <name val="Arial BLACK"/>
      <family val="2"/>
    </font>
    <font>
      <sz val="10"/>
      <color rgb="FF000000"/>
      <name val="Arial BLACK"/>
      <family val="1"/>
    </font>
    <font>
      <sz val="10"/>
      <color rgb="FF000000"/>
      <name val="Century Gothic"/>
      <family val="1"/>
      <charset val="204"/>
    </font>
    <font>
      <sz val="10"/>
      <color rgb="FF000000"/>
      <name val="Century Gothic"/>
      <family val="2"/>
      <charset val="204"/>
    </font>
    <font>
      <b/>
      <i/>
      <sz val="10"/>
      <color rgb="FF000000"/>
      <name val="Century Gothic"/>
      <family val="1"/>
      <charset val="204"/>
    </font>
    <font>
      <b/>
      <i/>
      <sz val="12"/>
      <color rgb="FF000000"/>
      <name val="Century Gothic"/>
      <family val="1"/>
      <charset val="204"/>
    </font>
    <font>
      <b/>
      <sz val="10"/>
      <color rgb="FF000000"/>
      <name val="Century Gothic"/>
      <family val="1"/>
      <charset val="204"/>
    </font>
    <font>
      <sz val="10"/>
      <color rgb="FFFFFFFF"/>
      <name val="Century Gothic"/>
      <family val="2"/>
      <charset val="204"/>
    </font>
    <font>
      <b/>
      <sz val="14"/>
      <color rgb="FF000000"/>
      <name val="Century Gothic"/>
      <family val="2"/>
      <charset val="204"/>
    </font>
    <font>
      <b/>
      <sz val="10"/>
      <color rgb="FFFFFFFF"/>
      <name val="Century Gothic"/>
      <family val="2"/>
      <charset val="204"/>
    </font>
    <font>
      <b/>
      <sz val="10"/>
      <color rgb="FF000000"/>
      <name val="Century Gothic"/>
      <family val="2"/>
      <charset val="204"/>
    </font>
    <font>
      <sz val="10"/>
      <color rgb="FF000000"/>
      <name val="Century Gothic"/>
      <family val="1"/>
    </font>
    <font>
      <i/>
      <sz val="10"/>
      <color rgb="FF000000"/>
      <name val="Century Gothic"/>
      <family val="2"/>
      <charset val="204"/>
    </font>
    <font>
      <sz val="22"/>
      <color rgb="FF000000"/>
      <name val="Arial Black"/>
      <family val="1"/>
    </font>
    <font>
      <b/>
      <i/>
      <sz val="10"/>
      <color rgb="FFFFFFFF"/>
      <name val="Century Gothic"/>
      <family val="2"/>
      <charset val="204"/>
    </font>
    <font>
      <b/>
      <i/>
      <sz val="12"/>
      <color rgb="FF000000"/>
      <name val="Century Gothic"/>
      <family val="2"/>
      <charset val="204"/>
    </font>
    <font>
      <b/>
      <i/>
      <sz val="10"/>
      <color rgb="FF000000"/>
      <name val="Century Gothic"/>
      <family val="2"/>
      <charset val="204"/>
    </font>
    <font>
      <b/>
      <sz val="22"/>
      <color rgb="FFFFFFFF"/>
      <name val="Arial"/>
      <family val="1"/>
    </font>
    <font>
      <sz val="11"/>
      <color rgb="FF000000"/>
      <name val="Calibri"/>
      <family val="2"/>
      <charset val="204"/>
    </font>
    <font>
      <b/>
      <sz val="11"/>
      <color rgb="FFFFFFFF"/>
      <name val="Calibri"/>
      <family val="2"/>
    </font>
    <font>
      <sz val="14"/>
      <color rgb="FFFFFFFF"/>
      <name val="Arial"/>
      <family val="2"/>
    </font>
    <font>
      <b/>
      <i/>
      <sz val="10"/>
      <color rgb="FF000000"/>
      <name val="Riforma LL"/>
      <family val="2"/>
    </font>
    <font>
      <u/>
      <sz val="10"/>
      <name val="Arial"/>
      <family val="2"/>
    </font>
    <font>
      <sz val="10"/>
      <color rgb="FF000000"/>
      <name val="Riforma LL"/>
      <family val="2"/>
    </font>
    <font>
      <sz val="11"/>
      <color rgb="FF000000"/>
      <name val="Riforma LL"/>
      <family val="2"/>
    </font>
    <font>
      <b/>
      <sz val="10"/>
      <color rgb="FF000000"/>
      <name val="Riforma LL"/>
      <family val="2"/>
    </font>
    <font>
      <sz val="14"/>
      <color rgb="FF000000"/>
      <name val="Arial"/>
      <family val="2"/>
    </font>
    <font>
      <i/>
      <sz val="10"/>
      <color rgb="FF000000"/>
      <name val="Riforma LL"/>
      <family val="2"/>
    </font>
    <font>
      <u/>
      <sz val="10"/>
      <name val="Riforma LL"/>
      <family val="2"/>
    </font>
  </fonts>
  <fills count="2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D3272"/>
        <bgColor indexed="64"/>
      </patternFill>
    </fill>
    <fill>
      <patternFill patternType="solid">
        <fgColor rgb="FF067FCB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A5A5A5"/>
      </patternFill>
    </fill>
    <fill>
      <patternFill patternType="solid">
        <fgColor rgb="FFFFF469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C5D9F1"/>
        <bgColor rgb="FF000000"/>
      </patternFill>
    </fill>
    <fill>
      <patternFill patternType="solid">
        <fgColor rgb="FFDCE6F1"/>
        <bgColor rgb="FF000000"/>
      </patternFill>
    </fill>
    <fill>
      <patternFill patternType="solid">
        <fgColor rgb="FF000000"/>
        <bgColor rgb="FF000000"/>
      </patternFill>
    </fill>
    <fill>
      <patternFill patternType="solid">
        <fgColor rgb="FF262626"/>
        <bgColor rgb="FF000000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A5A5A5"/>
        <bgColor rgb="FF000000"/>
      </patternFill>
    </fill>
    <fill>
      <patternFill patternType="solid">
        <fgColor rgb="FFFFF469"/>
        <bgColor rgb="FF000000"/>
      </patternFill>
    </fill>
  </fills>
  <borders count="68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double">
        <color auto="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indexed="64"/>
      </top>
      <bottom style="double">
        <color indexed="64"/>
      </bottom>
      <diagonal/>
    </border>
    <border>
      <left/>
      <right/>
      <top/>
      <bottom style="slantDashDot">
        <color theme="0"/>
      </bottom>
      <diagonal/>
    </border>
    <border>
      <left/>
      <right/>
      <top style="thick">
        <color theme="0"/>
      </top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/>
      <bottom style="thick">
        <color theme="0"/>
      </bottom>
      <diagonal/>
    </border>
    <border>
      <left/>
      <right/>
      <top style="thin">
        <color theme="0"/>
      </top>
      <bottom style="double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double">
        <color rgb="FF3F3F3F"/>
      </right>
      <top/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medium">
        <color indexed="64"/>
      </top>
      <bottom style="double">
        <color rgb="FF3F3F3F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ck">
        <color rgb="FFFFFFFF"/>
      </right>
      <top/>
      <bottom style="thin">
        <color indexed="64"/>
      </bottom>
      <diagonal/>
    </border>
    <border>
      <left style="thin">
        <color rgb="FFA6A6A6"/>
      </left>
      <right style="thin">
        <color rgb="FFA6A6A6"/>
      </right>
      <top style="thin">
        <color rgb="FFA6A6A6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A6A6A6"/>
      </left>
      <right style="thin">
        <color rgb="FFA6A6A6"/>
      </right>
      <top style="thin">
        <color rgb="FFA6A6A6"/>
      </top>
      <bottom style="thin">
        <color rgb="FFA6A6A6"/>
      </bottom>
      <diagonal/>
    </border>
    <border>
      <left style="thin">
        <color rgb="FFA6A6A6"/>
      </left>
      <right style="thin">
        <color rgb="FFA6A6A6"/>
      </right>
      <top/>
      <bottom style="thin">
        <color indexed="64"/>
      </bottom>
      <diagonal/>
    </border>
    <border>
      <left style="thin">
        <color rgb="FFA6A6A6"/>
      </left>
      <right style="thin">
        <color rgb="FFA6A6A6"/>
      </right>
      <top style="thin">
        <color rgb="FFA6A6A6"/>
      </top>
      <bottom/>
      <diagonal/>
    </border>
    <border>
      <left style="thin">
        <color rgb="FFA6A6A6"/>
      </left>
      <right style="thin">
        <color rgb="FFA6A6A6"/>
      </right>
      <top style="thin">
        <color indexed="64"/>
      </top>
      <bottom style="double">
        <color indexed="64"/>
      </bottom>
      <diagonal/>
    </border>
    <border>
      <left style="thin">
        <color rgb="FFA6A6A6"/>
      </left>
      <right style="thin">
        <color rgb="FFA6A6A6"/>
      </right>
      <top/>
      <bottom style="thin">
        <color rgb="FFA6A6A6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/>
      <top/>
      <bottom style="thin">
        <color rgb="FFFFFFFF"/>
      </bottom>
      <diagonal/>
    </border>
    <border>
      <left/>
      <right/>
      <top style="thin">
        <color rgb="FFFFFFFF"/>
      </top>
      <bottom style="double">
        <color rgb="FFFFFFFF"/>
      </bottom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medium">
        <color rgb="FFFFFFFF"/>
      </bottom>
      <diagonal/>
    </border>
    <border>
      <left/>
      <right style="medium">
        <color rgb="FF000000"/>
      </right>
      <top style="medium">
        <color indexed="64"/>
      </top>
      <bottom/>
      <diagonal/>
    </border>
    <border>
      <left/>
      <right style="double">
        <color rgb="FF3F3F3F"/>
      </right>
      <top style="medium">
        <color indexed="64"/>
      </top>
      <bottom style="double">
        <color rgb="FF3F3F3F"/>
      </bottom>
      <diagonal/>
    </border>
    <border>
      <left style="medium">
        <color indexed="64"/>
      </left>
      <right style="thin">
        <color indexed="64"/>
      </right>
      <top/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rgb="FF000000"/>
      </bottom>
      <diagonal/>
    </border>
  </borders>
  <cellStyleXfs count="104">
    <xf numFmtId="0" fontId="0" fillId="0" borderId="0"/>
    <xf numFmtId="43" fontId="3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9" fontId="2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" fillId="0" borderId="0"/>
    <xf numFmtId="0" fontId="27" fillId="0" borderId="0"/>
    <xf numFmtId="0" fontId="1" fillId="0" borderId="0"/>
    <xf numFmtId="165" fontId="1" fillId="0" borderId="0" applyFont="0" applyFill="0" applyBorder="0" applyAlignment="0" applyProtection="0"/>
    <xf numFmtId="0" fontId="39" fillId="11" borderId="31" applyNumberFormat="0" applyAlignment="0" applyProtection="0"/>
    <xf numFmtId="9" fontId="27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27" fillId="0" borderId="0" applyFont="0" applyFill="0" applyBorder="0" applyAlignment="0" applyProtection="0"/>
    <xf numFmtId="169" fontId="1" fillId="0" borderId="0" applyFont="0" applyFill="0" applyBorder="0" applyAlignment="0" applyProtection="0"/>
  </cellStyleXfs>
  <cellXfs count="380">
    <xf numFmtId="0" fontId="0" fillId="0" borderId="0" xfId="0"/>
    <xf numFmtId="43" fontId="0" fillId="0" borderId="0" xfId="1" applyFont="1"/>
    <xf numFmtId="43" fontId="0" fillId="0" borderId="0" xfId="0" applyNumberFormat="1"/>
    <xf numFmtId="165" fontId="0" fillId="0" borderId="0" xfId="1" applyNumberFormat="1" applyFont="1"/>
    <xf numFmtId="165" fontId="0" fillId="0" borderId="0" xfId="0" applyNumberFormat="1"/>
    <xf numFmtId="0" fontId="0" fillId="0" borderId="0" xfId="0" quotePrefix="1"/>
    <xf numFmtId="0" fontId="0" fillId="0" borderId="1" xfId="0" applyBorder="1"/>
    <xf numFmtId="165" fontId="0" fillId="2" borderId="0" xfId="1" applyNumberFormat="1" applyFont="1" applyFill="1"/>
    <xf numFmtId="165" fontId="0" fillId="0" borderId="0" xfId="1" applyNumberFormat="1" applyFont="1" applyFill="1"/>
    <xf numFmtId="165" fontId="0" fillId="0" borderId="2" xfId="1" applyNumberFormat="1" applyFont="1" applyBorder="1"/>
    <xf numFmtId="0" fontId="6" fillId="0" borderId="0" xfId="0" applyFont="1"/>
    <xf numFmtId="0" fontId="7" fillId="0" borderId="0" xfId="0" applyFont="1"/>
    <xf numFmtId="0" fontId="7" fillId="0" borderId="0" xfId="0" applyFont="1" applyAlignment="1">
      <alignment horizontal="right"/>
    </xf>
    <xf numFmtId="0" fontId="0" fillId="2" borderId="0" xfId="0" applyFill="1"/>
    <xf numFmtId="0" fontId="0" fillId="0" borderId="5" xfId="0" applyBorder="1"/>
    <xf numFmtId="0" fontId="0" fillId="0" borderId="6" xfId="0" applyBorder="1"/>
    <xf numFmtId="0" fontId="0" fillId="0" borderId="7" xfId="0" applyBorder="1"/>
    <xf numFmtId="43" fontId="0" fillId="0" borderId="6" xfId="0" applyNumberFormat="1" applyBorder="1"/>
    <xf numFmtId="43" fontId="0" fillId="0" borderId="6" xfId="1" applyFont="1" applyBorder="1"/>
    <xf numFmtId="165" fontId="0" fillId="0" borderId="6" xfId="0" applyNumberFormat="1" applyBorder="1"/>
    <xf numFmtId="0" fontId="0" fillId="0" borderId="9" xfId="0" applyBorder="1"/>
    <xf numFmtId="165" fontId="0" fillId="2" borderId="2" xfId="1" applyNumberFormat="1" applyFont="1" applyFill="1" applyBorder="1"/>
    <xf numFmtId="165" fontId="0" fillId="2" borderId="3" xfId="1" applyNumberFormat="1" applyFont="1" applyFill="1" applyBorder="1"/>
    <xf numFmtId="165" fontId="0" fillId="0" borderId="3" xfId="1" applyNumberFormat="1" applyFont="1" applyFill="1" applyBorder="1"/>
    <xf numFmtId="0" fontId="8" fillId="0" borderId="0" xfId="0" applyFont="1"/>
    <xf numFmtId="0" fontId="6" fillId="0" borderId="0" xfId="0" applyFont="1" applyAlignment="1">
      <alignment horizontal="center"/>
    </xf>
    <xf numFmtId="0" fontId="9" fillId="0" borderId="4" xfId="0" applyFont="1" applyBorder="1"/>
    <xf numFmtId="0" fontId="10" fillId="0" borderId="0" xfId="0" applyFont="1"/>
    <xf numFmtId="43" fontId="6" fillId="0" borderId="0" xfId="0" applyNumberFormat="1" applyFont="1"/>
    <xf numFmtId="165" fontId="0" fillId="0" borderId="2" xfId="0" applyNumberFormat="1" applyBorder="1"/>
    <xf numFmtId="0" fontId="0" fillId="0" borderId="2" xfId="0" applyBorder="1"/>
    <xf numFmtId="165" fontId="0" fillId="0" borderId="2" xfId="1" applyNumberFormat="1" applyFont="1" applyFill="1" applyBorder="1"/>
    <xf numFmtId="9" fontId="0" fillId="0" borderId="0" xfId="54" applyFont="1"/>
    <xf numFmtId="165" fontId="0" fillId="0" borderId="0" xfId="1" applyNumberFormat="1" applyFont="1" applyBorder="1"/>
    <xf numFmtId="165" fontId="0" fillId="0" borderId="0" xfId="1" applyNumberFormat="1" applyFont="1" applyFill="1" applyBorder="1"/>
    <xf numFmtId="165" fontId="0" fillId="0" borderId="8" xfId="0" applyNumberFormat="1" applyBorder="1"/>
    <xf numFmtId="43" fontId="0" fillId="0" borderId="0" xfId="1" applyFont="1" applyBorder="1"/>
    <xf numFmtId="0" fontId="9" fillId="0" borderId="0" xfId="0" applyFont="1"/>
    <xf numFmtId="0" fontId="12" fillId="0" borderId="0" xfId="0" applyFont="1"/>
    <xf numFmtId="0" fontId="1" fillId="0" borderId="0" xfId="0" applyFont="1"/>
    <xf numFmtId="0" fontId="13" fillId="0" borderId="0" xfId="0" applyFont="1"/>
    <xf numFmtId="0" fontId="1" fillId="2" borderId="0" xfId="0" applyFont="1" applyFill="1"/>
    <xf numFmtId="0" fontId="12" fillId="0" borderId="0" xfId="0" applyFont="1" applyAlignment="1">
      <alignment horizontal="right"/>
    </xf>
    <xf numFmtId="165" fontId="1" fillId="0" borderId="0" xfId="1" applyNumberFormat="1" applyFont="1"/>
    <xf numFmtId="165" fontId="1" fillId="0" borderId="0" xfId="0" applyNumberFormat="1" applyFont="1"/>
    <xf numFmtId="0" fontId="12" fillId="0" borderId="0" xfId="0" applyFont="1" applyAlignment="1">
      <alignment horizontal="center"/>
    </xf>
    <xf numFmtId="165" fontId="1" fillId="2" borderId="0" xfId="1" applyNumberFormat="1" applyFont="1" applyFill="1"/>
    <xf numFmtId="165" fontId="1" fillId="0" borderId="0" xfId="1" applyNumberFormat="1" applyFont="1" applyFill="1"/>
    <xf numFmtId="165" fontId="1" fillId="0" borderId="0" xfId="1" applyNumberFormat="1" applyFont="1" applyFill="1" applyBorder="1"/>
    <xf numFmtId="165" fontId="1" fillId="2" borderId="2" xfId="1" applyNumberFormat="1" applyFont="1" applyFill="1" applyBorder="1"/>
    <xf numFmtId="165" fontId="1" fillId="0" borderId="2" xfId="1" applyNumberFormat="1" applyFont="1" applyFill="1" applyBorder="1"/>
    <xf numFmtId="9" fontId="1" fillId="0" borderId="0" xfId="54" applyFont="1"/>
    <xf numFmtId="165" fontId="1" fillId="0" borderId="0" xfId="1" applyNumberFormat="1" applyFont="1" applyBorder="1"/>
    <xf numFmtId="0" fontId="1" fillId="0" borderId="1" xfId="0" applyFont="1" applyBorder="1"/>
    <xf numFmtId="0" fontId="13" fillId="0" borderId="4" xfId="0" applyFont="1" applyBorder="1"/>
    <xf numFmtId="0" fontId="1" fillId="0" borderId="5" xfId="0" applyFont="1" applyBorder="1"/>
    <xf numFmtId="0" fontId="1" fillId="0" borderId="6" xfId="0" applyFont="1" applyBorder="1"/>
    <xf numFmtId="0" fontId="1" fillId="0" borderId="7" xfId="0" applyFont="1" applyBorder="1"/>
    <xf numFmtId="0" fontId="1" fillId="0" borderId="0" xfId="0" quotePrefix="1" applyFont="1"/>
    <xf numFmtId="43" fontId="1" fillId="0" borderId="0" xfId="1" applyFont="1"/>
    <xf numFmtId="43" fontId="1" fillId="0" borderId="6" xfId="0" applyNumberFormat="1" applyFont="1" applyBorder="1"/>
    <xf numFmtId="165" fontId="1" fillId="0" borderId="2" xfId="1" applyNumberFormat="1" applyFont="1" applyBorder="1"/>
    <xf numFmtId="43" fontId="1" fillId="0" borderId="6" xfId="1" applyFont="1" applyBorder="1"/>
    <xf numFmtId="165" fontId="1" fillId="2" borderId="3" xfId="1" applyNumberFormat="1" applyFont="1" applyFill="1" applyBorder="1"/>
    <xf numFmtId="165" fontId="1" fillId="0" borderId="3" xfId="1" applyNumberFormat="1" applyFont="1" applyFill="1" applyBorder="1"/>
    <xf numFmtId="165" fontId="1" fillId="0" borderId="6" xfId="0" applyNumberFormat="1" applyFont="1" applyBorder="1"/>
    <xf numFmtId="165" fontId="1" fillId="0" borderId="8" xfId="0" applyNumberFormat="1" applyFont="1" applyBorder="1"/>
    <xf numFmtId="0" fontId="1" fillId="0" borderId="9" xfId="0" applyFont="1" applyBorder="1"/>
    <xf numFmtId="43" fontId="1" fillId="0" borderId="0" xfId="0" applyNumberFormat="1" applyFont="1"/>
    <xf numFmtId="43" fontId="1" fillId="0" borderId="0" xfId="1" applyFont="1" applyBorder="1"/>
    <xf numFmtId="165" fontId="1" fillId="0" borderId="2" xfId="0" applyNumberFormat="1" applyFont="1" applyBorder="1"/>
    <xf numFmtId="0" fontId="1" fillId="0" borderId="2" xfId="0" applyFont="1" applyBorder="1"/>
    <xf numFmtId="43" fontId="12" fillId="0" borderId="0" xfId="0" applyNumberFormat="1" applyFont="1"/>
    <xf numFmtId="166" fontId="15" fillId="5" borderId="18" xfId="1" applyNumberFormat="1" applyFont="1" applyFill="1" applyBorder="1" applyProtection="1">
      <protection locked="0"/>
    </xf>
    <xf numFmtId="166" fontId="15" fillId="5" borderId="12" xfId="1" applyNumberFormat="1" applyFont="1" applyFill="1" applyBorder="1" applyProtection="1">
      <protection locked="0"/>
    </xf>
    <xf numFmtId="166" fontId="15" fillId="5" borderId="14" xfId="1" applyNumberFormat="1" applyFont="1" applyFill="1" applyBorder="1" applyProtection="1">
      <protection locked="0"/>
    </xf>
    <xf numFmtId="166" fontId="15" fillId="5" borderId="19" xfId="1" applyNumberFormat="1" applyFont="1" applyFill="1" applyBorder="1" applyProtection="1">
      <protection locked="0"/>
    </xf>
    <xf numFmtId="166" fontId="15" fillId="5" borderId="15" xfId="1" applyNumberFormat="1" applyFont="1" applyFill="1" applyBorder="1" applyProtection="1">
      <protection locked="0"/>
    </xf>
    <xf numFmtId="166" fontId="15" fillId="5" borderId="17" xfId="1" applyNumberFormat="1" applyFont="1" applyFill="1" applyBorder="1" applyProtection="1">
      <protection locked="0"/>
    </xf>
    <xf numFmtId="166" fontId="14" fillId="4" borderId="0" xfId="1" applyNumberFormat="1" applyFont="1" applyFill="1"/>
    <xf numFmtId="166" fontId="14" fillId="4" borderId="2" xfId="1" applyNumberFormat="1" applyFont="1" applyFill="1" applyBorder="1"/>
    <xf numFmtId="166" fontId="14" fillId="4" borderId="3" xfId="1" applyNumberFormat="1" applyFont="1" applyFill="1" applyBorder="1"/>
    <xf numFmtId="166" fontId="14" fillId="4" borderId="13" xfId="1" applyNumberFormat="1" applyFont="1" applyFill="1" applyBorder="1"/>
    <xf numFmtId="165" fontId="14" fillId="4" borderId="0" xfId="1" applyNumberFormat="1" applyFont="1" applyFill="1"/>
    <xf numFmtId="166" fontId="17" fillId="3" borderId="16" xfId="1" applyNumberFormat="1" applyFont="1" applyFill="1" applyBorder="1" applyAlignment="1">
      <alignment horizontal="center" vertical="center"/>
    </xf>
    <xf numFmtId="166" fontId="14" fillId="4" borderId="16" xfId="1" applyNumberFormat="1" applyFont="1" applyFill="1" applyBorder="1"/>
    <xf numFmtId="0" fontId="15" fillId="6" borderId="4" xfId="0" applyFont="1" applyFill="1" applyBorder="1"/>
    <xf numFmtId="0" fontId="16" fillId="6" borderId="27" xfId="0" applyFont="1" applyFill="1" applyBorder="1"/>
    <xf numFmtId="0" fontId="15" fillId="6" borderId="27" xfId="0" applyFont="1" applyFill="1" applyBorder="1"/>
    <xf numFmtId="0" fontId="15" fillId="6" borderId="5" xfId="0" applyFont="1" applyFill="1" applyBorder="1"/>
    <xf numFmtId="164" fontId="14" fillId="4" borderId="16" xfId="1" applyNumberFormat="1" applyFont="1" applyFill="1" applyBorder="1"/>
    <xf numFmtId="0" fontId="15" fillId="6" borderId="6" xfId="0" applyFont="1" applyFill="1" applyBorder="1"/>
    <xf numFmtId="0" fontId="15" fillId="6" borderId="0" xfId="0" applyFont="1" applyFill="1"/>
    <xf numFmtId="0" fontId="15" fillId="6" borderId="7" xfId="0" applyFont="1" applyFill="1" applyBorder="1"/>
    <xf numFmtId="166" fontId="15" fillId="6" borderId="0" xfId="1" applyNumberFormat="1" applyFont="1" applyFill="1" applyBorder="1"/>
    <xf numFmtId="43" fontId="15" fillId="6" borderId="0" xfId="1" applyFont="1" applyFill="1" applyBorder="1"/>
    <xf numFmtId="0" fontId="15" fillId="6" borderId="8" xfId="0" applyFont="1" applyFill="1" applyBorder="1"/>
    <xf numFmtId="0" fontId="15" fillId="6" borderId="2" xfId="0" applyFont="1" applyFill="1" applyBorder="1"/>
    <xf numFmtId="0" fontId="15" fillId="6" borderId="9" xfId="0" applyFont="1" applyFill="1" applyBorder="1"/>
    <xf numFmtId="166" fontId="17" fillId="4" borderId="25" xfId="1" applyNumberFormat="1" applyFont="1" applyFill="1" applyBorder="1"/>
    <xf numFmtId="166" fontId="14" fillId="4" borderId="26" xfId="1" applyNumberFormat="1" applyFont="1" applyFill="1" applyBorder="1"/>
    <xf numFmtId="0" fontId="15" fillId="6" borderId="21" xfId="0" applyFont="1" applyFill="1" applyBorder="1"/>
    <xf numFmtId="0" fontId="15" fillId="6" borderId="23" xfId="0" applyFont="1" applyFill="1" applyBorder="1"/>
    <xf numFmtId="0" fontId="21" fillId="6" borderId="0" xfId="0" applyFont="1" applyFill="1"/>
    <xf numFmtId="0" fontId="16" fillId="6" borderId="0" xfId="0" applyFont="1" applyFill="1" applyAlignment="1">
      <alignment horizontal="left" indent="2"/>
    </xf>
    <xf numFmtId="0" fontId="22" fillId="6" borderId="0" xfId="0" applyFont="1" applyFill="1"/>
    <xf numFmtId="0" fontId="16" fillId="6" borderId="0" xfId="0" applyFont="1" applyFill="1"/>
    <xf numFmtId="0" fontId="19" fillId="6" borderId="0" xfId="0" applyFont="1" applyFill="1"/>
    <xf numFmtId="166" fontId="15" fillId="6" borderId="0" xfId="1" applyNumberFormat="1" applyFont="1" applyFill="1"/>
    <xf numFmtId="0" fontId="20" fillId="6" borderId="0" xfId="0" applyFont="1" applyFill="1"/>
    <xf numFmtId="166" fontId="15" fillId="6" borderId="23" xfId="1" applyNumberFormat="1" applyFont="1" applyFill="1" applyBorder="1"/>
    <xf numFmtId="0" fontId="15" fillId="6" borderId="24" xfId="0" applyFont="1" applyFill="1" applyBorder="1"/>
    <xf numFmtId="0" fontId="15" fillId="6" borderId="20" xfId="0" applyFont="1" applyFill="1" applyBorder="1"/>
    <xf numFmtId="0" fontId="20" fillId="6" borderId="0" xfId="0" applyFont="1" applyFill="1" applyProtection="1">
      <protection locked="0"/>
    </xf>
    <xf numFmtId="0" fontId="16" fillId="6" borderId="0" xfId="0" applyFont="1" applyFill="1" applyAlignment="1">
      <alignment horizontal="right"/>
    </xf>
    <xf numFmtId="165" fontId="15" fillId="6" borderId="0" xfId="0" applyNumberFormat="1" applyFont="1" applyFill="1"/>
    <xf numFmtId="166" fontId="15" fillId="6" borderId="21" xfId="1" applyNumberFormat="1" applyFont="1" applyFill="1" applyBorder="1"/>
    <xf numFmtId="0" fontId="15" fillId="6" borderId="22" xfId="0" applyFont="1" applyFill="1" applyBorder="1"/>
    <xf numFmtId="165" fontId="15" fillId="6" borderId="0" xfId="1" applyNumberFormat="1" applyFont="1" applyFill="1"/>
    <xf numFmtId="165" fontId="15" fillId="6" borderId="2" xfId="1" applyNumberFormat="1" applyFont="1" applyFill="1" applyBorder="1"/>
    <xf numFmtId="9" fontId="15" fillId="6" borderId="0" xfId="54" applyFont="1" applyFill="1"/>
    <xf numFmtId="165" fontId="15" fillId="6" borderId="0" xfId="1" applyNumberFormat="1" applyFont="1" applyFill="1" applyBorder="1"/>
    <xf numFmtId="165" fontId="15" fillId="6" borderId="3" xfId="1" applyNumberFormat="1" applyFont="1" applyFill="1" applyBorder="1"/>
    <xf numFmtId="166" fontId="18" fillId="6" borderId="0" xfId="1" applyNumberFormat="1" applyFont="1" applyFill="1"/>
    <xf numFmtId="165" fontId="15" fillId="6" borderId="13" xfId="1" applyNumberFormat="1" applyFont="1" applyFill="1" applyBorder="1"/>
    <xf numFmtId="43" fontId="16" fillId="6" borderId="0" xfId="0" applyNumberFormat="1" applyFont="1" applyFill="1"/>
    <xf numFmtId="166" fontId="16" fillId="6" borderId="0" xfId="1" applyNumberFormat="1" applyFont="1" applyFill="1" applyAlignment="1">
      <alignment horizontal="center"/>
    </xf>
    <xf numFmtId="0" fontId="16" fillId="6" borderId="0" xfId="0" applyFont="1" applyFill="1" applyAlignment="1">
      <alignment horizontal="center"/>
    </xf>
    <xf numFmtId="164" fontId="15" fillId="6" borderId="0" xfId="0" applyNumberFormat="1" applyFont="1" applyFill="1"/>
    <xf numFmtId="166" fontId="15" fillId="6" borderId="2" xfId="1" applyNumberFormat="1" applyFont="1" applyFill="1" applyBorder="1"/>
    <xf numFmtId="0" fontId="15" fillId="6" borderId="0" xfId="0" quotePrefix="1" applyFont="1" applyFill="1"/>
    <xf numFmtId="0" fontId="15" fillId="7" borderId="0" xfId="0" applyFont="1" applyFill="1" applyProtection="1">
      <protection locked="0"/>
    </xf>
    <xf numFmtId="0" fontId="23" fillId="7" borderId="28" xfId="95" applyFont="1" applyFill="1" applyBorder="1"/>
    <xf numFmtId="0" fontId="24" fillId="7" borderId="2" xfId="95" applyFont="1" applyFill="1" applyBorder="1" applyAlignment="1">
      <alignment horizontal="left" vertical="center"/>
    </xf>
    <xf numFmtId="0" fontId="25" fillId="7" borderId="2" xfId="95" applyFont="1" applyFill="1" applyBorder="1" applyAlignment="1">
      <alignment horizontal="left" vertical="center"/>
    </xf>
    <xf numFmtId="0" fontId="23" fillId="7" borderId="2" xfId="95" applyFont="1" applyFill="1" applyBorder="1"/>
    <xf numFmtId="0" fontId="23" fillId="7" borderId="2" xfId="95" applyFont="1" applyFill="1" applyBorder="1" applyAlignment="1">
      <alignment vertical="center"/>
    </xf>
    <xf numFmtId="0" fontId="26" fillId="7" borderId="29" xfId="95" applyFont="1" applyFill="1" applyBorder="1" applyAlignment="1">
      <alignment horizontal="right" vertical="center"/>
    </xf>
    <xf numFmtId="0" fontId="2" fillId="7" borderId="30" xfId="95" applyFill="1" applyBorder="1" applyAlignment="1">
      <alignment horizontal="center" vertical="center"/>
    </xf>
    <xf numFmtId="0" fontId="27" fillId="7" borderId="0" xfId="96" applyFill="1"/>
    <xf numFmtId="0" fontId="28" fillId="8" borderId="16" xfId="96" applyFont="1" applyFill="1" applyBorder="1"/>
    <xf numFmtId="0" fontId="29" fillId="8" borderId="16" xfId="96" applyFont="1" applyFill="1" applyBorder="1"/>
    <xf numFmtId="0" fontId="29" fillId="8" borderId="16" xfId="96" applyFont="1" applyFill="1" applyBorder="1" applyAlignment="1">
      <alignment horizontal="center" vertical="center"/>
    </xf>
    <xf numFmtId="0" fontId="27" fillId="7" borderId="16" xfId="96" applyFill="1" applyBorder="1"/>
    <xf numFmtId="0" fontId="30" fillId="6" borderId="23" xfId="0" applyFont="1" applyFill="1" applyBorder="1" applyAlignment="1">
      <alignment horizontal="left" vertical="top"/>
    </xf>
    <xf numFmtId="0" fontId="31" fillId="6" borderId="23" xfId="0" applyFont="1" applyFill="1" applyBorder="1" applyAlignment="1">
      <alignment horizontal="left" vertical="top"/>
    </xf>
    <xf numFmtId="0" fontId="32" fillId="6" borderId="23" xfId="0" applyFont="1" applyFill="1" applyBorder="1" applyAlignment="1">
      <alignment horizontal="left" vertical="top"/>
    </xf>
    <xf numFmtId="166" fontId="32" fillId="6" borderId="23" xfId="1" applyNumberFormat="1" applyFont="1" applyFill="1" applyBorder="1" applyAlignment="1">
      <alignment horizontal="left" vertical="top"/>
    </xf>
    <xf numFmtId="0" fontId="23" fillId="6" borderId="28" xfId="95" applyFont="1" applyFill="1" applyBorder="1"/>
    <xf numFmtId="0" fontId="23" fillId="6" borderId="0" xfId="95" applyFont="1" applyFill="1"/>
    <xf numFmtId="0" fontId="2" fillId="6" borderId="30" xfId="95" applyFill="1" applyBorder="1" applyAlignment="1">
      <alignment horizontal="center" vertical="center"/>
    </xf>
    <xf numFmtId="0" fontId="2" fillId="6" borderId="0" xfId="95" applyFill="1" applyAlignment="1">
      <alignment horizontal="center" vertical="center"/>
    </xf>
    <xf numFmtId="0" fontId="14" fillId="7" borderId="0" xfId="0" applyFont="1" applyFill="1" applyProtection="1">
      <protection locked="0"/>
    </xf>
    <xf numFmtId="0" fontId="14" fillId="7" borderId="0" xfId="0" applyFont="1" applyFill="1"/>
    <xf numFmtId="166" fontId="14" fillId="7" borderId="0" xfId="1" applyNumberFormat="1" applyFont="1" applyFill="1" applyProtection="1"/>
    <xf numFmtId="0" fontId="33" fillId="7" borderId="0" xfId="0" applyFont="1" applyFill="1"/>
    <xf numFmtId="0" fontId="27" fillId="9" borderId="16" xfId="96" applyFill="1" applyBorder="1"/>
    <xf numFmtId="0" fontId="15" fillId="7" borderId="2" xfId="0" applyFont="1" applyFill="1" applyBorder="1"/>
    <xf numFmtId="0" fontId="34" fillId="7" borderId="0" xfId="0" applyFont="1" applyFill="1"/>
    <xf numFmtId="166" fontId="34" fillId="7" borderId="0" xfId="1" applyNumberFormat="1" applyFont="1" applyFill="1" applyProtection="1"/>
    <xf numFmtId="0" fontId="14" fillId="7" borderId="7" xfId="0" applyFont="1" applyFill="1" applyBorder="1"/>
    <xf numFmtId="0" fontId="35" fillId="7" borderId="0" xfId="0" applyFont="1" applyFill="1" applyProtection="1">
      <protection locked="0"/>
    </xf>
    <xf numFmtId="166" fontId="35" fillId="7" borderId="0" xfId="1" applyNumberFormat="1" applyFont="1" applyFill="1" applyProtection="1">
      <protection locked="0"/>
    </xf>
    <xf numFmtId="0" fontId="33" fillId="7" borderId="2" xfId="0" applyFont="1" applyFill="1" applyBorder="1" applyProtection="1">
      <protection locked="0"/>
    </xf>
    <xf numFmtId="0" fontId="35" fillId="7" borderId="7" xfId="0" applyFont="1" applyFill="1" applyBorder="1" applyProtection="1">
      <protection locked="0"/>
    </xf>
    <xf numFmtId="0" fontId="27" fillId="0" borderId="0" xfId="96"/>
    <xf numFmtId="0" fontId="1" fillId="0" borderId="0" xfId="97"/>
    <xf numFmtId="0" fontId="1" fillId="0" borderId="36" xfId="97" applyBorder="1"/>
    <xf numFmtId="168" fontId="39" fillId="11" borderId="37" xfId="99" applyNumberFormat="1" applyBorder="1" applyAlignment="1">
      <alignment horizontal="center"/>
    </xf>
    <xf numFmtId="167" fontId="0" fillId="0" borderId="0" xfId="98" applyNumberFormat="1" applyFont="1"/>
    <xf numFmtId="167" fontId="0" fillId="0" borderId="38" xfId="98" applyNumberFormat="1" applyFont="1" applyBorder="1"/>
    <xf numFmtId="168" fontId="39" fillId="0" borderId="0" xfId="99" applyNumberFormat="1" applyFill="1" applyBorder="1" applyAlignment="1">
      <alignment horizontal="center"/>
    </xf>
    <xf numFmtId="167" fontId="0" fillId="0" borderId="0" xfId="98" applyNumberFormat="1" applyFont="1" applyBorder="1"/>
    <xf numFmtId="0" fontId="40" fillId="0" borderId="0" xfId="97" applyFont="1"/>
    <xf numFmtId="10" fontId="0" fillId="0" borderId="0" xfId="100" applyNumberFormat="1" applyFont="1"/>
    <xf numFmtId="0" fontId="42" fillId="0" borderId="0" xfId="97" applyFont="1"/>
    <xf numFmtId="167" fontId="43" fillId="0" borderId="0" xfId="98" applyNumberFormat="1" applyFont="1" applyFill="1" applyBorder="1"/>
    <xf numFmtId="167" fontId="43" fillId="0" borderId="39" xfId="98" applyNumberFormat="1" applyFont="1" applyFill="1" applyBorder="1"/>
    <xf numFmtId="0" fontId="44" fillId="0" borderId="0" xfId="97" applyFont="1" applyAlignment="1">
      <alignment horizontal="left" indent="2"/>
    </xf>
    <xf numFmtId="0" fontId="45" fillId="0" borderId="0" xfId="97" applyFont="1" applyAlignment="1">
      <alignment horizontal="right" indent="2"/>
    </xf>
    <xf numFmtId="9" fontId="45" fillId="0" borderId="0" xfId="101" applyFont="1" applyFill="1" applyBorder="1"/>
    <xf numFmtId="0" fontId="46" fillId="0" borderId="0" xfId="97" applyFont="1" applyAlignment="1">
      <alignment horizontal="left" indent="2"/>
    </xf>
    <xf numFmtId="167" fontId="47" fillId="0" borderId="0" xfId="98" applyNumberFormat="1" applyFont="1" applyFill="1" applyBorder="1"/>
    <xf numFmtId="165" fontId="48" fillId="12" borderId="8" xfId="98" applyFont="1" applyFill="1" applyBorder="1" applyAlignment="1">
      <alignment horizontal="right"/>
    </xf>
    <xf numFmtId="165" fontId="48" fillId="12" borderId="2" xfId="98" applyFont="1" applyFill="1" applyBorder="1"/>
    <xf numFmtId="167" fontId="43" fillId="0" borderId="0" xfId="98" applyNumberFormat="1" applyFont="1" applyBorder="1"/>
    <xf numFmtId="0" fontId="49" fillId="0" borderId="0" xfId="97" applyFont="1" applyAlignment="1">
      <alignment horizontal="left" indent="3"/>
    </xf>
    <xf numFmtId="167" fontId="50" fillId="10" borderId="16" xfId="98" applyNumberFormat="1" applyFont="1" applyFill="1" applyBorder="1"/>
    <xf numFmtId="167" fontId="50" fillId="10" borderId="41" xfId="98" applyNumberFormat="1" applyFont="1" applyFill="1" applyBorder="1"/>
    <xf numFmtId="167" fontId="51" fillId="0" borderId="0" xfId="98" applyNumberFormat="1" applyFont="1" applyBorder="1"/>
    <xf numFmtId="167" fontId="51" fillId="0" borderId="0" xfId="98" applyNumberFormat="1" applyFont="1" applyFill="1" applyBorder="1"/>
    <xf numFmtId="0" fontId="52" fillId="0" borderId="0" xfId="97" applyFont="1"/>
    <xf numFmtId="0" fontId="43" fillId="0" borderId="0" xfId="97" applyFont="1" applyAlignment="1">
      <alignment horizontal="left" indent="1"/>
    </xf>
    <xf numFmtId="0" fontId="43" fillId="0" borderId="0" xfId="97" applyFont="1"/>
    <xf numFmtId="170" fontId="53" fillId="0" borderId="0" xfId="103" applyNumberFormat="1" applyFont="1" applyFill="1" applyBorder="1"/>
    <xf numFmtId="0" fontId="45" fillId="0" borderId="0" xfId="97" applyFont="1" applyAlignment="1">
      <alignment horizontal="right"/>
    </xf>
    <xf numFmtId="10" fontId="45" fillId="0" borderId="0" xfId="101" applyNumberFormat="1" applyFont="1" applyFill="1" applyBorder="1"/>
    <xf numFmtId="0" fontId="45" fillId="0" borderId="1" xfId="97" applyFont="1" applyBorder="1" applyAlignment="1">
      <alignment horizontal="right"/>
    </xf>
    <xf numFmtId="10" fontId="45" fillId="0" borderId="1" xfId="101" applyNumberFormat="1" applyFont="1" applyFill="1" applyBorder="1"/>
    <xf numFmtId="167" fontId="0" fillId="0" borderId="39" xfId="98" applyNumberFormat="1" applyFont="1" applyBorder="1"/>
    <xf numFmtId="0" fontId="1" fillId="0" borderId="1" xfId="97" applyBorder="1"/>
    <xf numFmtId="167" fontId="0" fillId="0" borderId="1" xfId="98" applyNumberFormat="1" applyFont="1" applyBorder="1"/>
    <xf numFmtId="0" fontId="1" fillId="0" borderId="45" xfId="97" applyBorder="1"/>
    <xf numFmtId="0" fontId="38" fillId="0" borderId="0" xfId="97" applyFont="1"/>
    <xf numFmtId="167" fontId="0" fillId="0" borderId="2" xfId="98" applyNumberFormat="1" applyFont="1" applyBorder="1"/>
    <xf numFmtId="167" fontId="0" fillId="0" borderId="45" xfId="98" applyNumberFormat="1" applyFont="1" applyBorder="1"/>
    <xf numFmtId="167" fontId="41" fillId="10" borderId="0" xfId="98" applyNumberFormat="1" applyFont="1" applyFill="1" applyBorder="1"/>
    <xf numFmtId="167" fontId="41" fillId="10" borderId="39" xfId="98" applyNumberFormat="1" applyFont="1" applyFill="1" applyBorder="1"/>
    <xf numFmtId="0" fontId="27" fillId="0" borderId="45" xfId="96" applyBorder="1"/>
    <xf numFmtId="0" fontId="55" fillId="0" borderId="45" xfId="97" applyFont="1" applyBorder="1"/>
    <xf numFmtId="167" fontId="50" fillId="10" borderId="0" xfId="98" applyNumberFormat="1" applyFont="1" applyFill="1" applyBorder="1"/>
    <xf numFmtId="167" fontId="50" fillId="10" borderId="39" xfId="98" applyNumberFormat="1" applyFont="1" applyFill="1" applyBorder="1"/>
    <xf numFmtId="0" fontId="56" fillId="0" borderId="0" xfId="97" applyFont="1"/>
    <xf numFmtId="0" fontId="57" fillId="7" borderId="0" xfId="96" applyFont="1" applyFill="1"/>
    <xf numFmtId="0" fontId="58" fillId="7" borderId="0" xfId="0" applyFont="1" applyFill="1"/>
    <xf numFmtId="0" fontId="59" fillId="7" borderId="0" xfId="0" applyFont="1" applyFill="1"/>
    <xf numFmtId="0" fontId="60" fillId="14" borderId="16" xfId="0" applyFont="1" applyFill="1" applyBorder="1"/>
    <xf numFmtId="0" fontId="60" fillId="14" borderId="11" xfId="0" applyFont="1" applyFill="1" applyBorder="1"/>
    <xf numFmtId="0" fontId="60" fillId="13" borderId="11" xfId="0" applyFont="1" applyFill="1" applyBorder="1"/>
    <xf numFmtId="0" fontId="60" fillId="14" borderId="49" xfId="0" applyFont="1" applyFill="1" applyBorder="1"/>
    <xf numFmtId="0" fontId="60" fillId="14" borderId="9" xfId="0" applyFont="1" applyFill="1" applyBorder="1"/>
    <xf numFmtId="0" fontId="60" fillId="13" borderId="9" xfId="0" applyFont="1" applyFill="1" applyBorder="1"/>
    <xf numFmtId="0" fontId="60" fillId="14" borderId="49" xfId="0" applyFont="1" applyFill="1" applyBorder="1" applyAlignment="1">
      <alignment wrapText="1"/>
    </xf>
    <xf numFmtId="0" fontId="27" fillId="9" borderId="16" xfId="96" applyFill="1" applyBorder="1" applyAlignment="1">
      <alignment wrapText="1"/>
    </xf>
    <xf numFmtId="0" fontId="61" fillId="13" borderId="30" xfId="0" applyFont="1" applyFill="1" applyBorder="1"/>
    <xf numFmtId="0" fontId="61" fillId="13" borderId="2" xfId="0" applyFont="1" applyFill="1" applyBorder="1"/>
    <xf numFmtId="0" fontId="62" fillId="13" borderId="2" xfId="0" applyFont="1" applyFill="1" applyBorder="1"/>
    <xf numFmtId="0" fontId="62" fillId="13" borderId="0" xfId="0" applyFont="1" applyFill="1"/>
    <xf numFmtId="0" fontId="63" fillId="13" borderId="2" xfId="0" applyFont="1" applyFill="1" applyBorder="1"/>
    <xf numFmtId="0" fontId="15" fillId="13" borderId="2" xfId="0" applyFont="1" applyFill="1" applyBorder="1"/>
    <xf numFmtId="0" fontId="15" fillId="13" borderId="50" xfId="0" applyFont="1" applyFill="1" applyBorder="1"/>
    <xf numFmtId="0" fontId="64" fillId="13" borderId="7" xfId="0" applyFont="1" applyFill="1" applyBorder="1"/>
    <xf numFmtId="0" fontId="64" fillId="13" borderId="0" xfId="0" applyFont="1" applyFill="1"/>
    <xf numFmtId="0" fontId="65" fillId="15" borderId="51" xfId="0" applyFont="1" applyFill="1" applyBorder="1"/>
    <xf numFmtId="0" fontId="61" fillId="0" borderId="0" xfId="0" applyFont="1"/>
    <xf numFmtId="0" fontId="0" fillId="13" borderId="7" xfId="0" applyFill="1" applyBorder="1"/>
    <xf numFmtId="0" fontId="0" fillId="13" borderId="0" xfId="0" applyFill="1"/>
    <xf numFmtId="0" fontId="66" fillId="13" borderId="0" xfId="0" applyFont="1" applyFill="1"/>
    <xf numFmtId="0" fontId="67" fillId="13" borderId="0" xfId="0" applyFont="1" applyFill="1"/>
    <xf numFmtId="0" fontId="68" fillId="13" borderId="0" xfId="0" applyFont="1" applyFill="1"/>
    <xf numFmtId="0" fontId="69" fillId="13" borderId="7" xfId="0" applyFont="1" applyFill="1" applyBorder="1"/>
    <xf numFmtId="0" fontId="69" fillId="13" borderId="0" xfId="0" applyFont="1" applyFill="1"/>
    <xf numFmtId="0" fontId="70" fillId="13" borderId="0" xfId="0" applyFont="1" applyFill="1"/>
    <xf numFmtId="0" fontId="15" fillId="13" borderId="0" xfId="0" applyFont="1" applyFill="1"/>
    <xf numFmtId="0" fontId="65" fillId="13" borderId="0" xfId="0" applyFont="1" applyFill="1"/>
    <xf numFmtId="0" fontId="72" fillId="13" borderId="0" xfId="0" applyFont="1" applyFill="1"/>
    <xf numFmtId="0" fontId="73" fillId="14" borderId="54" xfId="0" applyFont="1" applyFill="1" applyBorder="1"/>
    <xf numFmtId="0" fontId="73" fillId="13" borderId="0" xfId="0" applyFont="1" applyFill="1"/>
    <xf numFmtId="0" fontId="73" fillId="14" borderId="55" xfId="0" applyFont="1" applyFill="1" applyBorder="1"/>
    <xf numFmtId="0" fontId="73" fillId="13" borderId="2" xfId="0" applyFont="1" applyFill="1" applyBorder="1"/>
    <xf numFmtId="9" fontId="73" fillId="13" borderId="0" xfId="0" applyNumberFormat="1" applyFont="1" applyFill="1"/>
    <xf numFmtId="9" fontId="64" fillId="13" borderId="0" xfId="0" applyNumberFormat="1" applyFont="1" applyFill="1"/>
    <xf numFmtId="0" fontId="73" fillId="14" borderId="56" xfId="0" applyFont="1" applyFill="1" applyBorder="1"/>
    <xf numFmtId="0" fontId="64" fillId="13" borderId="2" xfId="0" applyFont="1" applyFill="1" applyBorder="1"/>
    <xf numFmtId="0" fontId="73" fillId="14" borderId="57" xfId="0" applyFont="1" applyFill="1" applyBorder="1"/>
    <xf numFmtId="0" fontId="73" fillId="14" borderId="57" xfId="0" quotePrefix="1" applyFont="1" applyFill="1" applyBorder="1"/>
    <xf numFmtId="0" fontId="73" fillId="13" borderId="3" xfId="0" applyFont="1" applyFill="1" applyBorder="1"/>
    <xf numFmtId="0" fontId="73" fillId="14" borderId="58" xfId="0" applyFont="1" applyFill="1" applyBorder="1"/>
    <xf numFmtId="0" fontId="73" fillId="17" borderId="0" xfId="0" applyFont="1" applyFill="1"/>
    <xf numFmtId="0" fontId="69" fillId="17" borderId="0" xfId="0" applyFont="1" applyFill="1"/>
    <xf numFmtId="0" fontId="15" fillId="14" borderId="54" xfId="0" applyFont="1" applyFill="1" applyBorder="1"/>
    <xf numFmtId="0" fontId="15" fillId="14" borderId="58" xfId="0" applyFont="1" applyFill="1" applyBorder="1"/>
    <xf numFmtId="0" fontId="72" fillId="13" borderId="0" xfId="0" quotePrefix="1" applyFont="1" applyFill="1"/>
    <xf numFmtId="0" fontId="65" fillId="13" borderId="4" xfId="0" applyFont="1" applyFill="1" applyBorder="1"/>
    <xf numFmtId="0" fontId="72" fillId="13" borderId="59" xfId="0" applyFont="1" applyFill="1" applyBorder="1"/>
    <xf numFmtId="0" fontId="65" fillId="13" borderId="6" xfId="0" applyFont="1" applyFill="1" applyBorder="1"/>
    <xf numFmtId="0" fontId="65" fillId="13" borderId="7" xfId="0" applyFont="1" applyFill="1" applyBorder="1"/>
    <xf numFmtId="0" fontId="15" fillId="14" borderId="55" xfId="0" applyFont="1" applyFill="1" applyBorder="1"/>
    <xf numFmtId="0" fontId="65" fillId="13" borderId="16" xfId="0" applyFont="1" applyFill="1" applyBorder="1"/>
    <xf numFmtId="0" fontId="65" fillId="13" borderId="49" xfId="0" applyFont="1" applyFill="1" applyBorder="1"/>
    <xf numFmtId="0" fontId="73" fillId="13" borderId="13" xfId="0" applyFont="1" applyFill="1" applyBorder="1"/>
    <xf numFmtId="0" fontId="15" fillId="14" borderId="56" xfId="0" applyFont="1" applyFill="1" applyBorder="1"/>
    <xf numFmtId="0" fontId="15" fillId="14" borderId="55" xfId="0" quotePrefix="1" applyFont="1" applyFill="1" applyBorder="1"/>
    <xf numFmtId="0" fontId="65" fillId="13" borderId="8" xfId="0" applyFont="1" applyFill="1" applyBorder="1"/>
    <xf numFmtId="0" fontId="65" fillId="13" borderId="2" xfId="0" applyFont="1" applyFill="1" applyBorder="1"/>
    <xf numFmtId="0" fontId="65" fillId="13" borderId="9" xfId="0" applyFont="1" applyFill="1" applyBorder="1"/>
    <xf numFmtId="0" fontId="74" fillId="13" borderId="0" xfId="0" applyFont="1" applyFill="1"/>
    <xf numFmtId="0" fontId="73" fillId="13" borderId="7" xfId="0" applyFont="1" applyFill="1" applyBorder="1"/>
    <xf numFmtId="0" fontId="75" fillId="13" borderId="2" xfId="0" applyFont="1" applyFill="1" applyBorder="1"/>
    <xf numFmtId="0" fontId="75" fillId="13" borderId="0" xfId="0" applyFont="1" applyFill="1"/>
    <xf numFmtId="0" fontId="64" fillId="13" borderId="50" xfId="0" applyFont="1" applyFill="1" applyBorder="1"/>
    <xf numFmtId="0" fontId="15" fillId="15" borderId="0" xfId="0" applyFont="1" applyFill="1"/>
    <xf numFmtId="0" fontId="76" fillId="13" borderId="0" xfId="0" applyFont="1" applyFill="1"/>
    <xf numFmtId="0" fontId="21" fillId="13" borderId="0" xfId="0" applyFont="1" applyFill="1"/>
    <xf numFmtId="0" fontId="20" fillId="13" borderId="0" xfId="0" applyFont="1" applyFill="1"/>
    <xf numFmtId="0" fontId="77" fillId="13" borderId="0" xfId="0" applyFont="1" applyFill="1"/>
    <xf numFmtId="0" fontId="71" fillId="16" borderId="16" xfId="0" applyFont="1" applyFill="1" applyBorder="1"/>
    <xf numFmtId="0" fontId="65" fillId="15" borderId="49" xfId="0" applyFont="1" applyFill="1" applyBorder="1"/>
    <xf numFmtId="0" fontId="65" fillId="13" borderId="60" xfId="0" applyFont="1" applyFill="1" applyBorder="1"/>
    <xf numFmtId="0" fontId="78" fillId="13" borderId="0" xfId="0" applyFont="1" applyFill="1"/>
    <xf numFmtId="0" fontId="72" fillId="13" borderId="61" xfId="0" applyFont="1" applyFill="1" applyBorder="1"/>
    <xf numFmtId="0" fontId="65" fillId="13" borderId="62" xfId="0" applyFont="1" applyFill="1" applyBorder="1"/>
    <xf numFmtId="0" fontId="27" fillId="18" borderId="16" xfId="96" applyFill="1" applyBorder="1" applyAlignment="1">
      <alignment wrapText="1"/>
    </xf>
    <xf numFmtId="0" fontId="60" fillId="18" borderId="49" xfId="0" applyFont="1" applyFill="1" applyBorder="1"/>
    <xf numFmtId="0" fontId="60" fillId="18" borderId="49" xfId="0" applyFont="1" applyFill="1" applyBorder="1" applyAlignment="1">
      <alignment wrapText="1"/>
    </xf>
    <xf numFmtId="0" fontId="60" fillId="13" borderId="16" xfId="0" applyFont="1" applyFill="1" applyBorder="1"/>
    <xf numFmtId="0" fontId="60" fillId="13" borderId="49" xfId="0" applyFont="1" applyFill="1" applyBorder="1"/>
    <xf numFmtId="14" fontId="60" fillId="13" borderId="11" xfId="0" applyNumberFormat="1" applyFont="1" applyFill="1" applyBorder="1"/>
    <xf numFmtId="14" fontId="60" fillId="13" borderId="9" xfId="0" applyNumberFormat="1" applyFont="1" applyFill="1" applyBorder="1"/>
    <xf numFmtId="0" fontId="60" fillId="0" borderId="0" xfId="0" applyFont="1"/>
    <xf numFmtId="0" fontId="80" fillId="0" borderId="0" xfId="0" applyFont="1"/>
    <xf numFmtId="0" fontId="80" fillId="0" borderId="33" xfId="0" applyFont="1" applyBorder="1"/>
    <xf numFmtId="0" fontId="38" fillId="0" borderId="33" xfId="0" applyFont="1" applyBorder="1"/>
    <xf numFmtId="0" fontId="61" fillId="0" borderId="33" xfId="0" applyFont="1" applyBorder="1"/>
    <xf numFmtId="0" fontId="61" fillId="0" borderId="34" xfId="0" applyFont="1" applyBorder="1"/>
    <xf numFmtId="0" fontId="61" fillId="0" borderId="35" xfId="0" applyFont="1" applyBorder="1"/>
    <xf numFmtId="0" fontId="80" fillId="0" borderId="36" xfId="0" applyFont="1" applyBorder="1"/>
    <xf numFmtId="0" fontId="81" fillId="19" borderId="64" xfId="0" applyFont="1" applyFill="1" applyBorder="1"/>
    <xf numFmtId="0" fontId="81" fillId="0" borderId="0" xfId="0" applyFont="1"/>
    <xf numFmtId="0" fontId="81" fillId="0" borderId="39" xfId="0" applyFont="1" applyBorder="1"/>
    <xf numFmtId="0" fontId="83" fillId="0" borderId="0" xfId="0" applyFont="1"/>
    <xf numFmtId="0" fontId="84" fillId="15" borderId="16" xfId="0" applyFont="1" applyFill="1" applyBorder="1"/>
    <xf numFmtId="0" fontId="41" fillId="15" borderId="11" xfId="0" applyFont="1" applyFill="1" applyBorder="1"/>
    <xf numFmtId="0" fontId="41" fillId="15" borderId="66" xfId="0" applyFont="1" applyFill="1" applyBorder="1"/>
    <xf numFmtId="0" fontId="85" fillId="0" borderId="0" xfId="0" applyFont="1"/>
    <xf numFmtId="0" fontId="86" fillId="0" borderId="0" xfId="0" applyFont="1"/>
    <xf numFmtId="0" fontId="86" fillId="0" borderId="39" xfId="0" applyFont="1" applyBorder="1"/>
    <xf numFmtId="0" fontId="44" fillId="0" borderId="0" xfId="0" applyFont="1"/>
    <xf numFmtId="0" fontId="45" fillId="0" borderId="0" xfId="0" applyFont="1"/>
    <xf numFmtId="9" fontId="45" fillId="0" borderId="0" xfId="0" applyNumberFormat="1" applyFont="1"/>
    <xf numFmtId="0" fontId="45" fillId="0" borderId="39" xfId="0" applyFont="1" applyBorder="1"/>
    <xf numFmtId="9" fontId="45" fillId="0" borderId="39" xfId="0" applyNumberFormat="1" applyFont="1" applyBorder="1"/>
    <xf numFmtId="0" fontId="87" fillId="0" borderId="0" xfId="0" applyFont="1"/>
    <xf numFmtId="0" fontId="47" fillId="0" borderId="0" xfId="0" applyFont="1"/>
    <xf numFmtId="0" fontId="47" fillId="0" borderId="39" xfId="0" applyFont="1" applyBorder="1"/>
    <xf numFmtId="0" fontId="48" fillId="20" borderId="8" xfId="0" applyFont="1" applyFill="1" applyBorder="1"/>
    <xf numFmtId="0" fontId="48" fillId="20" borderId="2" xfId="0" applyFont="1" applyFill="1" applyBorder="1"/>
    <xf numFmtId="0" fontId="48" fillId="20" borderId="44" xfId="0" applyFont="1" applyFill="1" applyBorder="1"/>
    <xf numFmtId="0" fontId="88" fillId="0" borderId="45" xfId="0" applyFont="1" applyBorder="1"/>
    <xf numFmtId="0" fontId="89" fillId="0" borderId="0" xfId="0" applyFont="1"/>
    <xf numFmtId="0" fontId="50" fillId="15" borderId="16" xfId="0" applyFont="1" applyFill="1" applyBorder="1"/>
    <xf numFmtId="0" fontId="50" fillId="15" borderId="11" xfId="0" applyFont="1" applyFill="1" applyBorder="1"/>
    <xf numFmtId="0" fontId="50" fillId="15" borderId="66" xfId="0" applyFont="1" applyFill="1" applyBorder="1"/>
    <xf numFmtId="0" fontId="50" fillId="15" borderId="49" xfId="0" applyFont="1" applyFill="1" applyBorder="1"/>
    <xf numFmtId="0" fontId="50" fillId="15" borderId="9" xfId="0" applyFont="1" applyFill="1" applyBorder="1"/>
    <xf numFmtId="0" fontId="50" fillId="15" borderId="44" xfId="0" applyFont="1" applyFill="1" applyBorder="1"/>
    <xf numFmtId="0" fontId="84" fillId="15" borderId="49" xfId="0" applyFont="1" applyFill="1" applyBorder="1"/>
    <xf numFmtId="0" fontId="41" fillId="15" borderId="9" xfId="0" applyFont="1" applyFill="1" applyBorder="1"/>
    <xf numFmtId="0" fontId="41" fillId="15" borderId="44" xfId="0" applyFont="1" applyFill="1" applyBorder="1"/>
    <xf numFmtId="0" fontId="51" fillId="0" borderId="0" xfId="0" applyFont="1"/>
    <xf numFmtId="0" fontId="51" fillId="0" borderId="39" xfId="0" applyFont="1" applyBorder="1"/>
    <xf numFmtId="0" fontId="90" fillId="0" borderId="39" xfId="0" applyFont="1" applyBorder="1"/>
    <xf numFmtId="0" fontId="52" fillId="0" borderId="0" xfId="0" applyFont="1"/>
    <xf numFmtId="0" fontId="53" fillId="0" borderId="0" xfId="0" applyFont="1"/>
    <xf numFmtId="0" fontId="53" fillId="0" borderId="39" xfId="0" applyFont="1" applyBorder="1"/>
    <xf numFmtId="0" fontId="45" fillId="0" borderId="1" xfId="0" applyFont="1" applyBorder="1"/>
    <xf numFmtId="0" fontId="45" fillId="0" borderId="48" xfId="0" applyFont="1" applyBorder="1"/>
    <xf numFmtId="0" fontId="61" fillId="0" borderId="39" xfId="0" applyFont="1" applyBorder="1"/>
    <xf numFmtId="0" fontId="80" fillId="0" borderId="1" xfId="0" applyFont="1" applyBorder="1"/>
    <xf numFmtId="0" fontId="61" fillId="0" borderId="1" xfId="0" applyFont="1" applyBorder="1"/>
    <xf numFmtId="0" fontId="61" fillId="0" borderId="48" xfId="0" applyFont="1" applyBorder="1"/>
    <xf numFmtId="0" fontId="17" fillId="3" borderId="10" xfId="0" applyFont="1" applyFill="1" applyBorder="1" applyAlignment="1">
      <alignment horizontal="center"/>
    </xf>
    <xf numFmtId="0" fontId="17" fillId="3" borderId="11" xfId="0" applyFont="1" applyFill="1" applyBorder="1" applyAlignment="1">
      <alignment horizontal="center"/>
    </xf>
    <xf numFmtId="0" fontId="36" fillId="8" borderId="32" xfId="97" applyFont="1" applyFill="1" applyBorder="1" applyAlignment="1">
      <alignment horizontal="left"/>
    </xf>
    <xf numFmtId="0" fontId="37" fillId="8" borderId="33" xfId="97" applyFont="1" applyFill="1" applyBorder="1" applyAlignment="1">
      <alignment horizontal="left"/>
    </xf>
    <xf numFmtId="0" fontId="37" fillId="8" borderId="34" xfId="97" applyFont="1" applyFill="1" applyBorder="1" applyAlignment="1">
      <alignment horizontal="left"/>
    </xf>
    <xf numFmtId="167" fontId="54" fillId="8" borderId="40" xfId="98" applyNumberFormat="1" applyFont="1" applyFill="1" applyBorder="1" applyAlignment="1">
      <alignment horizontal="center" vertical="center" textRotation="90" wrapText="1"/>
    </xf>
    <xf numFmtId="167" fontId="54" fillId="8" borderId="42" xfId="98" applyNumberFormat="1" applyFont="1" applyFill="1" applyBorder="1" applyAlignment="1">
      <alignment horizontal="center" vertical="center" textRotation="90" wrapText="1"/>
    </xf>
    <xf numFmtId="167" fontId="54" fillId="8" borderId="43" xfId="98" applyNumberFormat="1" applyFont="1" applyFill="1" applyBorder="1" applyAlignment="1">
      <alignment horizontal="center" vertical="center" textRotation="90" wrapText="1"/>
    </xf>
    <xf numFmtId="167" fontId="54" fillId="8" borderId="46" xfId="98" applyNumberFormat="1" applyFont="1" applyFill="1" applyBorder="1" applyAlignment="1">
      <alignment horizontal="center" vertical="center" textRotation="90" wrapText="1"/>
    </xf>
    <xf numFmtId="167" fontId="54" fillId="8" borderId="45" xfId="98" applyNumberFormat="1" applyFont="1" applyFill="1" applyBorder="1" applyAlignment="1">
      <alignment horizontal="center" vertical="center" textRotation="90" wrapText="1"/>
    </xf>
    <xf numFmtId="167" fontId="54" fillId="8" borderId="47" xfId="98" applyNumberFormat="1" applyFont="1" applyFill="1" applyBorder="1" applyAlignment="1">
      <alignment horizontal="center" vertical="center" textRotation="90" wrapText="1"/>
    </xf>
    <xf numFmtId="0" fontId="82" fillId="16" borderId="42" xfId="0" applyFont="1" applyFill="1" applyBorder="1" applyAlignment="1">
      <alignment textRotation="90" wrapText="1"/>
    </xf>
    <xf numFmtId="0" fontId="82" fillId="16" borderId="65" xfId="0" applyFont="1" applyFill="1" applyBorder="1" applyAlignment="1">
      <alignment textRotation="90" wrapText="1"/>
    </xf>
    <xf numFmtId="0" fontId="82" fillId="16" borderId="40" xfId="0" applyFont="1" applyFill="1" applyBorder="1" applyAlignment="1">
      <alignment textRotation="90" wrapText="1"/>
    </xf>
    <xf numFmtId="0" fontId="82" fillId="16" borderId="46" xfId="0" applyFont="1" applyFill="1" applyBorder="1" applyAlignment="1">
      <alignment textRotation="90" wrapText="1"/>
    </xf>
    <xf numFmtId="0" fontId="82" fillId="16" borderId="45" xfId="0" applyFont="1" applyFill="1" applyBorder="1" applyAlignment="1">
      <alignment textRotation="90" wrapText="1"/>
    </xf>
    <xf numFmtId="0" fontId="82" fillId="16" borderId="67" xfId="0" applyFont="1" applyFill="1" applyBorder="1" applyAlignment="1">
      <alignment textRotation="90" wrapText="1"/>
    </xf>
    <xf numFmtId="0" fontId="12" fillId="0" borderId="10" xfId="0" applyFont="1" applyBorder="1" applyAlignment="1">
      <alignment horizontal="center"/>
    </xf>
    <xf numFmtId="0" fontId="12" fillId="0" borderId="11" xfId="0" applyFont="1" applyBorder="1" applyAlignment="1">
      <alignment horizontal="center"/>
    </xf>
    <xf numFmtId="0" fontId="6" fillId="0" borderId="10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15" fillId="13" borderId="0" xfId="0" applyFont="1" applyFill="1" applyAlignment="1"/>
    <xf numFmtId="0" fontId="71" fillId="16" borderId="10" xfId="0" applyFont="1" applyFill="1" applyBorder="1" applyAlignment="1"/>
    <xf numFmtId="0" fontId="71" fillId="16" borderId="52" xfId="0" applyFont="1" applyFill="1" applyBorder="1" applyAlignment="1"/>
    <xf numFmtId="0" fontId="71" fillId="16" borderId="53" xfId="0" applyFont="1" applyFill="1" applyBorder="1" applyAlignment="1"/>
    <xf numFmtId="0" fontId="79" fillId="16" borderId="32" xfId="0" applyFont="1" applyFill="1" applyBorder="1" applyAlignment="1"/>
    <xf numFmtId="0" fontId="79" fillId="16" borderId="33" xfId="0" applyFont="1" applyFill="1" applyBorder="1" applyAlignment="1"/>
    <xf numFmtId="0" fontId="79" fillId="16" borderId="63" xfId="0" applyFont="1" applyFill="1" applyBorder="1" applyAlignment="1"/>
    <xf numFmtId="0" fontId="61" fillId="0" borderId="0" xfId="0" applyFont="1" applyAlignment="1"/>
  </cellXfs>
  <cellStyles count="104">
    <cellStyle name="Check Cell 2" xfId="99" xr:uid="{EBEE4165-5861-0049-8A0A-C16616145A52}"/>
    <cellStyle name="Comma" xfId="1" builtinId="3"/>
    <cellStyle name="Comma 2" xfId="98" xr:uid="{3CAB6049-7ADC-024B-AFEF-D79B6F7F9FA3}"/>
    <cellStyle name="Comma 3" xfId="102" xr:uid="{316E4A04-7856-2C4E-8733-0BD4E07C50EE}"/>
    <cellStyle name="Currency 2" xfId="103" xr:uid="{72CE6D6D-A9DE-704F-8857-7A04B3C5C7D8}"/>
    <cellStyle name="Followed Hyperlink" xfId="82" builtinId="9" hidden="1"/>
    <cellStyle name="Followed Hyperlink" xfId="27" builtinId="9" hidden="1"/>
    <cellStyle name="Followed Hyperlink" xfId="92" builtinId="9" hidden="1"/>
    <cellStyle name="Followed Hyperlink" xfId="21" builtinId="9" hidden="1"/>
    <cellStyle name="Followed Hyperlink" xfId="78" builtinId="9" hidden="1"/>
    <cellStyle name="Followed Hyperlink" xfId="5" builtinId="9" hidden="1"/>
    <cellStyle name="Followed Hyperlink" xfId="41" builtinId="9" hidden="1"/>
    <cellStyle name="Followed Hyperlink" xfId="35" builtinId="9" hidden="1"/>
    <cellStyle name="Followed Hyperlink" xfId="51" builtinId="9" hidden="1"/>
    <cellStyle name="Followed Hyperlink" xfId="39" builtinId="9" hidden="1"/>
    <cellStyle name="Followed Hyperlink" xfId="43" builtinId="9" hidden="1"/>
    <cellStyle name="Followed Hyperlink" xfId="23" builtinId="9" hidden="1"/>
    <cellStyle name="Followed Hyperlink" xfId="33" builtinId="9" hidden="1"/>
    <cellStyle name="Followed Hyperlink" xfId="70" builtinId="9" hidden="1"/>
    <cellStyle name="Followed Hyperlink" xfId="25" builtinId="9" hidden="1"/>
    <cellStyle name="Followed Hyperlink" xfId="60" builtinId="9" hidden="1"/>
    <cellStyle name="Followed Hyperlink" xfId="80" builtinId="9" hidden="1"/>
    <cellStyle name="Followed Hyperlink" xfId="45" builtinId="9" hidden="1"/>
    <cellStyle name="Followed Hyperlink" xfId="49" builtinId="9" hidden="1"/>
    <cellStyle name="Followed Hyperlink" xfId="53" builtinId="9" hidden="1"/>
    <cellStyle name="Followed Hyperlink" xfId="13" builtinId="9" hidden="1"/>
    <cellStyle name="Followed Hyperlink" xfId="56" builtinId="9" hidden="1"/>
    <cellStyle name="Followed Hyperlink" xfId="90" builtinId="9" hidden="1"/>
    <cellStyle name="Followed Hyperlink" xfId="17" builtinId="9" hidden="1"/>
    <cellStyle name="Followed Hyperlink" xfId="72" builtinId="9" hidden="1"/>
    <cellStyle name="Followed Hyperlink" xfId="58" builtinId="9" hidden="1"/>
    <cellStyle name="Followed Hyperlink" xfId="3" builtinId="9" hidden="1"/>
    <cellStyle name="Followed Hyperlink" xfId="19" builtinId="9" hidden="1"/>
    <cellStyle name="Followed Hyperlink" xfId="11" builtinId="9" hidden="1"/>
    <cellStyle name="Followed Hyperlink" xfId="37" builtinId="9" hidden="1"/>
    <cellStyle name="Followed Hyperlink" xfId="88" builtinId="9" hidden="1"/>
    <cellStyle name="Followed Hyperlink" xfId="74" builtinId="9" hidden="1"/>
    <cellStyle name="Followed Hyperlink" xfId="62" builtinId="9" hidden="1"/>
    <cellStyle name="Followed Hyperlink" xfId="7" builtinId="9" hidden="1"/>
    <cellStyle name="Followed Hyperlink" xfId="64" builtinId="9" hidden="1"/>
    <cellStyle name="Followed Hyperlink" xfId="76" builtinId="9" hidden="1"/>
    <cellStyle name="Followed Hyperlink" xfId="47" builtinId="9" hidden="1"/>
    <cellStyle name="Followed Hyperlink" xfId="15" builtinId="9" hidden="1"/>
    <cellStyle name="Followed Hyperlink" xfId="9" builtinId="9" hidden="1"/>
    <cellStyle name="Followed Hyperlink" xfId="29" builtinId="9" hidden="1"/>
    <cellStyle name="Followed Hyperlink" xfId="68" builtinId="9" hidden="1"/>
    <cellStyle name="Followed Hyperlink" xfId="66" builtinId="9" hidden="1"/>
    <cellStyle name="Followed Hyperlink" xfId="84" builtinId="9" hidden="1"/>
    <cellStyle name="Followed Hyperlink" xfId="94" builtinId="9" hidden="1"/>
    <cellStyle name="Followed Hyperlink" xfId="86" builtinId="9" hidden="1"/>
    <cellStyle name="Followed Hyperlink" xfId="31" builtinId="9" hidden="1"/>
    <cellStyle name="Hyperlink" xfId="48" builtinId="8" hidden="1"/>
    <cellStyle name="Hyperlink" xfId="18" builtinId="8" hidden="1"/>
    <cellStyle name="Hyperlink" xfId="30" builtinId="8" hidden="1"/>
    <cellStyle name="Hyperlink" xfId="40" builtinId="8" hidden="1"/>
    <cellStyle name="Hyperlink" xfId="46" builtinId="8" hidden="1"/>
    <cellStyle name="Hyperlink" xfId="10" builtinId="8" hidden="1"/>
    <cellStyle name="Hyperlink" xfId="20" builtinId="8" hidden="1"/>
    <cellStyle name="Hyperlink" xfId="6" builtinId="8" hidden="1"/>
    <cellStyle name="Hyperlink" xfId="36" builtinId="8" hidden="1"/>
    <cellStyle name="Hyperlink" xfId="93" builtinId="8" hidden="1"/>
    <cellStyle name="Hyperlink" xfId="83" builtinId="8" hidden="1"/>
    <cellStyle name="Hyperlink" xfId="81" builtinId="8" hidden="1"/>
    <cellStyle name="Hyperlink" xfId="61" builtinId="8" hidden="1"/>
    <cellStyle name="Hyperlink" xfId="32" builtinId="8" hidden="1"/>
    <cellStyle name="Hyperlink" xfId="63" builtinId="8" hidden="1"/>
    <cellStyle name="Hyperlink" xfId="85" builtinId="8" hidden="1"/>
    <cellStyle name="Hyperlink" xfId="50" builtinId="8" hidden="1"/>
    <cellStyle name="Hyperlink" xfId="34" builtinId="8" hidden="1"/>
    <cellStyle name="Hyperlink" xfId="16" builtinId="8" hidden="1"/>
    <cellStyle name="Hyperlink" xfId="91" builtinId="8" hidden="1"/>
    <cellStyle name="Hyperlink" xfId="26" builtinId="8" hidden="1"/>
    <cellStyle name="Hyperlink" xfId="8" builtinId="8" hidden="1"/>
    <cellStyle name="Hyperlink" xfId="87" builtinId="8" hidden="1"/>
    <cellStyle name="Hyperlink" xfId="55" builtinId="8" hidden="1"/>
    <cellStyle name="Hyperlink" xfId="65" builtinId="8" hidden="1"/>
    <cellStyle name="Hyperlink" xfId="14" builtinId="8" hidden="1"/>
    <cellStyle name="Hyperlink" xfId="12" builtinId="8" hidden="1"/>
    <cellStyle name="Hyperlink" xfId="73" builtinId="8" hidden="1"/>
    <cellStyle name="Hyperlink" xfId="75" builtinId="8" hidden="1"/>
    <cellStyle name="Hyperlink" xfId="77" builtinId="8" hidden="1"/>
    <cellStyle name="Hyperlink" xfId="4" builtinId="8" hidden="1"/>
    <cellStyle name="Hyperlink" xfId="57" builtinId="8" hidden="1"/>
    <cellStyle name="Hyperlink" xfId="89" builtinId="8" hidden="1"/>
    <cellStyle name="Hyperlink" xfId="71" builtinId="8" hidden="1"/>
    <cellStyle name="Hyperlink" xfId="42" builtinId="8" hidden="1"/>
    <cellStyle name="Hyperlink" xfId="28" builtinId="8" hidden="1"/>
    <cellStyle name="Hyperlink" xfId="24" builtinId="8" hidden="1"/>
    <cellStyle name="Hyperlink" xfId="2" builtinId="8" hidden="1"/>
    <cellStyle name="Hyperlink" xfId="69" builtinId="8" hidden="1"/>
    <cellStyle name="Hyperlink" xfId="44" builtinId="8" hidden="1"/>
    <cellStyle name="Hyperlink" xfId="79" builtinId="8" hidden="1"/>
    <cellStyle name="Hyperlink" xfId="59" builtinId="8" hidden="1"/>
    <cellStyle name="Hyperlink" xfId="22" builtinId="8" hidden="1"/>
    <cellStyle name="Hyperlink" xfId="52" builtinId="8" hidden="1"/>
    <cellStyle name="Hyperlink" xfId="67" builtinId="8" hidden="1"/>
    <cellStyle name="Hyperlink" xfId="38" builtinId="8" hidden="1"/>
    <cellStyle name="Normal" xfId="0" builtinId="0"/>
    <cellStyle name="Normal 2" xfId="96" xr:uid="{17961FC6-E226-F54D-8546-669ADCB2CD1F}"/>
    <cellStyle name="Normal 2 2" xfId="97" xr:uid="{18BD4A2E-789A-CB45-BB1F-C63F95DAF511}"/>
    <cellStyle name="Normal 5" xfId="95" xr:uid="{9285BD1B-FAB1-A143-8DCC-5189FC8EB0EE}"/>
    <cellStyle name="Per cent 2" xfId="100" xr:uid="{FF4AA5C4-6F5B-EB48-A923-B66E18DF6A04}"/>
    <cellStyle name="Percent" xfId="54" builtinId="5"/>
    <cellStyle name="Percent 2" xfId="101" xr:uid="{F425895D-5BFC-2746-BC16-5FBCD6B38DD6}"/>
  </cellStyles>
  <dxfs count="0"/>
  <tableStyles count="0" defaultTableStyle="TableStyleMedium9" defaultPivotStyle="PivotStyleMedium4"/>
  <colors>
    <mruColors>
      <color rgb="FF0D3272"/>
      <color rgb="FF067FCB"/>
      <color rgb="FFDDDDDD"/>
      <color rgb="FF25252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'LER Example'!$C$15</c:f>
              <c:strCache>
                <c:ptCount val="1"/>
                <c:pt idx="0">
                  <c:v> Direct LER 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chemeClr val="tx1">
                  <a:alpha val="28000"/>
                </a:schemeClr>
              </a:solidFill>
            </a:ln>
            <a:effectLst/>
          </c:spPr>
          <c:invertIfNegative val="0"/>
          <c:cat>
            <c:strRef>
              <c:f>'LER Example'!$D$3:$G$3</c:f>
              <c:strCache>
                <c:ptCount val="4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</c:strCache>
            </c:strRef>
          </c:cat>
          <c:val>
            <c:numRef>
              <c:f>'LER Example'!$D$15:$G$15</c:f>
              <c:numCache>
                <c:formatCode>_(* #,##0.00_);_(* \(#,##0.00\);_(* "-"??_);_(@_)</c:formatCode>
                <c:ptCount val="4"/>
                <c:pt idx="0">
                  <c:v>2.3553111009007663</c:v>
                </c:pt>
                <c:pt idx="1">
                  <c:v>2.4253619777509647</c:v>
                </c:pt>
                <c:pt idx="2">
                  <c:v>2.7633974790186508</c:v>
                </c:pt>
                <c:pt idx="3">
                  <c:v>2.6426652708181164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A2-F94C-B862-97DC1D8D9BBF}"/>
            </c:ext>
          </c:extLst>
        </c:ser>
        <c:ser>
          <c:idx val="1"/>
          <c:order val="1"/>
          <c:tx>
            <c:strRef>
              <c:f>'LER Example'!$C$25</c:f>
              <c:strCache>
                <c:ptCount val="1"/>
                <c:pt idx="0">
                  <c:v> Management LER </c:v>
                </c:pt>
              </c:strCache>
            </c:strRef>
          </c:tx>
          <c:spPr>
            <a:solidFill>
              <a:srgbClr val="FFF469"/>
            </a:solidFill>
            <a:ln>
              <a:solidFill>
                <a:schemeClr val="tx1">
                  <a:alpha val="22000"/>
                </a:schemeClr>
              </a:solidFill>
            </a:ln>
            <a:effectLst/>
          </c:spPr>
          <c:invertIfNegative val="0"/>
          <c:val>
            <c:numRef>
              <c:f>'LER Example'!$D$25:$G$25</c:f>
              <c:numCache>
                <c:formatCode>_(* #,##0.00_);_(* \(#,##0.00\);_(* "-"??_);_(@_)</c:formatCode>
                <c:ptCount val="4"/>
                <c:pt idx="0">
                  <c:v>3.8869072243928597</c:v>
                </c:pt>
                <c:pt idx="1">
                  <c:v>3.6401288443793542</c:v>
                </c:pt>
                <c:pt idx="2">
                  <c:v>5.0651653347090946</c:v>
                </c:pt>
                <c:pt idx="3">
                  <c:v>4.049055417945211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A2-F94C-B862-97DC1D8D9B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855240264"/>
        <c:axId val="855237968"/>
      </c:barChart>
      <c:lineChart>
        <c:grouping val="standard"/>
        <c:varyColors val="0"/>
        <c:ser>
          <c:idx val="2"/>
          <c:order val="2"/>
          <c:tx>
            <c:strRef>
              <c:f>'LER Example'!$C$15</c:f>
              <c:strCache>
                <c:ptCount val="1"/>
                <c:pt idx="0">
                  <c:v> Direct LER </c:v>
                </c:pt>
              </c:strCache>
            </c:strRef>
          </c:tx>
          <c:spPr>
            <a:ln w="31750" cap="rnd">
              <a:solidFill>
                <a:schemeClr val="bg1">
                  <a:lumMod val="65000"/>
                  <a:alpha val="57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'LER Example'!$D$15:$G$15</c:f>
              <c:numCache>
                <c:formatCode>_(* #,##0.00_);_(* \(#,##0.00\);_(* "-"??_);_(@_)</c:formatCode>
                <c:ptCount val="4"/>
                <c:pt idx="0">
                  <c:v>2.3553111009007663</c:v>
                </c:pt>
                <c:pt idx="1">
                  <c:v>2.4253619777509647</c:v>
                </c:pt>
                <c:pt idx="2">
                  <c:v>2.7633974790186508</c:v>
                </c:pt>
                <c:pt idx="3">
                  <c:v>2.6426652708181164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6A2-F94C-B862-97DC1D8D9BBF}"/>
            </c:ext>
          </c:extLst>
        </c:ser>
        <c:ser>
          <c:idx val="3"/>
          <c:order val="3"/>
          <c:tx>
            <c:strRef>
              <c:f>'LER Example'!$C$25</c:f>
              <c:strCache>
                <c:ptCount val="1"/>
                <c:pt idx="0">
                  <c:v> Management LER </c:v>
                </c:pt>
              </c:strCache>
            </c:strRef>
          </c:tx>
          <c:spPr>
            <a:ln w="31750" cap="rnd">
              <a:solidFill>
                <a:srgbClr val="FFC000">
                  <a:alpha val="52000"/>
                </a:srgbClr>
              </a:solidFill>
              <a:prstDash val="sysDash"/>
              <a:round/>
              <a:tailEnd type="stealth"/>
            </a:ln>
            <a:effectLst/>
          </c:spPr>
          <c:marker>
            <c:symbol val="none"/>
          </c:marker>
          <c:val>
            <c:numRef>
              <c:f>'LER Example'!$D$25:$G$25</c:f>
              <c:numCache>
                <c:formatCode>_(* #,##0.00_);_(* \(#,##0.00\);_(* "-"??_);_(@_)</c:formatCode>
                <c:ptCount val="4"/>
                <c:pt idx="0">
                  <c:v>3.8869072243928597</c:v>
                </c:pt>
                <c:pt idx="1">
                  <c:v>3.6401288443793542</c:v>
                </c:pt>
                <c:pt idx="2">
                  <c:v>5.0651653347090946</c:v>
                </c:pt>
                <c:pt idx="3">
                  <c:v>4.049055417945211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C6A2-F94C-B862-97DC1D8D9B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5240264"/>
        <c:axId val="855237968"/>
      </c:lineChart>
      <c:lineChart>
        <c:grouping val="standard"/>
        <c:varyColors val="0"/>
        <c:ser>
          <c:idx val="4"/>
          <c:order val="4"/>
          <c:tx>
            <c:v>Revenue Growth</c:v>
          </c:tx>
          <c:spPr>
            <a:ln w="317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'LER Example'!$D$5:$G$5</c:f>
              <c:numCache>
                <c:formatCode>_(* #,##0_);_(* \(#,##0\);_(* "-"??_);_(@_)</c:formatCode>
                <c:ptCount val="4"/>
                <c:pt idx="0">
                  <c:v>1401652</c:v>
                </c:pt>
                <c:pt idx="1">
                  <c:v>1571437</c:v>
                </c:pt>
                <c:pt idx="2">
                  <c:v>1752325</c:v>
                </c:pt>
                <c:pt idx="3">
                  <c:v>1925466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6A2-F94C-B862-97DC1D8D9B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5079312"/>
        <c:axId val="805077016"/>
      </c:lineChart>
      <c:catAx>
        <c:axId val="855240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5237968"/>
        <c:crosses val="autoZero"/>
        <c:auto val="1"/>
        <c:lblAlgn val="ctr"/>
        <c:lblOffset val="100"/>
        <c:noMultiLvlLbl val="0"/>
      </c:catAx>
      <c:valAx>
        <c:axId val="855237968"/>
        <c:scaling>
          <c:orientation val="minMax"/>
        </c:scaling>
        <c:delete val="0"/>
        <c:axPos val="l"/>
        <c:numFmt formatCode="_(* #,##0.00_);_(* \(#,##0.00\);_(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5240264"/>
        <c:crosses val="autoZero"/>
        <c:crossBetween val="between"/>
      </c:valAx>
      <c:valAx>
        <c:axId val="805077016"/>
        <c:scaling>
          <c:orientation val="minMax"/>
        </c:scaling>
        <c:delete val="0"/>
        <c:axPos val="r"/>
        <c:numFmt formatCode="_(* #,##0_);_(* \(#,##0\);_(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5079312"/>
        <c:crosses val="max"/>
        <c:crossBetween val="between"/>
      </c:valAx>
      <c:catAx>
        <c:axId val="805079312"/>
        <c:scaling>
          <c:orientation val="minMax"/>
        </c:scaling>
        <c:delete val="1"/>
        <c:axPos val="b"/>
        <c:majorTickMark val="out"/>
        <c:minorTickMark val="none"/>
        <c:tickLblPos val="nextTo"/>
        <c:crossAx val="80507701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'LER Example'!$C$15</c:f>
              <c:strCache>
                <c:ptCount val="1"/>
                <c:pt idx="0">
                  <c:v> Direct LER 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chemeClr val="tx1">
                  <a:alpha val="28000"/>
                </a:schemeClr>
              </a:solidFill>
            </a:ln>
            <a:effectLst/>
          </c:spPr>
          <c:invertIfNegative val="0"/>
          <c:cat>
            <c:strRef>
              <c:f>'LER Example'!$D$3:$G$3</c:f>
              <c:strCache>
                <c:ptCount val="4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</c:strCache>
            </c:strRef>
          </c:cat>
          <c:val>
            <c:numRef>
              <c:f>'LER Example'!$D$15:$G$15</c:f>
              <c:numCache>
                <c:formatCode>_(* #,##0.00_);_(* \(#,##0.00\);_(* "-"??_);_(@_)</c:formatCode>
                <c:ptCount val="4"/>
                <c:pt idx="0">
                  <c:v>2.3553111009007663</c:v>
                </c:pt>
                <c:pt idx="1">
                  <c:v>2.4253619777509647</c:v>
                </c:pt>
                <c:pt idx="2">
                  <c:v>2.7633974790186508</c:v>
                </c:pt>
                <c:pt idx="3">
                  <c:v>2.6426652708181164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63-CF40-B033-FD19151110E4}"/>
            </c:ext>
          </c:extLst>
        </c:ser>
        <c:ser>
          <c:idx val="1"/>
          <c:order val="1"/>
          <c:tx>
            <c:strRef>
              <c:f>'LER Example'!$C$25</c:f>
              <c:strCache>
                <c:ptCount val="1"/>
                <c:pt idx="0">
                  <c:v> Management LER </c:v>
                </c:pt>
              </c:strCache>
            </c:strRef>
          </c:tx>
          <c:spPr>
            <a:solidFill>
              <a:srgbClr val="FFF469"/>
            </a:solidFill>
            <a:ln>
              <a:solidFill>
                <a:schemeClr val="tx1">
                  <a:alpha val="22000"/>
                </a:schemeClr>
              </a:solidFill>
            </a:ln>
            <a:effectLst/>
          </c:spPr>
          <c:invertIfNegative val="0"/>
          <c:val>
            <c:numRef>
              <c:f>'LER Example'!$D$25:$G$25</c:f>
              <c:numCache>
                <c:formatCode>_(* #,##0.00_);_(* \(#,##0.00\);_(* "-"??_);_(@_)</c:formatCode>
                <c:ptCount val="4"/>
                <c:pt idx="0">
                  <c:v>3.8869072243928597</c:v>
                </c:pt>
                <c:pt idx="1">
                  <c:v>3.6401288443793542</c:v>
                </c:pt>
                <c:pt idx="2">
                  <c:v>5.0651653347090946</c:v>
                </c:pt>
                <c:pt idx="3">
                  <c:v>4.049055417945211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163-CF40-B033-FD19151110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855240264"/>
        <c:axId val="855237968"/>
      </c:barChart>
      <c:lineChart>
        <c:grouping val="standard"/>
        <c:varyColors val="0"/>
        <c:ser>
          <c:idx val="2"/>
          <c:order val="2"/>
          <c:tx>
            <c:strRef>
              <c:f>'LER Example'!$C$15</c:f>
              <c:strCache>
                <c:ptCount val="1"/>
                <c:pt idx="0">
                  <c:v> Direct LER </c:v>
                </c:pt>
              </c:strCache>
            </c:strRef>
          </c:tx>
          <c:spPr>
            <a:ln w="31750" cap="rnd">
              <a:solidFill>
                <a:schemeClr val="bg1">
                  <a:lumMod val="65000"/>
                  <a:alpha val="57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'LER Example'!$D$15:$G$15</c:f>
              <c:numCache>
                <c:formatCode>_(* #,##0.00_);_(* \(#,##0.00\);_(* "-"??_);_(@_)</c:formatCode>
                <c:ptCount val="4"/>
                <c:pt idx="0">
                  <c:v>2.3553111009007663</c:v>
                </c:pt>
                <c:pt idx="1">
                  <c:v>2.4253619777509647</c:v>
                </c:pt>
                <c:pt idx="2">
                  <c:v>2.7633974790186508</c:v>
                </c:pt>
                <c:pt idx="3">
                  <c:v>2.6426652708181164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163-CF40-B033-FD19151110E4}"/>
            </c:ext>
          </c:extLst>
        </c:ser>
        <c:ser>
          <c:idx val="3"/>
          <c:order val="3"/>
          <c:tx>
            <c:strRef>
              <c:f>'LER Example'!$C$25</c:f>
              <c:strCache>
                <c:ptCount val="1"/>
                <c:pt idx="0">
                  <c:v> Management LER </c:v>
                </c:pt>
              </c:strCache>
            </c:strRef>
          </c:tx>
          <c:spPr>
            <a:ln w="31750" cap="rnd">
              <a:solidFill>
                <a:srgbClr val="FFC000">
                  <a:alpha val="52000"/>
                </a:srgbClr>
              </a:solidFill>
              <a:prstDash val="sysDash"/>
              <a:round/>
              <a:tailEnd type="stealth"/>
            </a:ln>
            <a:effectLst/>
          </c:spPr>
          <c:marker>
            <c:symbol val="none"/>
          </c:marker>
          <c:val>
            <c:numRef>
              <c:f>'LER Example'!$D$25:$G$25</c:f>
              <c:numCache>
                <c:formatCode>_(* #,##0.00_);_(* \(#,##0.00\);_(* "-"??_);_(@_)</c:formatCode>
                <c:ptCount val="4"/>
                <c:pt idx="0">
                  <c:v>3.8869072243928597</c:v>
                </c:pt>
                <c:pt idx="1">
                  <c:v>3.6401288443793542</c:v>
                </c:pt>
                <c:pt idx="2">
                  <c:v>5.0651653347090946</c:v>
                </c:pt>
                <c:pt idx="3">
                  <c:v>4.049055417945211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4163-CF40-B033-FD19151110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5240264"/>
        <c:axId val="855237968"/>
      </c:lineChart>
      <c:lineChart>
        <c:grouping val="standard"/>
        <c:varyColors val="0"/>
        <c:ser>
          <c:idx val="4"/>
          <c:order val="4"/>
          <c:tx>
            <c:v>Revenue</c:v>
          </c:tx>
          <c:spPr>
            <a:ln w="317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'LER Example'!$D$5:$G$5</c:f>
              <c:numCache>
                <c:formatCode>_(* #,##0_);_(* \(#,##0\);_(* "-"??_);_(@_)</c:formatCode>
                <c:ptCount val="4"/>
                <c:pt idx="0">
                  <c:v>1401652</c:v>
                </c:pt>
                <c:pt idx="1">
                  <c:v>1571437</c:v>
                </c:pt>
                <c:pt idx="2">
                  <c:v>1752325</c:v>
                </c:pt>
                <c:pt idx="3">
                  <c:v>1925466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163-CF40-B033-FD19151110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5079312"/>
        <c:axId val="805077016"/>
      </c:lineChart>
      <c:catAx>
        <c:axId val="855240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5237968"/>
        <c:crosses val="autoZero"/>
        <c:auto val="1"/>
        <c:lblAlgn val="ctr"/>
        <c:lblOffset val="100"/>
        <c:noMultiLvlLbl val="0"/>
      </c:catAx>
      <c:valAx>
        <c:axId val="855237968"/>
        <c:scaling>
          <c:orientation val="minMax"/>
        </c:scaling>
        <c:delete val="0"/>
        <c:axPos val="l"/>
        <c:numFmt formatCode="_(* #,##0.00_);_(* \(#,##0.00\);_(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5240264"/>
        <c:crosses val="autoZero"/>
        <c:crossBetween val="between"/>
      </c:valAx>
      <c:valAx>
        <c:axId val="805077016"/>
        <c:scaling>
          <c:orientation val="minMax"/>
        </c:scaling>
        <c:delete val="0"/>
        <c:axPos val="r"/>
        <c:numFmt formatCode="_(* #,##0_);_(* \(#,##0\);_(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5079312"/>
        <c:crosses val="max"/>
        <c:crossBetween val="between"/>
      </c:valAx>
      <c:catAx>
        <c:axId val="805079312"/>
        <c:scaling>
          <c:orientation val="minMax"/>
        </c:scaling>
        <c:delete val="1"/>
        <c:axPos val="b"/>
        <c:majorTickMark val="out"/>
        <c:minorTickMark val="none"/>
        <c:tickLblPos val="nextTo"/>
        <c:crossAx val="80507701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LER!$C$15</c:f>
              <c:strCache>
                <c:ptCount val="1"/>
                <c:pt idx="0">
                  <c:v> Direct LER 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chemeClr val="tx1">
                  <a:alpha val="28000"/>
                </a:schemeClr>
              </a:solidFill>
            </a:ln>
            <a:effectLst/>
          </c:spPr>
          <c:invertIfNegative val="0"/>
          <c:cat>
            <c:numRef>
              <c:f>LER!$D$3:$G$3</c:f>
              <c:numCache>
                <c:formatCode>General</c:formatCode>
                <c:ptCount val="4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</c:numCache>
            </c:numRef>
          </c:cat>
          <c:val>
            <c:numRef>
              <c:f>LER!$D$15:$G$15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06E-C64D-BE9E-17F9AE3F6A8E}"/>
            </c:ext>
          </c:extLst>
        </c:ser>
        <c:ser>
          <c:idx val="1"/>
          <c:order val="1"/>
          <c:tx>
            <c:strRef>
              <c:f>LER!$C$25</c:f>
              <c:strCache>
                <c:ptCount val="1"/>
                <c:pt idx="0">
                  <c:v> Management LER </c:v>
                </c:pt>
              </c:strCache>
            </c:strRef>
          </c:tx>
          <c:spPr>
            <a:solidFill>
              <a:srgbClr val="FFF469"/>
            </a:solidFill>
            <a:ln>
              <a:solidFill>
                <a:schemeClr val="tx1">
                  <a:alpha val="22000"/>
                </a:schemeClr>
              </a:solidFill>
            </a:ln>
            <a:effectLst/>
          </c:spPr>
          <c:invertIfNegative val="0"/>
          <c:val>
            <c:numRef>
              <c:f>LER!$D$25:$G$25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6E-C64D-BE9E-17F9AE3F6A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855240264"/>
        <c:axId val="855237968"/>
      </c:barChart>
      <c:lineChart>
        <c:grouping val="standard"/>
        <c:varyColors val="0"/>
        <c:ser>
          <c:idx val="2"/>
          <c:order val="2"/>
          <c:tx>
            <c:strRef>
              <c:f>LER!$C$15</c:f>
              <c:strCache>
                <c:ptCount val="1"/>
                <c:pt idx="0">
                  <c:v> Direct LER </c:v>
                </c:pt>
              </c:strCache>
            </c:strRef>
          </c:tx>
          <c:spPr>
            <a:ln w="31750" cap="rnd">
              <a:solidFill>
                <a:schemeClr val="bg1">
                  <a:lumMod val="65000"/>
                  <a:alpha val="57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LER!$D$15:$G$15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06E-C64D-BE9E-17F9AE3F6A8E}"/>
            </c:ext>
          </c:extLst>
        </c:ser>
        <c:ser>
          <c:idx val="3"/>
          <c:order val="3"/>
          <c:tx>
            <c:strRef>
              <c:f>LER!$C$25</c:f>
              <c:strCache>
                <c:ptCount val="1"/>
                <c:pt idx="0">
                  <c:v> Management LER </c:v>
                </c:pt>
              </c:strCache>
            </c:strRef>
          </c:tx>
          <c:spPr>
            <a:ln w="31750" cap="rnd">
              <a:solidFill>
                <a:srgbClr val="FFC000">
                  <a:alpha val="52000"/>
                </a:srgbClr>
              </a:solidFill>
              <a:prstDash val="sysDash"/>
              <a:round/>
              <a:tailEnd type="stealth"/>
            </a:ln>
            <a:effectLst/>
          </c:spPr>
          <c:marker>
            <c:symbol val="none"/>
          </c:marker>
          <c:val>
            <c:numRef>
              <c:f>LER!$D$25:$G$25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A06E-C64D-BE9E-17F9AE3F6A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5240264"/>
        <c:axId val="855237968"/>
      </c:lineChart>
      <c:lineChart>
        <c:grouping val="standard"/>
        <c:varyColors val="0"/>
        <c:ser>
          <c:idx val="4"/>
          <c:order val="4"/>
          <c:tx>
            <c:v>Revenue Growth</c:v>
          </c:tx>
          <c:spPr>
            <a:ln w="317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LER!$D$5:$G$5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06E-C64D-BE9E-17F9AE3F6A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5079312"/>
        <c:axId val="805077016"/>
      </c:lineChart>
      <c:catAx>
        <c:axId val="855240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5237968"/>
        <c:crosses val="autoZero"/>
        <c:auto val="1"/>
        <c:lblAlgn val="ctr"/>
        <c:lblOffset val="100"/>
        <c:noMultiLvlLbl val="0"/>
      </c:catAx>
      <c:valAx>
        <c:axId val="85523796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5240264"/>
        <c:crosses val="autoZero"/>
        <c:crossBetween val="between"/>
      </c:valAx>
      <c:valAx>
        <c:axId val="80507701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5079312"/>
        <c:crosses val="max"/>
        <c:crossBetween val="between"/>
      </c:valAx>
      <c:catAx>
        <c:axId val="805079312"/>
        <c:scaling>
          <c:orientation val="minMax"/>
        </c:scaling>
        <c:delete val="1"/>
        <c:axPos val="b"/>
        <c:majorTickMark val="out"/>
        <c:minorTickMark val="none"/>
        <c:tickLblPos val="nextTo"/>
        <c:crossAx val="80507701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LER!$C$15</c:f>
              <c:strCache>
                <c:ptCount val="1"/>
                <c:pt idx="0">
                  <c:v> Direct LER 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chemeClr val="tx1">
                  <a:alpha val="28000"/>
                </a:schemeClr>
              </a:solidFill>
            </a:ln>
            <a:effectLst/>
          </c:spPr>
          <c:invertIfNegative val="0"/>
          <c:cat>
            <c:numRef>
              <c:f>LER!$D$3:$G$3</c:f>
              <c:numCache>
                <c:formatCode>General</c:formatCode>
                <c:ptCount val="4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</c:numCache>
            </c:numRef>
          </c:cat>
          <c:val>
            <c:numRef>
              <c:f>LER!$D$15:$G$15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F7-784E-8AFA-A51E8858DD4A}"/>
            </c:ext>
          </c:extLst>
        </c:ser>
        <c:ser>
          <c:idx val="1"/>
          <c:order val="1"/>
          <c:tx>
            <c:strRef>
              <c:f>LER!$C$25</c:f>
              <c:strCache>
                <c:ptCount val="1"/>
                <c:pt idx="0">
                  <c:v> Management LER </c:v>
                </c:pt>
              </c:strCache>
            </c:strRef>
          </c:tx>
          <c:spPr>
            <a:solidFill>
              <a:srgbClr val="FFF469"/>
            </a:solidFill>
            <a:ln>
              <a:solidFill>
                <a:schemeClr val="tx1">
                  <a:alpha val="22000"/>
                </a:schemeClr>
              </a:solidFill>
            </a:ln>
            <a:effectLst/>
          </c:spPr>
          <c:invertIfNegative val="0"/>
          <c:val>
            <c:numRef>
              <c:f>LER!$D$25:$G$25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F7-784E-8AFA-A51E8858DD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855240264"/>
        <c:axId val="855237968"/>
      </c:barChart>
      <c:lineChart>
        <c:grouping val="standard"/>
        <c:varyColors val="0"/>
        <c:ser>
          <c:idx val="2"/>
          <c:order val="2"/>
          <c:tx>
            <c:strRef>
              <c:f>LER!$C$15</c:f>
              <c:strCache>
                <c:ptCount val="1"/>
                <c:pt idx="0">
                  <c:v> Direct LER </c:v>
                </c:pt>
              </c:strCache>
            </c:strRef>
          </c:tx>
          <c:spPr>
            <a:ln w="31750" cap="rnd">
              <a:solidFill>
                <a:schemeClr val="bg1">
                  <a:lumMod val="65000"/>
                  <a:alpha val="57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LER!$D$15:$G$15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8F7-784E-8AFA-A51E8858DD4A}"/>
            </c:ext>
          </c:extLst>
        </c:ser>
        <c:ser>
          <c:idx val="3"/>
          <c:order val="3"/>
          <c:tx>
            <c:strRef>
              <c:f>LER!$C$25</c:f>
              <c:strCache>
                <c:ptCount val="1"/>
                <c:pt idx="0">
                  <c:v> Management LER </c:v>
                </c:pt>
              </c:strCache>
            </c:strRef>
          </c:tx>
          <c:spPr>
            <a:ln w="31750" cap="rnd">
              <a:solidFill>
                <a:srgbClr val="FFC000">
                  <a:alpha val="52000"/>
                </a:srgbClr>
              </a:solidFill>
              <a:prstDash val="sysDash"/>
              <a:round/>
              <a:tailEnd type="stealth"/>
            </a:ln>
            <a:effectLst/>
          </c:spPr>
          <c:marker>
            <c:symbol val="none"/>
          </c:marker>
          <c:val>
            <c:numRef>
              <c:f>LER!$D$25:$G$25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88F7-784E-8AFA-A51E8858DD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5240264"/>
        <c:axId val="855237968"/>
      </c:lineChart>
      <c:lineChart>
        <c:grouping val="standard"/>
        <c:varyColors val="0"/>
        <c:ser>
          <c:idx val="4"/>
          <c:order val="4"/>
          <c:tx>
            <c:v>Revenue</c:v>
          </c:tx>
          <c:spPr>
            <a:ln w="317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LER!$D$5:$G$5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8F7-784E-8AFA-A51E8858DD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5079312"/>
        <c:axId val="805077016"/>
      </c:lineChart>
      <c:catAx>
        <c:axId val="855240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5237968"/>
        <c:crosses val="autoZero"/>
        <c:auto val="1"/>
        <c:lblAlgn val="ctr"/>
        <c:lblOffset val="100"/>
        <c:noMultiLvlLbl val="0"/>
      </c:catAx>
      <c:valAx>
        <c:axId val="85523796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5240264"/>
        <c:crosses val="autoZero"/>
        <c:crossBetween val="between"/>
      </c:valAx>
      <c:valAx>
        <c:axId val="80507701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5079312"/>
        <c:crosses val="max"/>
        <c:crossBetween val="between"/>
      </c:valAx>
      <c:catAx>
        <c:axId val="805079312"/>
        <c:scaling>
          <c:orientation val="minMax"/>
        </c:scaling>
        <c:delete val="1"/>
        <c:axPos val="b"/>
        <c:majorTickMark val="out"/>
        <c:minorTickMark val="none"/>
        <c:tickLblPos val="nextTo"/>
        <c:crossAx val="80507701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162658</xdr:colOff>
      <xdr:row>0</xdr:row>
      <xdr:rowOff>119669</xdr:rowOff>
    </xdr:from>
    <xdr:to>
      <xdr:col>0</xdr:col>
      <xdr:colOff>421196</xdr:colOff>
      <xdr:row>0</xdr:row>
      <xdr:rowOff>416561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658" y="119669"/>
          <a:ext cx="258538" cy="29689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162658</xdr:colOff>
      <xdr:row>0</xdr:row>
      <xdr:rowOff>119669</xdr:rowOff>
    </xdr:from>
    <xdr:to>
      <xdr:col>0</xdr:col>
      <xdr:colOff>421196</xdr:colOff>
      <xdr:row>0</xdr:row>
      <xdr:rowOff>416561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658" y="119669"/>
          <a:ext cx="258538" cy="29689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800100</xdr:colOff>
          <xdr:row>3</xdr:row>
          <xdr:rowOff>50800</xdr:rowOff>
        </xdr:from>
        <xdr:to>
          <xdr:col>7</xdr:col>
          <xdr:colOff>279400</xdr:colOff>
          <xdr:row>4</xdr:row>
          <xdr:rowOff>114300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Reset data input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175358</xdr:colOff>
      <xdr:row>0</xdr:row>
      <xdr:rowOff>157217</xdr:rowOff>
    </xdr:from>
    <xdr:to>
      <xdr:col>0</xdr:col>
      <xdr:colOff>433896</xdr:colOff>
      <xdr:row>0</xdr:row>
      <xdr:rowOff>454109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918A016-21C2-5140-89F3-2C30E4FE89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5358" y="157217"/>
          <a:ext cx="258538" cy="29689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175358</xdr:colOff>
      <xdr:row>1</xdr:row>
      <xdr:rowOff>68869</xdr:rowOff>
    </xdr:from>
    <xdr:to>
      <xdr:col>0</xdr:col>
      <xdr:colOff>433896</xdr:colOff>
      <xdr:row>1</xdr:row>
      <xdr:rowOff>365761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5358" y="183169"/>
          <a:ext cx="258538" cy="29689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1765300</xdr:colOff>
          <xdr:row>11</xdr:row>
          <xdr:rowOff>152400</xdr:rowOff>
        </xdr:from>
        <xdr:to>
          <xdr:col>6</xdr:col>
          <xdr:colOff>0</xdr:colOff>
          <xdr:row>13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142240</xdr:colOff>
      <xdr:row>0</xdr:row>
      <xdr:rowOff>91440</xdr:rowOff>
    </xdr:from>
    <xdr:to>
      <xdr:col>0</xdr:col>
      <xdr:colOff>400778</xdr:colOff>
      <xdr:row>0</xdr:row>
      <xdr:rowOff>388332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917DE647-E29C-374B-B731-BA2A0B2613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240" y="274320"/>
          <a:ext cx="258538" cy="296892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162658</xdr:colOff>
      <xdr:row>0</xdr:row>
      <xdr:rowOff>119669</xdr:rowOff>
    </xdr:from>
    <xdr:to>
      <xdr:col>0</xdr:col>
      <xdr:colOff>421196</xdr:colOff>
      <xdr:row>0</xdr:row>
      <xdr:rowOff>416561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658" y="119669"/>
          <a:ext cx="258538" cy="296892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297657</xdr:colOff>
      <xdr:row>37</xdr:row>
      <xdr:rowOff>65483</xdr:rowOff>
    </xdr:from>
    <xdr:to>
      <xdr:col>6</xdr:col>
      <xdr:colOff>762000</xdr:colOff>
      <xdr:row>45</xdr:row>
      <xdr:rowOff>178594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83DBF3E-A792-CE41-A28B-47004913C0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53817</xdr:colOff>
      <xdr:row>38</xdr:row>
      <xdr:rowOff>4523</xdr:rowOff>
    </xdr:from>
    <xdr:to>
      <xdr:col>6</xdr:col>
      <xdr:colOff>863600</xdr:colOff>
      <xdr:row>45</xdr:row>
      <xdr:rowOff>178594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59AB77-B2B4-3148-9BAF-63879E02A2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47625</xdr:colOff>
      <xdr:row>4</xdr:row>
      <xdr:rowOff>47624</xdr:rowOff>
    </xdr:from>
    <xdr:to>
      <xdr:col>7</xdr:col>
      <xdr:colOff>281655</xdr:colOff>
      <xdr:row>14</xdr:row>
      <xdr:rowOff>94829</xdr:rowOff>
    </xdr:to>
    <xdr:sp macro="" textlink="">
      <xdr:nvSpPr>
        <xdr:cNvPr id="4" name="Right Brace 3">
          <a:extLst>
            <a:ext uri="{FF2B5EF4-FFF2-40B4-BE49-F238E27FC236}">
              <a16:creationId xmlns:a16="http://schemas.microsoft.com/office/drawing/2014/main" id="{3529A416-0CD3-104E-9CEF-68150F46D802}"/>
            </a:ext>
          </a:extLst>
        </xdr:cNvPr>
        <xdr:cNvSpPr/>
      </xdr:nvSpPr>
      <xdr:spPr>
        <a:xfrm>
          <a:off x="7858125" y="987424"/>
          <a:ext cx="234030" cy="1583905"/>
        </a:xfrm>
        <a:prstGeom prst="rightBrac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7</xdr:col>
      <xdr:colOff>590923</xdr:colOff>
      <xdr:row>7</xdr:row>
      <xdr:rowOff>31376</xdr:rowOff>
    </xdr:from>
    <xdr:to>
      <xdr:col>11</xdr:col>
      <xdr:colOff>244101</xdr:colOff>
      <xdr:row>12</xdr:row>
      <xdr:rowOff>5135</xdr:rowOff>
    </xdr:to>
    <xdr:sp macro="" textlink="">
      <xdr:nvSpPr>
        <xdr:cNvPr id="5" name="Left Arrow 2">
          <a:extLst>
            <a:ext uri="{FF2B5EF4-FFF2-40B4-BE49-F238E27FC236}">
              <a16:creationId xmlns:a16="http://schemas.microsoft.com/office/drawing/2014/main" id="{24F02CF5-58AC-5E44-BF7D-5EAA362F7789}"/>
            </a:ext>
          </a:extLst>
        </xdr:cNvPr>
        <xdr:cNvSpPr/>
      </xdr:nvSpPr>
      <xdr:spPr>
        <a:xfrm>
          <a:off x="8401423" y="1453776"/>
          <a:ext cx="2370978" cy="748459"/>
        </a:xfrm>
        <a:prstGeom prst="leftArrow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/>
            <a:t>Business Engine</a:t>
          </a:r>
        </a:p>
      </xdr:txBody>
    </xdr:sp>
    <xdr:clientData/>
  </xdr:twoCellAnchor>
  <xdr:twoCellAnchor>
    <xdr:from>
      <xdr:col>7</xdr:col>
      <xdr:colOff>562348</xdr:colOff>
      <xdr:row>17</xdr:row>
      <xdr:rowOff>35494</xdr:rowOff>
    </xdr:from>
    <xdr:to>
      <xdr:col>11</xdr:col>
      <xdr:colOff>215526</xdr:colOff>
      <xdr:row>22</xdr:row>
      <xdr:rowOff>6479</xdr:rowOff>
    </xdr:to>
    <xdr:sp macro="" textlink="">
      <xdr:nvSpPr>
        <xdr:cNvPr id="6" name="Left Arrow 3">
          <a:extLst>
            <a:ext uri="{FF2B5EF4-FFF2-40B4-BE49-F238E27FC236}">
              <a16:creationId xmlns:a16="http://schemas.microsoft.com/office/drawing/2014/main" id="{35786036-CB16-4247-8336-AB669DE9BBE8}"/>
            </a:ext>
          </a:extLst>
        </xdr:cNvPr>
        <xdr:cNvSpPr/>
      </xdr:nvSpPr>
      <xdr:spPr>
        <a:xfrm>
          <a:off x="8372848" y="2994594"/>
          <a:ext cx="2370978" cy="948885"/>
        </a:xfrm>
        <a:prstGeom prst="leftArrow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/>
            <a:t>Business Chasis</a:t>
          </a:r>
        </a:p>
      </xdr:txBody>
    </xdr:sp>
    <xdr:clientData/>
  </xdr:twoCellAnchor>
  <xdr:twoCellAnchor>
    <xdr:from>
      <xdr:col>7</xdr:col>
      <xdr:colOff>79375</xdr:colOff>
      <xdr:row>17</xdr:row>
      <xdr:rowOff>8824</xdr:rowOff>
    </xdr:from>
    <xdr:to>
      <xdr:col>7</xdr:col>
      <xdr:colOff>297223</xdr:colOff>
      <xdr:row>21</xdr:row>
      <xdr:rowOff>161823</xdr:rowOff>
    </xdr:to>
    <xdr:sp macro="" textlink="">
      <xdr:nvSpPr>
        <xdr:cNvPr id="7" name="Right Brace 6">
          <a:extLst>
            <a:ext uri="{FF2B5EF4-FFF2-40B4-BE49-F238E27FC236}">
              <a16:creationId xmlns:a16="http://schemas.microsoft.com/office/drawing/2014/main" id="{4CBAEFCC-64F0-AC47-853A-EFA6B9F58188}"/>
            </a:ext>
          </a:extLst>
        </xdr:cNvPr>
        <xdr:cNvSpPr/>
      </xdr:nvSpPr>
      <xdr:spPr>
        <a:xfrm>
          <a:off x="7889875" y="2967924"/>
          <a:ext cx="217848" cy="914999"/>
        </a:xfrm>
        <a:prstGeom prst="rightBrac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297657</xdr:colOff>
      <xdr:row>37</xdr:row>
      <xdr:rowOff>65483</xdr:rowOff>
    </xdr:from>
    <xdr:to>
      <xdr:col>6</xdr:col>
      <xdr:colOff>762000</xdr:colOff>
      <xdr:row>45</xdr:row>
      <xdr:rowOff>178594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44A26CF-5FC6-F149-8F79-817B75DD4A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5557</xdr:colOff>
      <xdr:row>38</xdr:row>
      <xdr:rowOff>1983</xdr:rowOff>
    </xdr:from>
    <xdr:to>
      <xdr:col>6</xdr:col>
      <xdr:colOff>812800</xdr:colOff>
      <xdr:row>45</xdr:row>
      <xdr:rowOff>178594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7E6289B-8202-8B4D-90E7-5E78655BED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47625</xdr:colOff>
      <xdr:row>4</xdr:row>
      <xdr:rowOff>47624</xdr:rowOff>
    </xdr:from>
    <xdr:to>
      <xdr:col>7</xdr:col>
      <xdr:colOff>281655</xdr:colOff>
      <xdr:row>14</xdr:row>
      <xdr:rowOff>94829</xdr:rowOff>
    </xdr:to>
    <xdr:sp macro="" textlink="">
      <xdr:nvSpPr>
        <xdr:cNvPr id="4" name="Right Brace 3">
          <a:extLst>
            <a:ext uri="{FF2B5EF4-FFF2-40B4-BE49-F238E27FC236}">
              <a16:creationId xmlns:a16="http://schemas.microsoft.com/office/drawing/2014/main" id="{12AB8961-84B4-A64A-B740-AC9BFD6C1160}"/>
            </a:ext>
          </a:extLst>
        </xdr:cNvPr>
        <xdr:cNvSpPr/>
      </xdr:nvSpPr>
      <xdr:spPr>
        <a:xfrm>
          <a:off x="8975725" y="987424"/>
          <a:ext cx="234030" cy="1583905"/>
        </a:xfrm>
        <a:prstGeom prst="rightBrac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7</xdr:col>
      <xdr:colOff>590923</xdr:colOff>
      <xdr:row>7</xdr:row>
      <xdr:rowOff>31376</xdr:rowOff>
    </xdr:from>
    <xdr:to>
      <xdr:col>11</xdr:col>
      <xdr:colOff>244101</xdr:colOff>
      <xdr:row>12</xdr:row>
      <xdr:rowOff>5135</xdr:rowOff>
    </xdr:to>
    <xdr:sp macro="" textlink="">
      <xdr:nvSpPr>
        <xdr:cNvPr id="5" name="Left Arrow 2">
          <a:extLst>
            <a:ext uri="{FF2B5EF4-FFF2-40B4-BE49-F238E27FC236}">
              <a16:creationId xmlns:a16="http://schemas.microsoft.com/office/drawing/2014/main" id="{71AE824E-474A-8041-A6C4-8975DE4F1888}"/>
            </a:ext>
          </a:extLst>
        </xdr:cNvPr>
        <xdr:cNvSpPr/>
      </xdr:nvSpPr>
      <xdr:spPr>
        <a:xfrm>
          <a:off x="9519023" y="1453776"/>
          <a:ext cx="2370978" cy="748459"/>
        </a:xfrm>
        <a:prstGeom prst="leftArrow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/>
            <a:t>Business Engine</a:t>
          </a:r>
        </a:p>
      </xdr:txBody>
    </xdr:sp>
    <xdr:clientData/>
  </xdr:twoCellAnchor>
  <xdr:twoCellAnchor>
    <xdr:from>
      <xdr:col>7</xdr:col>
      <xdr:colOff>562348</xdr:colOff>
      <xdr:row>17</xdr:row>
      <xdr:rowOff>35494</xdr:rowOff>
    </xdr:from>
    <xdr:to>
      <xdr:col>11</xdr:col>
      <xdr:colOff>215526</xdr:colOff>
      <xdr:row>22</xdr:row>
      <xdr:rowOff>6479</xdr:rowOff>
    </xdr:to>
    <xdr:sp macro="" textlink="">
      <xdr:nvSpPr>
        <xdr:cNvPr id="6" name="Left Arrow 3">
          <a:extLst>
            <a:ext uri="{FF2B5EF4-FFF2-40B4-BE49-F238E27FC236}">
              <a16:creationId xmlns:a16="http://schemas.microsoft.com/office/drawing/2014/main" id="{D8CF8A04-1E1B-FF41-978F-17A89D946B3D}"/>
            </a:ext>
          </a:extLst>
        </xdr:cNvPr>
        <xdr:cNvSpPr/>
      </xdr:nvSpPr>
      <xdr:spPr>
        <a:xfrm>
          <a:off x="9490448" y="2994594"/>
          <a:ext cx="2370978" cy="948885"/>
        </a:xfrm>
        <a:prstGeom prst="leftArrow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/>
            <a:t>Business Chasis</a:t>
          </a:r>
        </a:p>
      </xdr:txBody>
    </xdr:sp>
    <xdr:clientData/>
  </xdr:twoCellAnchor>
  <xdr:twoCellAnchor>
    <xdr:from>
      <xdr:col>7</xdr:col>
      <xdr:colOff>79375</xdr:colOff>
      <xdr:row>17</xdr:row>
      <xdr:rowOff>8824</xdr:rowOff>
    </xdr:from>
    <xdr:to>
      <xdr:col>7</xdr:col>
      <xdr:colOff>297223</xdr:colOff>
      <xdr:row>21</xdr:row>
      <xdr:rowOff>161823</xdr:rowOff>
    </xdr:to>
    <xdr:sp macro="" textlink="">
      <xdr:nvSpPr>
        <xdr:cNvPr id="7" name="Right Brace 6">
          <a:extLst>
            <a:ext uri="{FF2B5EF4-FFF2-40B4-BE49-F238E27FC236}">
              <a16:creationId xmlns:a16="http://schemas.microsoft.com/office/drawing/2014/main" id="{8B8B4A9E-A224-3846-A706-211D8402474A}"/>
            </a:ext>
          </a:extLst>
        </xdr:cNvPr>
        <xdr:cNvSpPr/>
      </xdr:nvSpPr>
      <xdr:spPr>
        <a:xfrm>
          <a:off x="9007475" y="2967924"/>
          <a:ext cx="217848" cy="914999"/>
        </a:xfrm>
        <a:prstGeom prst="rightBrac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97A26-45A9-B64D-98C8-292A77313440}">
  <dimension ref="A1:P32"/>
  <sheetViews>
    <sheetView tabSelected="1" topLeftCell="D1" zoomScale="96" workbookViewId="0">
      <selection activeCell="K13" sqref="K13"/>
    </sheetView>
  </sheetViews>
  <sheetFormatPr defaultColWidth="9" defaultRowHeight="15.95"/>
  <cols>
    <col min="1" max="1" width="7.875" style="138" customWidth="1"/>
    <col min="2" max="2" width="2.875" style="139" customWidth="1"/>
    <col min="3" max="3" width="3.125" style="139" bestFit="1" customWidth="1"/>
    <col min="4" max="4" width="92.625" style="139" customWidth="1"/>
    <col min="5" max="8" width="9" style="139"/>
    <col min="9" max="10" width="0.125" style="139" customWidth="1"/>
    <col min="11" max="11" width="45.5" style="139" customWidth="1"/>
    <col min="12" max="16384" width="9" style="139"/>
  </cols>
  <sheetData>
    <row r="1" spans="1:16" s="135" customFormat="1" ht="41.25">
      <c r="A1" s="132"/>
      <c r="B1" s="133"/>
      <c r="C1" s="134" t="s">
        <v>0</v>
      </c>
      <c r="G1" s="136"/>
      <c r="I1" s="136"/>
      <c r="P1" s="137"/>
    </row>
    <row r="3" spans="1:16" ht="15.75">
      <c r="C3" s="140"/>
      <c r="D3" s="141" t="s">
        <v>1</v>
      </c>
      <c r="E3" s="142" t="s">
        <v>2</v>
      </c>
      <c r="F3" s="142" t="s">
        <v>3</v>
      </c>
      <c r="G3" s="142" t="s">
        <v>4</v>
      </c>
      <c r="K3" s="213" t="s">
        <v>5</v>
      </c>
    </row>
    <row r="4" spans="1:16" ht="15.75">
      <c r="C4" s="140">
        <v>1</v>
      </c>
      <c r="D4" s="216" t="s">
        <v>6</v>
      </c>
      <c r="E4" s="217" t="s">
        <v>6</v>
      </c>
      <c r="F4" s="217" t="s">
        <v>6</v>
      </c>
      <c r="G4" s="218">
        <v>0</v>
      </c>
      <c r="K4" s="214" t="s">
        <v>7</v>
      </c>
    </row>
    <row r="5" spans="1:16" ht="30.75">
      <c r="C5" s="140">
        <v>2</v>
      </c>
      <c r="D5" s="222" t="s">
        <v>8</v>
      </c>
      <c r="E5" s="220">
        <v>2</v>
      </c>
      <c r="F5" s="220">
        <v>3</v>
      </c>
      <c r="G5" s="221">
        <v>7</v>
      </c>
      <c r="K5" s="215" t="s">
        <v>9</v>
      </c>
    </row>
    <row r="6" spans="1:16" ht="15.75">
      <c r="C6" s="140">
        <v>3</v>
      </c>
      <c r="D6" s="219" t="s">
        <v>10</v>
      </c>
      <c r="E6" s="220">
        <v>3</v>
      </c>
      <c r="F6" s="220">
        <v>2</v>
      </c>
      <c r="G6" s="221">
        <v>8</v>
      </c>
      <c r="K6" s="139" t="s">
        <v>11</v>
      </c>
    </row>
    <row r="7" spans="1:16" ht="15.75">
      <c r="C7" s="140">
        <v>4</v>
      </c>
      <c r="D7" s="219" t="s">
        <v>12</v>
      </c>
      <c r="E7" s="220">
        <v>3</v>
      </c>
      <c r="F7" s="220">
        <v>2</v>
      </c>
      <c r="G7" s="221">
        <v>8</v>
      </c>
      <c r="K7" s="214" t="s">
        <v>13</v>
      </c>
    </row>
    <row r="8" spans="1:16" ht="15.75">
      <c r="C8" s="140">
        <v>5</v>
      </c>
      <c r="D8" s="219" t="s">
        <v>14</v>
      </c>
      <c r="E8" s="220">
        <v>3</v>
      </c>
      <c r="F8" s="220">
        <v>1</v>
      </c>
      <c r="G8" s="221">
        <v>7</v>
      </c>
      <c r="K8" s="215" t="s">
        <v>15</v>
      </c>
    </row>
    <row r="9" spans="1:16" ht="15.75">
      <c r="C9" s="140">
        <v>6</v>
      </c>
      <c r="D9" s="219" t="s">
        <v>16</v>
      </c>
      <c r="E9" s="220">
        <v>3</v>
      </c>
      <c r="F9" s="220">
        <v>1</v>
      </c>
      <c r="G9" s="221">
        <v>7</v>
      </c>
      <c r="K9" s="139" t="s">
        <v>17</v>
      </c>
    </row>
    <row r="10" spans="1:16" ht="15.75">
      <c r="C10" s="140">
        <v>7</v>
      </c>
      <c r="D10" s="219" t="s">
        <v>18</v>
      </c>
      <c r="E10" s="220">
        <v>2</v>
      </c>
      <c r="F10" s="220">
        <v>1</v>
      </c>
      <c r="G10" s="221">
        <v>5</v>
      </c>
    </row>
    <row r="11" spans="1:16" ht="15.75">
      <c r="C11" s="140">
        <v>9</v>
      </c>
      <c r="D11" s="219" t="s">
        <v>19</v>
      </c>
      <c r="E11" s="220">
        <v>3</v>
      </c>
      <c r="F11" s="220">
        <v>2</v>
      </c>
      <c r="G11" s="221">
        <v>8</v>
      </c>
    </row>
    <row r="12" spans="1:16" ht="15.75">
      <c r="C12" s="140">
        <v>11</v>
      </c>
      <c r="D12" s="219" t="s">
        <v>20</v>
      </c>
      <c r="E12" s="220">
        <v>1</v>
      </c>
      <c r="F12" s="220">
        <v>3</v>
      </c>
      <c r="G12" s="221">
        <v>5</v>
      </c>
    </row>
    <row r="13" spans="1:16" ht="15.75">
      <c r="C13" s="140">
        <v>12</v>
      </c>
      <c r="D13" s="219" t="s">
        <v>21</v>
      </c>
      <c r="E13" s="220">
        <v>3</v>
      </c>
      <c r="F13" s="220">
        <v>3</v>
      </c>
      <c r="G13" s="221">
        <v>9</v>
      </c>
    </row>
    <row r="14" spans="1:16" ht="15.75">
      <c r="C14" s="140">
        <v>13</v>
      </c>
      <c r="D14" s="156"/>
      <c r="E14" s="156"/>
      <c r="F14" s="156"/>
      <c r="G14" s="143">
        <f t="shared" ref="G4:G32" si="0">E14*2+F14</f>
        <v>0</v>
      </c>
    </row>
    <row r="15" spans="1:16" ht="15.75">
      <c r="C15" s="140">
        <v>14</v>
      </c>
      <c r="D15" s="156"/>
      <c r="E15" s="156"/>
      <c r="F15" s="156"/>
      <c r="G15" s="143">
        <f t="shared" si="0"/>
        <v>0</v>
      </c>
    </row>
    <row r="16" spans="1:16" ht="15.75">
      <c r="C16" s="140">
        <v>15</v>
      </c>
      <c r="D16" s="156"/>
      <c r="E16" s="156"/>
      <c r="F16" s="156"/>
      <c r="G16" s="143">
        <f t="shared" si="0"/>
        <v>0</v>
      </c>
    </row>
    <row r="17" spans="3:7" ht="15.75">
      <c r="C17" s="140">
        <v>16</v>
      </c>
      <c r="D17" s="156"/>
      <c r="E17" s="156"/>
      <c r="F17" s="156"/>
      <c r="G17" s="143">
        <f t="shared" si="0"/>
        <v>0</v>
      </c>
    </row>
    <row r="18" spans="3:7" ht="15.75">
      <c r="C18" s="140">
        <v>17</v>
      </c>
      <c r="D18" s="156"/>
      <c r="E18" s="156"/>
      <c r="F18" s="156"/>
      <c r="G18" s="143">
        <f t="shared" si="0"/>
        <v>0</v>
      </c>
    </row>
    <row r="19" spans="3:7" ht="15.75">
      <c r="C19" s="140">
        <v>18</v>
      </c>
      <c r="D19" s="156"/>
      <c r="E19" s="156"/>
      <c r="F19" s="156"/>
      <c r="G19" s="143">
        <f t="shared" si="0"/>
        <v>0</v>
      </c>
    </row>
    <row r="20" spans="3:7" ht="15.75">
      <c r="C20" s="140">
        <v>19</v>
      </c>
      <c r="D20" s="156"/>
      <c r="E20" s="156"/>
      <c r="F20" s="156"/>
      <c r="G20" s="143">
        <f t="shared" si="0"/>
        <v>0</v>
      </c>
    </row>
    <row r="21" spans="3:7" ht="15.75">
      <c r="C21" s="140">
        <v>20</v>
      </c>
      <c r="D21" s="156"/>
      <c r="E21" s="156"/>
      <c r="F21" s="156"/>
      <c r="G21" s="143">
        <f t="shared" si="0"/>
        <v>0</v>
      </c>
    </row>
    <row r="22" spans="3:7" ht="15.75">
      <c r="C22" s="140">
        <v>20</v>
      </c>
      <c r="D22" s="156"/>
      <c r="E22" s="156"/>
      <c r="F22" s="156"/>
      <c r="G22" s="143">
        <f t="shared" si="0"/>
        <v>0</v>
      </c>
    </row>
    <row r="23" spans="3:7" ht="15.75">
      <c r="C23" s="140">
        <v>21</v>
      </c>
      <c r="D23" s="156"/>
      <c r="E23" s="156"/>
      <c r="F23" s="156"/>
      <c r="G23" s="143">
        <f t="shared" si="0"/>
        <v>0</v>
      </c>
    </row>
    <row r="24" spans="3:7" ht="15.75">
      <c r="C24" s="140">
        <v>22</v>
      </c>
      <c r="D24" s="156"/>
      <c r="E24" s="156"/>
      <c r="F24" s="156"/>
      <c r="G24" s="143">
        <f t="shared" si="0"/>
        <v>0</v>
      </c>
    </row>
    <row r="25" spans="3:7" ht="15.75">
      <c r="C25" s="140">
        <v>23</v>
      </c>
      <c r="D25" s="156"/>
      <c r="E25" s="156"/>
      <c r="F25" s="156"/>
      <c r="G25" s="143">
        <f t="shared" si="0"/>
        <v>0</v>
      </c>
    </row>
    <row r="26" spans="3:7" ht="15.75">
      <c r="C26" s="140">
        <v>24</v>
      </c>
      <c r="D26" s="156"/>
      <c r="E26" s="156"/>
      <c r="F26" s="156"/>
      <c r="G26" s="143">
        <f t="shared" si="0"/>
        <v>0</v>
      </c>
    </row>
    <row r="27" spans="3:7" ht="15.75">
      <c r="C27" s="140">
        <v>25</v>
      </c>
      <c r="D27" s="156"/>
      <c r="E27" s="156"/>
      <c r="F27" s="156"/>
      <c r="G27" s="143">
        <f t="shared" si="0"/>
        <v>0</v>
      </c>
    </row>
    <row r="28" spans="3:7" ht="15.75">
      <c r="C28" s="140">
        <v>26</v>
      </c>
      <c r="D28" s="156"/>
      <c r="E28" s="156"/>
      <c r="F28" s="156"/>
      <c r="G28" s="143">
        <f t="shared" si="0"/>
        <v>0</v>
      </c>
    </row>
    <row r="29" spans="3:7" ht="15.75">
      <c r="C29" s="140">
        <v>27</v>
      </c>
      <c r="D29" s="156"/>
      <c r="E29" s="156"/>
      <c r="F29" s="156"/>
      <c r="G29" s="143">
        <f t="shared" si="0"/>
        <v>0</v>
      </c>
    </row>
    <row r="30" spans="3:7" ht="15.75">
      <c r="C30" s="140">
        <v>28</v>
      </c>
      <c r="D30" s="156"/>
      <c r="E30" s="156"/>
      <c r="F30" s="156"/>
      <c r="G30" s="143">
        <f t="shared" si="0"/>
        <v>0</v>
      </c>
    </row>
    <row r="31" spans="3:7" ht="15.75">
      <c r="C31" s="140">
        <v>29</v>
      </c>
      <c r="D31" s="156"/>
      <c r="E31" s="156"/>
      <c r="F31" s="156"/>
      <c r="G31" s="143">
        <f t="shared" si="0"/>
        <v>0</v>
      </c>
    </row>
    <row r="32" spans="3:7" ht="15.75">
      <c r="C32" s="140">
        <v>30</v>
      </c>
      <c r="D32" s="156"/>
      <c r="E32" s="156"/>
      <c r="F32" s="156"/>
      <c r="G32" s="143">
        <f t="shared" si="0"/>
        <v>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AF6F05-66D9-1A44-97E9-26FFA2BFBD18}">
  <dimension ref="A1:P33"/>
  <sheetViews>
    <sheetView zoomScale="94" workbookViewId="0">
      <selection activeCell="L12" sqref="L12"/>
    </sheetView>
  </sheetViews>
  <sheetFormatPr defaultColWidth="9" defaultRowHeight="15.95"/>
  <cols>
    <col min="1" max="1" width="7.875" style="138" customWidth="1"/>
    <col min="2" max="2" width="2.875" style="139" customWidth="1"/>
    <col min="3" max="3" width="3.125" style="139" bestFit="1" customWidth="1"/>
    <col min="4" max="4" width="76.5" style="139" customWidth="1"/>
    <col min="5" max="8" width="9" style="139"/>
    <col min="9" max="10" width="0.125" style="139" customWidth="1"/>
    <col min="11" max="16384" width="9" style="139"/>
  </cols>
  <sheetData>
    <row r="1" spans="1:16" s="135" customFormat="1" ht="41.1">
      <c r="A1" s="132"/>
      <c r="B1" s="133"/>
      <c r="C1" s="134" t="s">
        <v>22</v>
      </c>
      <c r="G1" s="136"/>
      <c r="I1" s="136"/>
      <c r="P1" s="137"/>
    </row>
    <row r="3" spans="1:16" ht="15.75">
      <c r="C3" s="140"/>
      <c r="D3" s="141" t="s">
        <v>1</v>
      </c>
      <c r="E3" s="142" t="s">
        <v>2</v>
      </c>
      <c r="F3" s="142" t="s">
        <v>3</v>
      </c>
      <c r="G3" s="142" t="s">
        <v>4</v>
      </c>
      <c r="K3" s="213" t="s">
        <v>5</v>
      </c>
    </row>
    <row r="4" spans="1:16" ht="30.75">
      <c r="C4" s="140">
        <v>1</v>
      </c>
      <c r="D4" s="223" t="s">
        <v>23</v>
      </c>
      <c r="E4" s="217">
        <v>3</v>
      </c>
      <c r="F4" s="217">
        <v>3</v>
      </c>
      <c r="G4" s="143">
        <f t="shared" ref="G4:G33" si="0">E4*2+F4</f>
        <v>9</v>
      </c>
      <c r="K4" s="214" t="s">
        <v>7</v>
      </c>
    </row>
    <row r="5" spans="1:16" ht="15.75">
      <c r="C5" s="140">
        <v>2</v>
      </c>
      <c r="D5" s="219" t="s">
        <v>24</v>
      </c>
      <c r="E5" s="220">
        <v>3</v>
      </c>
      <c r="F5" s="220">
        <v>1</v>
      </c>
      <c r="G5" s="143">
        <f t="shared" si="0"/>
        <v>7</v>
      </c>
      <c r="K5" s="215" t="s">
        <v>9</v>
      </c>
    </row>
    <row r="6" spans="1:16" ht="30.75">
      <c r="C6" s="140">
        <v>3</v>
      </c>
      <c r="D6" s="222" t="s">
        <v>25</v>
      </c>
      <c r="E6" s="220">
        <v>2</v>
      </c>
      <c r="F6" s="220">
        <v>3</v>
      </c>
      <c r="G6" s="143">
        <f t="shared" si="0"/>
        <v>7</v>
      </c>
      <c r="K6" s="139" t="s">
        <v>11</v>
      </c>
    </row>
    <row r="7" spans="1:16" ht="15.75">
      <c r="C7" s="140">
        <v>4</v>
      </c>
      <c r="D7" s="219" t="s">
        <v>26</v>
      </c>
      <c r="E7" s="220">
        <v>2</v>
      </c>
      <c r="F7" s="220">
        <v>2</v>
      </c>
      <c r="G7" s="143">
        <f t="shared" si="0"/>
        <v>6</v>
      </c>
      <c r="K7" s="214" t="s">
        <v>13</v>
      </c>
    </row>
    <row r="8" spans="1:16" ht="30.75">
      <c r="C8" s="140">
        <v>5</v>
      </c>
      <c r="D8" s="222" t="s">
        <v>27</v>
      </c>
      <c r="E8" s="220">
        <v>3</v>
      </c>
      <c r="F8" s="220">
        <v>2</v>
      </c>
      <c r="G8" s="143">
        <f t="shared" si="0"/>
        <v>8</v>
      </c>
      <c r="K8" s="215" t="s">
        <v>15</v>
      </c>
    </row>
    <row r="9" spans="1:16" ht="30.75">
      <c r="C9" s="140">
        <v>6</v>
      </c>
      <c r="D9" s="222" t="s">
        <v>28</v>
      </c>
      <c r="E9" s="220">
        <v>3</v>
      </c>
      <c r="F9" s="220">
        <v>2</v>
      </c>
      <c r="G9" s="143">
        <f t="shared" si="0"/>
        <v>8</v>
      </c>
      <c r="K9" s="139" t="s">
        <v>17</v>
      </c>
    </row>
    <row r="10" spans="1:16" ht="15.75">
      <c r="C10" s="140">
        <v>7</v>
      </c>
      <c r="D10" s="219" t="s">
        <v>29</v>
      </c>
      <c r="E10" s="220">
        <v>2</v>
      </c>
      <c r="F10" s="220">
        <v>2</v>
      </c>
      <c r="G10" s="143">
        <f t="shared" si="0"/>
        <v>6</v>
      </c>
    </row>
    <row r="11" spans="1:16">
      <c r="C11" s="140">
        <v>8</v>
      </c>
      <c r="D11" s="156"/>
      <c r="E11" s="156"/>
      <c r="F11" s="156"/>
      <c r="G11" s="143">
        <f t="shared" si="0"/>
        <v>0</v>
      </c>
    </row>
    <row r="12" spans="1:16" ht="15.75">
      <c r="C12" s="140">
        <v>9</v>
      </c>
      <c r="D12" s="156"/>
      <c r="E12" s="156"/>
      <c r="F12" s="156"/>
      <c r="G12" s="143">
        <f t="shared" si="0"/>
        <v>0</v>
      </c>
    </row>
    <row r="13" spans="1:16">
      <c r="C13" s="140">
        <v>10</v>
      </c>
      <c r="D13" s="156"/>
      <c r="E13" s="156"/>
      <c r="F13" s="156"/>
      <c r="G13" s="143">
        <f t="shared" si="0"/>
        <v>0</v>
      </c>
    </row>
    <row r="14" spans="1:16">
      <c r="C14" s="140">
        <v>11</v>
      </c>
      <c r="D14" s="156"/>
      <c r="E14" s="156"/>
      <c r="F14" s="156"/>
      <c r="G14" s="143">
        <f t="shared" si="0"/>
        <v>0</v>
      </c>
    </row>
    <row r="15" spans="1:16">
      <c r="C15" s="140">
        <v>12</v>
      </c>
      <c r="D15" s="156"/>
      <c r="E15" s="156"/>
      <c r="F15" s="156"/>
      <c r="G15" s="143">
        <f t="shared" si="0"/>
        <v>0</v>
      </c>
    </row>
    <row r="16" spans="1:16">
      <c r="C16" s="140">
        <v>13</v>
      </c>
      <c r="D16" s="156"/>
      <c r="E16" s="156"/>
      <c r="F16" s="156"/>
      <c r="G16" s="143">
        <f t="shared" si="0"/>
        <v>0</v>
      </c>
    </row>
    <row r="17" spans="3:7">
      <c r="C17" s="140">
        <v>14</v>
      </c>
      <c r="D17" s="156"/>
      <c r="E17" s="156"/>
      <c r="F17" s="156"/>
      <c r="G17" s="143">
        <f t="shared" si="0"/>
        <v>0</v>
      </c>
    </row>
    <row r="18" spans="3:7">
      <c r="C18" s="140">
        <v>15</v>
      </c>
      <c r="D18" s="156"/>
      <c r="E18" s="156"/>
      <c r="F18" s="156"/>
      <c r="G18" s="143">
        <f t="shared" si="0"/>
        <v>0</v>
      </c>
    </row>
    <row r="19" spans="3:7">
      <c r="C19" s="140">
        <v>16</v>
      </c>
      <c r="D19" s="156"/>
      <c r="E19" s="156"/>
      <c r="F19" s="156"/>
      <c r="G19" s="143">
        <f t="shared" si="0"/>
        <v>0</v>
      </c>
    </row>
    <row r="20" spans="3:7">
      <c r="C20" s="140">
        <v>17</v>
      </c>
      <c r="D20" s="156"/>
      <c r="E20" s="156"/>
      <c r="F20" s="156"/>
      <c r="G20" s="143">
        <f t="shared" si="0"/>
        <v>0</v>
      </c>
    </row>
    <row r="21" spans="3:7">
      <c r="C21" s="140">
        <v>18</v>
      </c>
      <c r="D21" s="156"/>
      <c r="E21" s="156"/>
      <c r="F21" s="156"/>
      <c r="G21" s="143">
        <f t="shared" si="0"/>
        <v>0</v>
      </c>
    </row>
    <row r="22" spans="3:7">
      <c r="C22" s="140">
        <v>19</v>
      </c>
      <c r="D22" s="156"/>
      <c r="E22" s="156"/>
      <c r="F22" s="156"/>
      <c r="G22" s="143">
        <f t="shared" si="0"/>
        <v>0</v>
      </c>
    </row>
    <row r="23" spans="3:7">
      <c r="C23" s="140">
        <v>20</v>
      </c>
      <c r="D23" s="156"/>
      <c r="E23" s="156"/>
      <c r="F23" s="156"/>
      <c r="G23" s="143">
        <f t="shared" si="0"/>
        <v>0</v>
      </c>
    </row>
    <row r="24" spans="3:7">
      <c r="C24" s="140">
        <v>21</v>
      </c>
      <c r="D24" s="156"/>
      <c r="E24" s="156"/>
      <c r="F24" s="156"/>
      <c r="G24" s="143">
        <f t="shared" si="0"/>
        <v>0</v>
      </c>
    </row>
    <row r="25" spans="3:7">
      <c r="C25" s="140">
        <v>22</v>
      </c>
      <c r="D25" s="156"/>
      <c r="E25" s="156"/>
      <c r="F25" s="156"/>
      <c r="G25" s="143">
        <f t="shared" si="0"/>
        <v>0</v>
      </c>
    </row>
    <row r="26" spans="3:7">
      <c r="C26" s="140">
        <v>23</v>
      </c>
      <c r="D26" s="156"/>
      <c r="E26" s="156"/>
      <c r="F26" s="156"/>
      <c r="G26" s="143">
        <f t="shared" si="0"/>
        <v>0</v>
      </c>
    </row>
    <row r="27" spans="3:7">
      <c r="C27" s="140">
        <v>24</v>
      </c>
      <c r="D27" s="156"/>
      <c r="E27" s="156"/>
      <c r="F27" s="156"/>
      <c r="G27" s="143">
        <f t="shared" si="0"/>
        <v>0</v>
      </c>
    </row>
    <row r="28" spans="3:7">
      <c r="C28" s="140">
        <v>25</v>
      </c>
      <c r="D28" s="156"/>
      <c r="E28" s="156"/>
      <c r="F28" s="156"/>
      <c r="G28" s="143">
        <f t="shared" si="0"/>
        <v>0</v>
      </c>
    </row>
    <row r="29" spans="3:7">
      <c r="C29" s="140">
        <v>26</v>
      </c>
      <c r="D29" s="156"/>
      <c r="E29" s="156"/>
      <c r="F29" s="156"/>
      <c r="G29" s="143">
        <f t="shared" si="0"/>
        <v>0</v>
      </c>
    </row>
    <row r="30" spans="3:7">
      <c r="C30" s="140">
        <v>27</v>
      </c>
      <c r="D30" s="156"/>
      <c r="E30" s="156"/>
      <c r="F30" s="156"/>
      <c r="G30" s="143">
        <f t="shared" si="0"/>
        <v>0</v>
      </c>
    </row>
    <row r="31" spans="3:7">
      <c r="C31" s="140">
        <v>28</v>
      </c>
      <c r="D31" s="156"/>
      <c r="E31" s="156"/>
      <c r="F31" s="156"/>
      <c r="G31" s="143">
        <f t="shared" si="0"/>
        <v>0</v>
      </c>
    </row>
    <row r="32" spans="3:7">
      <c r="C32" s="140">
        <v>29</v>
      </c>
      <c r="D32" s="156"/>
      <c r="E32" s="156"/>
      <c r="F32" s="156"/>
      <c r="G32" s="143">
        <f t="shared" si="0"/>
        <v>0</v>
      </c>
    </row>
    <row r="33" spans="3:7">
      <c r="C33" s="140">
        <v>30</v>
      </c>
      <c r="D33" s="156"/>
      <c r="E33" s="156"/>
      <c r="F33" s="156"/>
      <c r="G33" s="143">
        <f t="shared" si="0"/>
        <v>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41F70A-A63D-4857-A782-0A2BF4EBE026}">
  <sheetPr codeName="Sheet3">
    <tabColor rgb="FF0D3272"/>
  </sheetPr>
  <dimension ref="A1:EX54"/>
  <sheetViews>
    <sheetView topLeftCell="A14" zoomScale="115" workbookViewId="0">
      <selection sqref="A1:EX52"/>
    </sheetView>
  </sheetViews>
  <sheetFormatPr defaultColWidth="11" defaultRowHeight="12.95"/>
  <cols>
    <col min="1" max="1" width="8.375" style="160" customWidth="1"/>
    <col min="2" max="2" width="2.625" style="153" customWidth="1"/>
    <col min="3" max="4" width="4.125" style="158" customWidth="1"/>
    <col min="5" max="5" width="23.375" style="158" customWidth="1"/>
    <col min="6" max="6" width="14.125" style="153" customWidth="1"/>
    <col min="7" max="7" width="7.125" style="155" customWidth="1"/>
    <col min="8" max="8" width="14.375" style="154" customWidth="1"/>
    <col min="9" max="9" width="7.125" style="155" customWidth="1"/>
    <col min="10" max="10" width="10.125" style="159" customWidth="1"/>
    <col min="11" max="11" width="13.875" style="158" customWidth="1"/>
    <col min="12" max="12" width="6.375" style="158" hidden="1" customWidth="1"/>
    <col min="13" max="13" width="20.875" style="158" hidden="1" customWidth="1"/>
    <col min="14" max="14" width="10.5" style="158" hidden="1" customWidth="1"/>
    <col min="15" max="15" width="3.875" style="158" hidden="1" customWidth="1"/>
    <col min="16" max="16" width="1.625" style="158" customWidth="1"/>
    <col min="17" max="17" width="3.5" style="158" customWidth="1"/>
    <col min="18" max="18" width="15.125" style="158" bestFit="1" customWidth="1"/>
    <col min="19" max="19" width="4.5" style="158" customWidth="1"/>
    <col min="20" max="20" width="14.125" style="158" bestFit="1" customWidth="1"/>
    <col min="21" max="21" width="15.5" style="158" customWidth="1"/>
    <col min="22" max="16384" width="11" style="158"/>
  </cols>
  <sheetData>
    <row r="1" spans="1:154" s="157" customFormat="1" ht="41.1" customHeight="1">
      <c r="A1" s="224" t="s">
        <v>6</v>
      </c>
      <c r="B1" s="225" t="s">
        <v>6</v>
      </c>
      <c r="C1" s="226" t="s">
        <v>30</v>
      </c>
      <c r="D1" s="227"/>
      <c r="E1" s="227"/>
      <c r="F1" s="227"/>
      <c r="G1" s="227"/>
      <c r="H1" s="227"/>
      <c r="I1" s="228" t="s">
        <v>6</v>
      </c>
      <c r="J1" s="229" t="s">
        <v>6</v>
      </c>
      <c r="K1" s="229" t="s">
        <v>6</v>
      </c>
      <c r="L1" s="229" t="s">
        <v>6</v>
      </c>
      <c r="M1" s="229" t="s">
        <v>6</v>
      </c>
      <c r="N1" s="229" t="s">
        <v>6</v>
      </c>
      <c r="O1" s="229" t="s">
        <v>6</v>
      </c>
      <c r="P1" s="229" t="s">
        <v>6</v>
      </c>
      <c r="Q1" s="229" t="s">
        <v>6</v>
      </c>
      <c r="R1" s="229" t="s">
        <v>6</v>
      </c>
      <c r="S1" s="229" t="s">
        <v>6</v>
      </c>
      <c r="T1" s="229" t="s">
        <v>6</v>
      </c>
      <c r="U1" s="229" t="s">
        <v>6</v>
      </c>
      <c r="V1" s="229" t="s">
        <v>6</v>
      </c>
      <c r="W1" s="229" t="s">
        <v>6</v>
      </c>
      <c r="X1" s="229" t="s">
        <v>6</v>
      </c>
      <c r="Y1" s="229" t="s">
        <v>6</v>
      </c>
      <c r="Z1" s="229" t="s">
        <v>6</v>
      </c>
      <c r="AA1" s="229" t="s">
        <v>6</v>
      </c>
      <c r="AB1" s="229" t="s">
        <v>6</v>
      </c>
      <c r="AC1" s="229" t="s">
        <v>6</v>
      </c>
      <c r="AD1" s="229" t="s">
        <v>6</v>
      </c>
      <c r="AE1" s="229" t="s">
        <v>6</v>
      </c>
      <c r="AF1" s="229" t="s">
        <v>6</v>
      </c>
      <c r="AG1" s="229" t="s">
        <v>6</v>
      </c>
      <c r="AH1" s="229" t="s">
        <v>6</v>
      </c>
      <c r="AI1" s="229" t="s">
        <v>6</v>
      </c>
      <c r="AJ1" s="229" t="s">
        <v>6</v>
      </c>
      <c r="AK1" s="229" t="s">
        <v>6</v>
      </c>
      <c r="AL1" s="229" t="s">
        <v>6</v>
      </c>
      <c r="AM1" s="229" t="s">
        <v>6</v>
      </c>
      <c r="AN1" s="229" t="s">
        <v>6</v>
      </c>
      <c r="AO1" s="229" t="s">
        <v>6</v>
      </c>
      <c r="AP1" s="229" t="s">
        <v>6</v>
      </c>
      <c r="AQ1" s="229" t="s">
        <v>6</v>
      </c>
      <c r="AR1" s="229" t="s">
        <v>6</v>
      </c>
      <c r="AS1" s="229" t="s">
        <v>6</v>
      </c>
      <c r="AT1" s="229" t="s">
        <v>6</v>
      </c>
      <c r="AU1" s="229" t="s">
        <v>6</v>
      </c>
      <c r="AV1" s="229" t="s">
        <v>6</v>
      </c>
      <c r="AW1" s="229" t="s">
        <v>6</v>
      </c>
      <c r="AX1" s="229" t="s">
        <v>6</v>
      </c>
      <c r="AY1" s="229" t="s">
        <v>6</v>
      </c>
      <c r="AZ1" s="229" t="s">
        <v>6</v>
      </c>
      <c r="BA1" s="229" t="s">
        <v>6</v>
      </c>
      <c r="BB1" s="229" t="s">
        <v>6</v>
      </c>
      <c r="BC1" s="229" t="s">
        <v>6</v>
      </c>
      <c r="BD1" s="229" t="s">
        <v>6</v>
      </c>
      <c r="BE1" s="229" t="s">
        <v>6</v>
      </c>
      <c r="BF1" s="229" t="s">
        <v>6</v>
      </c>
      <c r="BG1" s="229" t="s">
        <v>6</v>
      </c>
      <c r="BH1" s="229" t="s">
        <v>6</v>
      </c>
      <c r="BI1" s="229" t="s">
        <v>6</v>
      </c>
      <c r="BJ1" s="229" t="s">
        <v>6</v>
      </c>
      <c r="BK1" s="229" t="s">
        <v>6</v>
      </c>
      <c r="BL1" s="229" t="s">
        <v>6</v>
      </c>
      <c r="BM1" s="229" t="s">
        <v>6</v>
      </c>
      <c r="BN1" s="229" t="s">
        <v>6</v>
      </c>
      <c r="BO1" s="229" t="s">
        <v>6</v>
      </c>
      <c r="BP1" s="229" t="s">
        <v>6</v>
      </c>
      <c r="BQ1" s="229" t="s">
        <v>6</v>
      </c>
      <c r="BR1" s="229" t="s">
        <v>6</v>
      </c>
      <c r="BS1" s="229" t="s">
        <v>6</v>
      </c>
      <c r="BT1" s="229" t="s">
        <v>6</v>
      </c>
      <c r="BU1" s="229" t="s">
        <v>6</v>
      </c>
      <c r="BV1" s="229" t="s">
        <v>6</v>
      </c>
      <c r="BW1" s="229" t="s">
        <v>6</v>
      </c>
      <c r="BX1" s="229" t="s">
        <v>6</v>
      </c>
      <c r="BY1" s="229" t="s">
        <v>6</v>
      </c>
      <c r="BZ1" s="229" t="s">
        <v>6</v>
      </c>
      <c r="CA1" s="229" t="s">
        <v>6</v>
      </c>
      <c r="CB1" s="229" t="s">
        <v>6</v>
      </c>
      <c r="CC1" s="229" t="s">
        <v>6</v>
      </c>
      <c r="CD1" s="229" t="s">
        <v>6</v>
      </c>
      <c r="CE1" s="229" t="s">
        <v>6</v>
      </c>
      <c r="CF1" s="229" t="s">
        <v>6</v>
      </c>
      <c r="CG1" s="229" t="s">
        <v>6</v>
      </c>
      <c r="CH1" s="229" t="s">
        <v>6</v>
      </c>
      <c r="CI1" s="229" t="s">
        <v>6</v>
      </c>
      <c r="CJ1" s="229" t="s">
        <v>6</v>
      </c>
      <c r="CK1" s="229" t="s">
        <v>6</v>
      </c>
      <c r="CL1" s="229" t="s">
        <v>6</v>
      </c>
      <c r="CM1" s="229" t="s">
        <v>6</v>
      </c>
      <c r="CN1" s="229" t="s">
        <v>6</v>
      </c>
      <c r="CO1" s="229" t="s">
        <v>6</v>
      </c>
      <c r="CP1" s="229" t="s">
        <v>6</v>
      </c>
      <c r="CQ1" s="229" t="s">
        <v>6</v>
      </c>
      <c r="CR1" s="229" t="s">
        <v>6</v>
      </c>
      <c r="CS1" s="229" t="s">
        <v>6</v>
      </c>
      <c r="CT1" s="229" t="s">
        <v>6</v>
      </c>
      <c r="CU1" s="229" t="s">
        <v>6</v>
      </c>
      <c r="CV1" s="229" t="s">
        <v>6</v>
      </c>
      <c r="CW1" s="229" t="s">
        <v>6</v>
      </c>
      <c r="CX1" s="229" t="s">
        <v>6</v>
      </c>
      <c r="CY1" s="229" t="s">
        <v>6</v>
      </c>
      <c r="CZ1" s="229" t="s">
        <v>6</v>
      </c>
      <c r="DA1" s="229" t="s">
        <v>6</v>
      </c>
      <c r="DB1" s="229" t="s">
        <v>6</v>
      </c>
      <c r="DC1" s="229" t="s">
        <v>6</v>
      </c>
      <c r="DD1" s="229" t="s">
        <v>6</v>
      </c>
      <c r="DE1" s="229" t="s">
        <v>6</v>
      </c>
      <c r="DF1" s="229" t="s">
        <v>6</v>
      </c>
      <c r="DG1" s="229" t="s">
        <v>6</v>
      </c>
      <c r="DH1" s="229" t="s">
        <v>6</v>
      </c>
      <c r="DI1" s="229" t="s">
        <v>6</v>
      </c>
      <c r="DJ1" s="229" t="s">
        <v>6</v>
      </c>
      <c r="DK1" s="229" t="s">
        <v>6</v>
      </c>
      <c r="DL1" s="229" t="s">
        <v>6</v>
      </c>
      <c r="DM1" s="229" t="s">
        <v>6</v>
      </c>
      <c r="DN1" s="229" t="s">
        <v>6</v>
      </c>
      <c r="DO1" s="229" t="s">
        <v>6</v>
      </c>
      <c r="DP1" s="229" t="s">
        <v>6</v>
      </c>
      <c r="DQ1" s="229" t="s">
        <v>6</v>
      </c>
      <c r="DR1" s="229" t="s">
        <v>6</v>
      </c>
      <c r="DS1" s="229" t="s">
        <v>6</v>
      </c>
      <c r="DT1" s="229" t="s">
        <v>6</v>
      </c>
      <c r="DU1" s="229" t="s">
        <v>6</v>
      </c>
      <c r="DV1" s="229" t="s">
        <v>6</v>
      </c>
      <c r="DW1" s="229" t="s">
        <v>6</v>
      </c>
      <c r="DX1" s="229" t="s">
        <v>6</v>
      </c>
      <c r="DY1" s="229" t="s">
        <v>6</v>
      </c>
      <c r="DZ1" s="229" t="s">
        <v>6</v>
      </c>
      <c r="EA1" s="229" t="s">
        <v>6</v>
      </c>
      <c r="EB1" s="229" t="s">
        <v>6</v>
      </c>
      <c r="EC1" s="229" t="s">
        <v>6</v>
      </c>
      <c r="ED1" s="229" t="s">
        <v>6</v>
      </c>
      <c r="EE1" s="229" t="s">
        <v>6</v>
      </c>
      <c r="EF1" s="229" t="s">
        <v>6</v>
      </c>
      <c r="EG1" s="229" t="s">
        <v>6</v>
      </c>
      <c r="EH1" s="229" t="s">
        <v>6</v>
      </c>
      <c r="EI1" s="229" t="s">
        <v>6</v>
      </c>
      <c r="EJ1" s="229" t="s">
        <v>6</v>
      </c>
      <c r="EK1" s="229" t="s">
        <v>6</v>
      </c>
      <c r="EL1" s="229" t="s">
        <v>6</v>
      </c>
      <c r="EM1" s="229" t="s">
        <v>6</v>
      </c>
      <c r="EN1" s="229" t="s">
        <v>6</v>
      </c>
      <c r="EO1" s="229" t="s">
        <v>6</v>
      </c>
      <c r="EP1" s="229" t="s">
        <v>6</v>
      </c>
      <c r="EQ1" s="229" t="s">
        <v>6</v>
      </c>
      <c r="ER1" s="229" t="s">
        <v>6</v>
      </c>
      <c r="ES1" s="229" t="s">
        <v>6</v>
      </c>
      <c r="ET1" s="229" t="s">
        <v>6</v>
      </c>
      <c r="EU1" s="229" t="s">
        <v>6</v>
      </c>
      <c r="EV1" s="229" t="s">
        <v>6</v>
      </c>
      <c r="EW1" s="229" t="s">
        <v>6</v>
      </c>
      <c r="EX1" s="230" t="s">
        <v>6</v>
      </c>
    </row>
    <row r="2" spans="1:154" s="155" customFormat="1" ht="8.4499999999999993" customHeight="1">
      <c r="A2" s="231" t="s">
        <v>6</v>
      </c>
      <c r="B2" s="232" t="s">
        <v>6</v>
      </c>
      <c r="C2" s="232" t="s">
        <v>6</v>
      </c>
      <c r="D2" s="232" t="s">
        <v>6</v>
      </c>
      <c r="E2" s="232" t="s">
        <v>6</v>
      </c>
      <c r="F2" s="232" t="s">
        <v>6</v>
      </c>
      <c r="G2" s="232" t="s">
        <v>6</v>
      </c>
      <c r="H2" s="232" t="s">
        <v>6</v>
      </c>
      <c r="I2" s="232" t="s">
        <v>6</v>
      </c>
      <c r="J2" s="232" t="s">
        <v>6</v>
      </c>
      <c r="K2" s="232" t="s">
        <v>6</v>
      </c>
      <c r="L2" s="232" t="s">
        <v>6</v>
      </c>
      <c r="M2" s="232" t="s">
        <v>6</v>
      </c>
      <c r="N2" s="232" t="s">
        <v>6</v>
      </c>
      <c r="O2" s="232" t="s">
        <v>6</v>
      </c>
      <c r="P2" s="232" t="s">
        <v>6</v>
      </c>
      <c r="Q2" s="232" t="s">
        <v>6</v>
      </c>
      <c r="R2" s="232" t="s">
        <v>6</v>
      </c>
      <c r="S2" s="232" t="s">
        <v>6</v>
      </c>
      <c r="T2" s="232" t="s">
        <v>6</v>
      </c>
      <c r="U2" s="232" t="s">
        <v>6</v>
      </c>
      <c r="V2" s="232" t="s">
        <v>6</v>
      </c>
      <c r="W2" s="232" t="s">
        <v>6</v>
      </c>
      <c r="X2" s="232" t="s">
        <v>6</v>
      </c>
      <c r="Y2" s="232" t="s">
        <v>6</v>
      </c>
      <c r="Z2" s="232" t="s">
        <v>6</v>
      </c>
      <c r="AA2" s="232" t="s">
        <v>6</v>
      </c>
      <c r="AB2" s="232" t="s">
        <v>6</v>
      </c>
      <c r="AC2" s="232" t="s">
        <v>6</v>
      </c>
      <c r="AD2" s="232" t="s">
        <v>6</v>
      </c>
      <c r="AE2" s="232" t="s">
        <v>6</v>
      </c>
      <c r="AF2" s="232" t="s">
        <v>6</v>
      </c>
      <c r="AG2" s="232" t="s">
        <v>6</v>
      </c>
      <c r="AH2" s="232" t="s">
        <v>6</v>
      </c>
      <c r="AI2" s="232" t="s">
        <v>6</v>
      </c>
      <c r="AJ2" s="232" t="s">
        <v>6</v>
      </c>
      <c r="AK2" s="232" t="s">
        <v>6</v>
      </c>
      <c r="AL2" s="232" t="s">
        <v>6</v>
      </c>
      <c r="AM2" s="232" t="s">
        <v>6</v>
      </c>
      <c r="AN2" s="232" t="s">
        <v>6</v>
      </c>
      <c r="AO2" s="232" t="s">
        <v>6</v>
      </c>
      <c r="AP2" s="232" t="s">
        <v>6</v>
      </c>
      <c r="AQ2" s="232" t="s">
        <v>6</v>
      </c>
      <c r="AR2" s="232" t="s">
        <v>6</v>
      </c>
      <c r="AS2" s="232" t="s">
        <v>6</v>
      </c>
      <c r="AT2" s="232" t="s">
        <v>6</v>
      </c>
      <c r="AU2" s="232" t="s">
        <v>6</v>
      </c>
      <c r="AV2" s="232" t="s">
        <v>6</v>
      </c>
      <c r="AW2" s="232" t="s">
        <v>6</v>
      </c>
      <c r="AX2" s="232" t="s">
        <v>6</v>
      </c>
      <c r="AY2" s="232" t="s">
        <v>6</v>
      </c>
      <c r="AZ2" s="232" t="s">
        <v>6</v>
      </c>
      <c r="BA2" s="232" t="s">
        <v>6</v>
      </c>
      <c r="BB2" s="232" t="s">
        <v>6</v>
      </c>
      <c r="BC2" s="232" t="s">
        <v>6</v>
      </c>
      <c r="BD2" s="232" t="s">
        <v>6</v>
      </c>
      <c r="BE2" s="232" t="s">
        <v>6</v>
      </c>
      <c r="BF2" s="232" t="s">
        <v>6</v>
      </c>
      <c r="BG2" s="232" t="s">
        <v>6</v>
      </c>
      <c r="BH2" s="232" t="s">
        <v>6</v>
      </c>
      <c r="BI2" s="232" t="s">
        <v>6</v>
      </c>
      <c r="BJ2" s="232" t="s">
        <v>6</v>
      </c>
      <c r="BK2" s="232" t="s">
        <v>6</v>
      </c>
      <c r="BL2" s="232" t="s">
        <v>6</v>
      </c>
      <c r="BM2" s="232" t="s">
        <v>6</v>
      </c>
      <c r="BN2" s="232" t="s">
        <v>6</v>
      </c>
      <c r="BO2" s="232" t="s">
        <v>6</v>
      </c>
      <c r="BP2" s="232" t="s">
        <v>6</v>
      </c>
      <c r="BQ2" s="232" t="s">
        <v>6</v>
      </c>
      <c r="BR2" s="232" t="s">
        <v>6</v>
      </c>
      <c r="BS2" s="232" t="s">
        <v>6</v>
      </c>
      <c r="BT2" s="232" t="s">
        <v>6</v>
      </c>
      <c r="BU2" s="232" t="s">
        <v>6</v>
      </c>
      <c r="BV2" s="232" t="s">
        <v>6</v>
      </c>
      <c r="BW2" s="232" t="s">
        <v>6</v>
      </c>
      <c r="BX2" s="232" t="s">
        <v>6</v>
      </c>
      <c r="BY2" s="232" t="s">
        <v>6</v>
      </c>
      <c r="BZ2" s="232" t="s">
        <v>6</v>
      </c>
      <c r="CA2" s="232" t="s">
        <v>6</v>
      </c>
      <c r="CB2" s="232" t="s">
        <v>6</v>
      </c>
      <c r="CC2" s="232" t="s">
        <v>6</v>
      </c>
      <c r="CD2" s="232" t="s">
        <v>6</v>
      </c>
      <c r="CE2" s="232" t="s">
        <v>6</v>
      </c>
      <c r="CF2" s="232" t="s">
        <v>6</v>
      </c>
      <c r="CG2" s="232" t="s">
        <v>6</v>
      </c>
      <c r="CH2" s="232" t="s">
        <v>6</v>
      </c>
      <c r="CI2" s="232" t="s">
        <v>6</v>
      </c>
      <c r="CJ2" s="232" t="s">
        <v>6</v>
      </c>
      <c r="CK2" s="232" t="s">
        <v>6</v>
      </c>
      <c r="CL2" s="232" t="s">
        <v>6</v>
      </c>
      <c r="CM2" s="232" t="s">
        <v>6</v>
      </c>
      <c r="CN2" s="232" t="s">
        <v>6</v>
      </c>
      <c r="CO2" s="232" t="s">
        <v>6</v>
      </c>
      <c r="CP2" s="232" t="s">
        <v>6</v>
      </c>
      <c r="CQ2" s="232" t="s">
        <v>6</v>
      </c>
      <c r="CR2" s="232" t="s">
        <v>6</v>
      </c>
      <c r="CS2" s="232" t="s">
        <v>6</v>
      </c>
      <c r="CT2" s="232" t="s">
        <v>6</v>
      </c>
      <c r="CU2" s="232" t="s">
        <v>6</v>
      </c>
      <c r="CV2" s="232" t="s">
        <v>6</v>
      </c>
      <c r="CW2" s="232" t="s">
        <v>6</v>
      </c>
      <c r="CX2" s="232" t="s">
        <v>6</v>
      </c>
      <c r="CY2" s="232" t="s">
        <v>6</v>
      </c>
      <c r="CZ2" s="232" t="s">
        <v>6</v>
      </c>
      <c r="DA2" s="232" t="s">
        <v>6</v>
      </c>
      <c r="DB2" s="232" t="s">
        <v>6</v>
      </c>
      <c r="DC2" s="232" t="s">
        <v>6</v>
      </c>
      <c r="DD2" s="232" t="s">
        <v>6</v>
      </c>
      <c r="DE2" s="232" t="s">
        <v>6</v>
      </c>
      <c r="DF2" s="232" t="s">
        <v>6</v>
      </c>
      <c r="DG2" s="232" t="s">
        <v>6</v>
      </c>
      <c r="DH2" s="232" t="s">
        <v>6</v>
      </c>
      <c r="DI2" s="232" t="s">
        <v>6</v>
      </c>
      <c r="DJ2" s="232" t="s">
        <v>6</v>
      </c>
      <c r="DK2" s="232" t="s">
        <v>6</v>
      </c>
      <c r="DL2" s="232" t="s">
        <v>6</v>
      </c>
      <c r="DM2" s="232" t="s">
        <v>6</v>
      </c>
      <c r="DN2" s="232" t="s">
        <v>6</v>
      </c>
      <c r="DO2" s="232" t="s">
        <v>6</v>
      </c>
      <c r="DP2" s="232" t="s">
        <v>6</v>
      </c>
      <c r="DQ2" s="232" t="s">
        <v>6</v>
      </c>
      <c r="DR2" s="232" t="s">
        <v>6</v>
      </c>
      <c r="DS2" s="232" t="s">
        <v>6</v>
      </c>
      <c r="DT2" s="232" t="s">
        <v>6</v>
      </c>
      <c r="DU2" s="232" t="s">
        <v>6</v>
      </c>
      <c r="DV2" s="232" t="s">
        <v>6</v>
      </c>
      <c r="DW2" s="232" t="s">
        <v>6</v>
      </c>
      <c r="DX2" s="232" t="s">
        <v>6</v>
      </c>
      <c r="DY2" s="232" t="s">
        <v>6</v>
      </c>
      <c r="DZ2" s="232" t="s">
        <v>6</v>
      </c>
      <c r="EA2" s="232" t="s">
        <v>6</v>
      </c>
      <c r="EB2" s="232" t="s">
        <v>6</v>
      </c>
      <c r="EC2" s="232" t="s">
        <v>6</v>
      </c>
      <c r="ED2" s="232" t="s">
        <v>6</v>
      </c>
      <c r="EE2" s="232" t="s">
        <v>6</v>
      </c>
      <c r="EF2" s="232" t="s">
        <v>6</v>
      </c>
      <c r="EG2" s="232" t="s">
        <v>6</v>
      </c>
      <c r="EH2" s="232" t="s">
        <v>6</v>
      </c>
      <c r="EI2" s="232" t="s">
        <v>6</v>
      </c>
      <c r="EJ2" s="232" t="s">
        <v>6</v>
      </c>
      <c r="EK2" s="232" t="s">
        <v>6</v>
      </c>
      <c r="EL2" s="232" t="s">
        <v>6</v>
      </c>
      <c r="EM2" s="232" t="s">
        <v>6</v>
      </c>
      <c r="EN2" s="232" t="s">
        <v>6</v>
      </c>
      <c r="EO2" s="232" t="s">
        <v>6</v>
      </c>
      <c r="EP2" s="232" t="s">
        <v>6</v>
      </c>
      <c r="EQ2" s="232" t="s">
        <v>6</v>
      </c>
      <c r="ER2" s="232" t="s">
        <v>6</v>
      </c>
      <c r="ES2" s="232" t="s">
        <v>6</v>
      </c>
      <c r="ET2" s="232" t="s">
        <v>6</v>
      </c>
      <c r="EU2" s="232" t="s">
        <v>6</v>
      </c>
      <c r="EV2" s="232" t="s">
        <v>6</v>
      </c>
      <c r="EW2" s="232" t="s">
        <v>6</v>
      </c>
      <c r="EX2" s="232" t="s">
        <v>6</v>
      </c>
    </row>
    <row r="3" spans="1:154" s="155" customFormat="1" ht="13.5">
      <c r="A3" s="231" t="s">
        <v>6</v>
      </c>
      <c r="B3" s="232" t="s">
        <v>6</v>
      </c>
      <c r="C3" s="232" t="s">
        <v>6</v>
      </c>
      <c r="D3" s="232" t="s">
        <v>6</v>
      </c>
      <c r="E3" s="233" t="s">
        <v>31</v>
      </c>
      <c r="F3" s="232" t="s">
        <v>6</v>
      </c>
      <c r="G3" s="232" t="s">
        <v>6</v>
      </c>
      <c r="H3" s="232" t="s">
        <v>6</v>
      </c>
      <c r="I3" s="232" t="s">
        <v>6</v>
      </c>
      <c r="J3" s="232" t="s">
        <v>6</v>
      </c>
      <c r="K3" s="232" t="s">
        <v>6</v>
      </c>
      <c r="L3" s="232" t="s">
        <v>6</v>
      </c>
      <c r="M3" s="232" t="s">
        <v>6</v>
      </c>
      <c r="N3" s="232" t="s">
        <v>6</v>
      </c>
      <c r="O3" s="232" t="s">
        <v>6</v>
      </c>
      <c r="P3" s="232" t="s">
        <v>6</v>
      </c>
      <c r="Q3" s="232" t="s">
        <v>6</v>
      </c>
      <c r="R3" s="232" t="s">
        <v>6</v>
      </c>
      <c r="S3" s="232" t="s">
        <v>6</v>
      </c>
      <c r="T3" s="232" t="s">
        <v>6</v>
      </c>
      <c r="U3" s="232" t="s">
        <v>6</v>
      </c>
      <c r="V3" s="232" t="s">
        <v>6</v>
      </c>
      <c r="W3" s="232" t="s">
        <v>6</v>
      </c>
      <c r="X3" s="232" t="s">
        <v>6</v>
      </c>
      <c r="Y3" s="232" t="s">
        <v>6</v>
      </c>
      <c r="Z3" s="232" t="s">
        <v>6</v>
      </c>
      <c r="AA3" s="232" t="s">
        <v>6</v>
      </c>
      <c r="AB3" s="232" t="s">
        <v>6</v>
      </c>
      <c r="AC3" s="232" t="s">
        <v>6</v>
      </c>
      <c r="AD3" s="232" t="s">
        <v>6</v>
      </c>
      <c r="AE3" s="232" t="s">
        <v>6</v>
      </c>
      <c r="AF3" s="232" t="s">
        <v>6</v>
      </c>
      <c r="AG3" s="232" t="s">
        <v>6</v>
      </c>
      <c r="AH3" s="232" t="s">
        <v>6</v>
      </c>
      <c r="AI3" s="232" t="s">
        <v>6</v>
      </c>
      <c r="AJ3" s="232" t="s">
        <v>6</v>
      </c>
      <c r="AK3" s="232" t="s">
        <v>6</v>
      </c>
      <c r="AL3" s="232" t="s">
        <v>6</v>
      </c>
      <c r="AM3" s="232" t="s">
        <v>6</v>
      </c>
      <c r="AN3" s="232" t="s">
        <v>6</v>
      </c>
      <c r="AO3" s="232" t="s">
        <v>6</v>
      </c>
      <c r="AP3" s="232" t="s">
        <v>6</v>
      </c>
      <c r="AQ3" s="232" t="s">
        <v>6</v>
      </c>
      <c r="AR3" s="232" t="s">
        <v>6</v>
      </c>
      <c r="AS3" s="232" t="s">
        <v>6</v>
      </c>
      <c r="AT3" s="232" t="s">
        <v>6</v>
      </c>
      <c r="AU3" s="232" t="s">
        <v>6</v>
      </c>
      <c r="AV3" s="232" t="s">
        <v>6</v>
      </c>
      <c r="AW3" s="232" t="s">
        <v>6</v>
      </c>
      <c r="AX3" s="232" t="s">
        <v>6</v>
      </c>
      <c r="AY3" s="232" t="s">
        <v>6</v>
      </c>
      <c r="AZ3" s="232" t="s">
        <v>6</v>
      </c>
      <c r="BA3" s="232" t="s">
        <v>6</v>
      </c>
      <c r="BB3" s="232" t="s">
        <v>6</v>
      </c>
      <c r="BC3" s="232" t="s">
        <v>6</v>
      </c>
      <c r="BD3" s="232" t="s">
        <v>6</v>
      </c>
      <c r="BE3" s="232" t="s">
        <v>6</v>
      </c>
      <c r="BF3" s="232" t="s">
        <v>6</v>
      </c>
      <c r="BG3" s="232" t="s">
        <v>6</v>
      </c>
      <c r="BH3" s="232" t="s">
        <v>6</v>
      </c>
      <c r="BI3" s="232" t="s">
        <v>6</v>
      </c>
      <c r="BJ3" s="232" t="s">
        <v>6</v>
      </c>
      <c r="BK3" s="232" t="s">
        <v>6</v>
      </c>
      <c r="BL3" s="232" t="s">
        <v>6</v>
      </c>
      <c r="BM3" s="232" t="s">
        <v>6</v>
      </c>
      <c r="BN3" s="232" t="s">
        <v>6</v>
      </c>
      <c r="BO3" s="232" t="s">
        <v>6</v>
      </c>
      <c r="BP3" s="232" t="s">
        <v>6</v>
      </c>
      <c r="BQ3" s="232" t="s">
        <v>6</v>
      </c>
      <c r="BR3" s="232" t="s">
        <v>6</v>
      </c>
      <c r="BS3" s="232" t="s">
        <v>6</v>
      </c>
      <c r="BT3" s="232" t="s">
        <v>6</v>
      </c>
      <c r="BU3" s="232" t="s">
        <v>6</v>
      </c>
      <c r="BV3" s="232" t="s">
        <v>6</v>
      </c>
      <c r="BW3" s="232" t="s">
        <v>6</v>
      </c>
      <c r="BX3" s="232" t="s">
        <v>6</v>
      </c>
      <c r="BY3" s="232" t="s">
        <v>6</v>
      </c>
      <c r="BZ3" s="232" t="s">
        <v>6</v>
      </c>
      <c r="CA3" s="232" t="s">
        <v>6</v>
      </c>
      <c r="CB3" s="232" t="s">
        <v>6</v>
      </c>
      <c r="CC3" s="232" t="s">
        <v>6</v>
      </c>
      <c r="CD3" s="232" t="s">
        <v>6</v>
      </c>
      <c r="CE3" s="232" t="s">
        <v>6</v>
      </c>
      <c r="CF3" s="232" t="s">
        <v>6</v>
      </c>
      <c r="CG3" s="232" t="s">
        <v>6</v>
      </c>
      <c r="CH3" s="232" t="s">
        <v>6</v>
      </c>
      <c r="CI3" s="232" t="s">
        <v>6</v>
      </c>
      <c r="CJ3" s="232" t="s">
        <v>6</v>
      </c>
      <c r="CK3" s="232" t="s">
        <v>6</v>
      </c>
      <c r="CL3" s="232" t="s">
        <v>6</v>
      </c>
      <c r="CM3" s="232" t="s">
        <v>6</v>
      </c>
      <c r="CN3" s="232" t="s">
        <v>6</v>
      </c>
      <c r="CO3" s="232" t="s">
        <v>6</v>
      </c>
      <c r="CP3" s="232" t="s">
        <v>6</v>
      </c>
      <c r="CQ3" s="232" t="s">
        <v>6</v>
      </c>
      <c r="CR3" s="232" t="s">
        <v>6</v>
      </c>
      <c r="CS3" s="232" t="s">
        <v>6</v>
      </c>
      <c r="CT3" s="232" t="s">
        <v>6</v>
      </c>
      <c r="CU3" s="232" t="s">
        <v>6</v>
      </c>
      <c r="CV3" s="232" t="s">
        <v>6</v>
      </c>
      <c r="CW3" s="232" t="s">
        <v>6</v>
      </c>
      <c r="CX3" s="232" t="s">
        <v>6</v>
      </c>
      <c r="CY3" s="232" t="s">
        <v>6</v>
      </c>
      <c r="CZ3" s="232" t="s">
        <v>6</v>
      </c>
      <c r="DA3" s="232" t="s">
        <v>6</v>
      </c>
      <c r="DB3" s="232" t="s">
        <v>6</v>
      </c>
      <c r="DC3" s="232" t="s">
        <v>6</v>
      </c>
      <c r="DD3" s="232" t="s">
        <v>6</v>
      </c>
      <c r="DE3" s="232" t="s">
        <v>6</v>
      </c>
      <c r="DF3" s="232" t="s">
        <v>6</v>
      </c>
      <c r="DG3" s="232" t="s">
        <v>6</v>
      </c>
      <c r="DH3" s="232" t="s">
        <v>6</v>
      </c>
      <c r="DI3" s="232" t="s">
        <v>6</v>
      </c>
      <c r="DJ3" s="232" t="s">
        <v>6</v>
      </c>
      <c r="DK3" s="232" t="s">
        <v>6</v>
      </c>
      <c r="DL3" s="232" t="s">
        <v>6</v>
      </c>
      <c r="DM3" s="232" t="s">
        <v>6</v>
      </c>
      <c r="DN3" s="232" t="s">
        <v>6</v>
      </c>
      <c r="DO3" s="232" t="s">
        <v>6</v>
      </c>
      <c r="DP3" s="232" t="s">
        <v>6</v>
      </c>
      <c r="DQ3" s="232" t="s">
        <v>6</v>
      </c>
      <c r="DR3" s="232" t="s">
        <v>6</v>
      </c>
      <c r="DS3" s="232" t="s">
        <v>6</v>
      </c>
      <c r="DT3" s="232" t="s">
        <v>6</v>
      </c>
      <c r="DU3" s="232" t="s">
        <v>6</v>
      </c>
      <c r="DV3" s="232" t="s">
        <v>6</v>
      </c>
      <c r="DW3" s="232" t="s">
        <v>6</v>
      </c>
      <c r="DX3" s="232" t="s">
        <v>6</v>
      </c>
      <c r="DY3" s="232" t="s">
        <v>6</v>
      </c>
      <c r="DZ3" s="232" t="s">
        <v>6</v>
      </c>
      <c r="EA3" s="232" t="s">
        <v>6</v>
      </c>
      <c r="EB3" s="232" t="s">
        <v>6</v>
      </c>
      <c r="EC3" s="232" t="s">
        <v>6</v>
      </c>
      <c r="ED3" s="232" t="s">
        <v>6</v>
      </c>
      <c r="EE3" s="232" t="s">
        <v>6</v>
      </c>
      <c r="EF3" s="232" t="s">
        <v>6</v>
      </c>
      <c r="EG3" s="232" t="s">
        <v>6</v>
      </c>
      <c r="EH3" s="232" t="s">
        <v>6</v>
      </c>
      <c r="EI3" s="232" t="s">
        <v>6</v>
      </c>
      <c r="EJ3" s="232" t="s">
        <v>6</v>
      </c>
      <c r="EK3" s="232" t="s">
        <v>6</v>
      </c>
      <c r="EL3" s="232" t="s">
        <v>6</v>
      </c>
      <c r="EM3" s="232" t="s">
        <v>6</v>
      </c>
      <c r="EN3" s="232" t="s">
        <v>6</v>
      </c>
      <c r="EO3" s="232" t="s">
        <v>6</v>
      </c>
      <c r="EP3" s="232" t="s">
        <v>6</v>
      </c>
      <c r="EQ3" s="232" t="s">
        <v>6</v>
      </c>
      <c r="ER3" s="232" t="s">
        <v>6</v>
      </c>
      <c r="ES3" s="232" t="s">
        <v>6</v>
      </c>
      <c r="ET3" s="232" t="s">
        <v>6</v>
      </c>
      <c r="EU3" s="232" t="s">
        <v>6</v>
      </c>
      <c r="EV3" s="232" t="s">
        <v>6</v>
      </c>
      <c r="EW3" s="232" t="s">
        <v>6</v>
      </c>
      <c r="EX3" s="232" t="s">
        <v>6</v>
      </c>
    </row>
    <row r="4" spans="1:154" s="155" customFormat="1" ht="15.75">
      <c r="A4" s="231" t="s">
        <v>6</v>
      </c>
      <c r="B4" s="232" t="s">
        <v>6</v>
      </c>
      <c r="C4" s="232" t="s">
        <v>6</v>
      </c>
      <c r="D4" s="232" t="s">
        <v>6</v>
      </c>
      <c r="E4" s="232" t="s">
        <v>6</v>
      </c>
      <c r="F4" s="234"/>
      <c r="G4" s="232" t="s">
        <v>6</v>
      </c>
      <c r="H4" s="232" t="s">
        <v>6</v>
      </c>
      <c r="I4" s="232" t="s">
        <v>6</v>
      </c>
      <c r="J4" s="232" t="s">
        <v>6</v>
      </c>
      <c r="K4" s="232" t="s">
        <v>6</v>
      </c>
      <c r="L4" s="232" t="s">
        <v>6</v>
      </c>
      <c r="M4" s="232" t="s">
        <v>6</v>
      </c>
      <c r="N4" s="232" t="s">
        <v>6</v>
      </c>
      <c r="O4" s="232" t="s">
        <v>6</v>
      </c>
      <c r="P4" s="232" t="s">
        <v>6</v>
      </c>
      <c r="Q4" s="232" t="s">
        <v>6</v>
      </c>
      <c r="R4" s="232" t="s">
        <v>6</v>
      </c>
      <c r="S4" s="232" t="s">
        <v>6</v>
      </c>
      <c r="T4" s="232" t="s">
        <v>6</v>
      </c>
      <c r="U4" s="232" t="s">
        <v>6</v>
      </c>
      <c r="V4" s="232" t="s">
        <v>6</v>
      </c>
      <c r="W4" s="232" t="s">
        <v>6</v>
      </c>
      <c r="X4" s="232" t="s">
        <v>6</v>
      </c>
      <c r="Y4" s="232" t="s">
        <v>6</v>
      </c>
      <c r="Z4" s="232" t="s">
        <v>6</v>
      </c>
      <c r="AA4" s="232" t="s">
        <v>6</v>
      </c>
      <c r="AB4" s="232" t="s">
        <v>6</v>
      </c>
      <c r="AC4" s="232" t="s">
        <v>6</v>
      </c>
      <c r="AD4" s="232" t="s">
        <v>6</v>
      </c>
      <c r="AE4" s="232" t="s">
        <v>6</v>
      </c>
      <c r="AF4" s="232" t="s">
        <v>6</v>
      </c>
      <c r="AG4" s="232" t="s">
        <v>6</v>
      </c>
      <c r="AH4" s="232" t="s">
        <v>6</v>
      </c>
      <c r="AI4" s="232" t="s">
        <v>6</v>
      </c>
      <c r="AJ4" s="232" t="s">
        <v>6</v>
      </c>
      <c r="AK4" s="232" t="s">
        <v>6</v>
      </c>
      <c r="AL4" s="232" t="s">
        <v>6</v>
      </c>
      <c r="AM4" s="232" t="s">
        <v>6</v>
      </c>
      <c r="AN4" s="232" t="s">
        <v>6</v>
      </c>
      <c r="AO4" s="232" t="s">
        <v>6</v>
      </c>
      <c r="AP4" s="232" t="s">
        <v>6</v>
      </c>
      <c r="AQ4" s="232" t="s">
        <v>6</v>
      </c>
      <c r="AR4" s="232" t="s">
        <v>6</v>
      </c>
      <c r="AS4" s="232" t="s">
        <v>6</v>
      </c>
      <c r="AT4" s="232" t="s">
        <v>6</v>
      </c>
      <c r="AU4" s="232" t="s">
        <v>6</v>
      </c>
      <c r="AV4" s="232" t="s">
        <v>6</v>
      </c>
      <c r="AW4" s="232" t="s">
        <v>6</v>
      </c>
      <c r="AX4" s="232" t="s">
        <v>6</v>
      </c>
      <c r="AY4" s="232" t="s">
        <v>6</v>
      </c>
      <c r="AZ4" s="232" t="s">
        <v>6</v>
      </c>
      <c r="BA4" s="232" t="s">
        <v>6</v>
      </c>
      <c r="BB4" s="232" t="s">
        <v>6</v>
      </c>
      <c r="BC4" s="232" t="s">
        <v>6</v>
      </c>
      <c r="BD4" s="232" t="s">
        <v>6</v>
      </c>
      <c r="BE4" s="232" t="s">
        <v>6</v>
      </c>
      <c r="BF4" s="232" t="s">
        <v>6</v>
      </c>
      <c r="BG4" s="232" t="s">
        <v>6</v>
      </c>
      <c r="BH4" s="232" t="s">
        <v>6</v>
      </c>
      <c r="BI4" s="232" t="s">
        <v>6</v>
      </c>
      <c r="BJ4" s="232" t="s">
        <v>6</v>
      </c>
      <c r="BK4" s="232" t="s">
        <v>6</v>
      </c>
      <c r="BL4" s="232" t="s">
        <v>6</v>
      </c>
      <c r="BM4" s="232" t="s">
        <v>6</v>
      </c>
      <c r="BN4" s="232" t="s">
        <v>6</v>
      </c>
      <c r="BO4" s="232" t="s">
        <v>6</v>
      </c>
      <c r="BP4" s="232" t="s">
        <v>6</v>
      </c>
      <c r="BQ4" s="232" t="s">
        <v>6</v>
      </c>
      <c r="BR4" s="232" t="s">
        <v>6</v>
      </c>
      <c r="BS4" s="232" t="s">
        <v>6</v>
      </c>
      <c r="BT4" s="232" t="s">
        <v>6</v>
      </c>
      <c r="BU4" s="232" t="s">
        <v>6</v>
      </c>
      <c r="BV4" s="232" t="s">
        <v>6</v>
      </c>
      <c r="BW4" s="232" t="s">
        <v>6</v>
      </c>
      <c r="BX4" s="232" t="s">
        <v>6</v>
      </c>
      <c r="BY4" s="232" t="s">
        <v>6</v>
      </c>
      <c r="BZ4" s="232" t="s">
        <v>6</v>
      </c>
      <c r="CA4" s="232" t="s">
        <v>6</v>
      </c>
      <c r="CB4" s="232" t="s">
        <v>6</v>
      </c>
      <c r="CC4" s="232" t="s">
        <v>6</v>
      </c>
      <c r="CD4" s="232" t="s">
        <v>6</v>
      </c>
      <c r="CE4" s="232" t="s">
        <v>6</v>
      </c>
      <c r="CF4" s="232" t="s">
        <v>6</v>
      </c>
      <c r="CG4" s="232" t="s">
        <v>6</v>
      </c>
      <c r="CH4" s="232" t="s">
        <v>6</v>
      </c>
      <c r="CI4" s="232" t="s">
        <v>6</v>
      </c>
      <c r="CJ4" s="232" t="s">
        <v>6</v>
      </c>
      <c r="CK4" s="232" t="s">
        <v>6</v>
      </c>
      <c r="CL4" s="232" t="s">
        <v>6</v>
      </c>
      <c r="CM4" s="232" t="s">
        <v>6</v>
      </c>
      <c r="CN4" s="232" t="s">
        <v>6</v>
      </c>
      <c r="CO4" s="232" t="s">
        <v>6</v>
      </c>
      <c r="CP4" s="232" t="s">
        <v>6</v>
      </c>
      <c r="CQ4" s="232" t="s">
        <v>6</v>
      </c>
      <c r="CR4" s="232" t="s">
        <v>6</v>
      </c>
      <c r="CS4" s="232" t="s">
        <v>6</v>
      </c>
      <c r="CT4" s="232" t="s">
        <v>6</v>
      </c>
      <c r="CU4" s="232" t="s">
        <v>6</v>
      </c>
      <c r="CV4" s="232" t="s">
        <v>6</v>
      </c>
      <c r="CW4" s="232" t="s">
        <v>6</v>
      </c>
      <c r="CX4" s="232" t="s">
        <v>6</v>
      </c>
      <c r="CY4" s="232" t="s">
        <v>6</v>
      </c>
      <c r="CZ4" s="232" t="s">
        <v>6</v>
      </c>
      <c r="DA4" s="232" t="s">
        <v>6</v>
      </c>
      <c r="DB4" s="232" t="s">
        <v>6</v>
      </c>
      <c r="DC4" s="232" t="s">
        <v>6</v>
      </c>
      <c r="DD4" s="232" t="s">
        <v>6</v>
      </c>
      <c r="DE4" s="232" t="s">
        <v>6</v>
      </c>
      <c r="DF4" s="232" t="s">
        <v>6</v>
      </c>
      <c r="DG4" s="232" t="s">
        <v>6</v>
      </c>
      <c r="DH4" s="232" t="s">
        <v>6</v>
      </c>
      <c r="DI4" s="232" t="s">
        <v>6</v>
      </c>
      <c r="DJ4" s="232" t="s">
        <v>6</v>
      </c>
      <c r="DK4" s="232" t="s">
        <v>6</v>
      </c>
      <c r="DL4" s="232" t="s">
        <v>6</v>
      </c>
      <c r="DM4" s="232" t="s">
        <v>6</v>
      </c>
      <c r="DN4" s="232" t="s">
        <v>6</v>
      </c>
      <c r="DO4" s="232" t="s">
        <v>6</v>
      </c>
      <c r="DP4" s="232" t="s">
        <v>6</v>
      </c>
      <c r="DQ4" s="232" t="s">
        <v>6</v>
      </c>
      <c r="DR4" s="232" t="s">
        <v>6</v>
      </c>
      <c r="DS4" s="232" t="s">
        <v>6</v>
      </c>
      <c r="DT4" s="232" t="s">
        <v>6</v>
      </c>
      <c r="DU4" s="232" t="s">
        <v>6</v>
      </c>
      <c r="DV4" s="232" t="s">
        <v>6</v>
      </c>
      <c r="DW4" s="232" t="s">
        <v>6</v>
      </c>
      <c r="DX4" s="232" t="s">
        <v>6</v>
      </c>
      <c r="DY4" s="232" t="s">
        <v>6</v>
      </c>
      <c r="DZ4" s="232" t="s">
        <v>6</v>
      </c>
      <c r="EA4" s="232" t="s">
        <v>6</v>
      </c>
      <c r="EB4" s="232" t="s">
        <v>6</v>
      </c>
      <c r="EC4" s="232" t="s">
        <v>6</v>
      </c>
      <c r="ED4" s="232" t="s">
        <v>6</v>
      </c>
      <c r="EE4" s="232" t="s">
        <v>6</v>
      </c>
      <c r="EF4" s="232" t="s">
        <v>6</v>
      </c>
      <c r="EG4" s="232" t="s">
        <v>6</v>
      </c>
      <c r="EH4" s="232" t="s">
        <v>6</v>
      </c>
      <c r="EI4" s="232" t="s">
        <v>6</v>
      </c>
      <c r="EJ4" s="232" t="s">
        <v>6</v>
      </c>
      <c r="EK4" s="232" t="s">
        <v>6</v>
      </c>
      <c r="EL4" s="232" t="s">
        <v>6</v>
      </c>
      <c r="EM4" s="232" t="s">
        <v>6</v>
      </c>
      <c r="EN4" s="232" t="s">
        <v>6</v>
      </c>
      <c r="EO4" s="232" t="s">
        <v>6</v>
      </c>
      <c r="EP4" s="232" t="s">
        <v>6</v>
      </c>
      <c r="EQ4" s="232" t="s">
        <v>6</v>
      </c>
      <c r="ER4" s="232" t="s">
        <v>6</v>
      </c>
      <c r="ES4" s="232" t="s">
        <v>6</v>
      </c>
      <c r="ET4" s="232" t="s">
        <v>6</v>
      </c>
      <c r="EU4" s="232" t="s">
        <v>6</v>
      </c>
      <c r="EV4" s="232" t="s">
        <v>6</v>
      </c>
      <c r="EW4" s="232" t="s">
        <v>6</v>
      </c>
      <c r="EX4" s="232" t="s">
        <v>6</v>
      </c>
    </row>
    <row r="5" spans="1:154" s="155" customFormat="1" ht="15.75">
      <c r="A5" s="235"/>
      <c r="B5" s="236"/>
      <c r="C5" s="236"/>
      <c r="D5" s="236"/>
      <c r="E5" s="236"/>
      <c r="F5" s="237" t="s">
        <v>6</v>
      </c>
      <c r="G5" s="236"/>
      <c r="H5" s="236"/>
      <c r="I5" s="236"/>
      <c r="J5" s="236"/>
      <c r="K5" s="236"/>
      <c r="L5" s="236"/>
      <c r="M5" s="236"/>
      <c r="N5" s="236"/>
      <c r="O5" s="236"/>
      <c r="P5" s="236"/>
      <c r="Q5" s="236"/>
      <c r="R5" s="236"/>
      <c r="S5" s="236"/>
      <c r="T5" s="236"/>
      <c r="U5" s="236"/>
      <c r="V5" s="236"/>
      <c r="W5" s="236"/>
      <c r="X5" s="236"/>
      <c r="Y5" s="236"/>
      <c r="Z5" s="236"/>
      <c r="AA5" s="236"/>
      <c r="AB5" s="236"/>
      <c r="AC5" s="236"/>
      <c r="AD5" s="236"/>
      <c r="AE5" s="236"/>
      <c r="AF5" s="236"/>
      <c r="AG5" s="236"/>
      <c r="AH5" s="236"/>
      <c r="AI5" s="236"/>
      <c r="AJ5" s="236"/>
      <c r="AK5" s="236"/>
      <c r="AL5" s="236"/>
      <c r="AM5" s="236"/>
      <c r="AN5" s="236"/>
      <c r="AO5" s="236"/>
      <c r="AP5" s="236"/>
      <c r="AQ5" s="236"/>
      <c r="AR5" s="236"/>
      <c r="AS5" s="236"/>
      <c r="AT5" s="236"/>
      <c r="AU5" s="236"/>
      <c r="AV5" s="236"/>
      <c r="AW5" s="236"/>
      <c r="AX5" s="236"/>
      <c r="AY5" s="236"/>
      <c r="AZ5" s="236"/>
      <c r="BA5" s="236"/>
      <c r="BB5" s="236"/>
      <c r="BC5" s="236"/>
      <c r="BD5" s="236"/>
      <c r="BE5" s="236"/>
      <c r="BF5" s="236"/>
      <c r="BG5" s="236"/>
      <c r="BH5" s="236"/>
      <c r="BI5" s="236"/>
      <c r="BJ5" s="236"/>
      <c r="BK5" s="236"/>
      <c r="BL5" s="236"/>
      <c r="BM5" s="236"/>
      <c r="BN5" s="236"/>
      <c r="BO5" s="236"/>
      <c r="BP5" s="236"/>
      <c r="BQ5" s="236"/>
      <c r="BR5" s="236"/>
      <c r="BS5" s="236"/>
      <c r="BT5" s="236"/>
      <c r="BU5" s="236"/>
      <c r="BV5" s="236"/>
      <c r="BW5" s="236"/>
      <c r="BX5" s="236"/>
      <c r="BY5" s="236"/>
      <c r="BZ5" s="236"/>
      <c r="CA5" s="236"/>
      <c r="CB5" s="236"/>
      <c r="CC5" s="236"/>
      <c r="CD5" s="236"/>
      <c r="CE5" s="236"/>
      <c r="CF5" s="236"/>
      <c r="CG5" s="236"/>
      <c r="CH5" s="236"/>
      <c r="CI5" s="236"/>
      <c r="CJ5" s="236"/>
      <c r="CK5" s="236"/>
      <c r="CL5" s="236"/>
      <c r="CM5" s="236"/>
      <c r="CN5" s="236"/>
      <c r="CO5" s="236"/>
      <c r="CP5" s="236"/>
      <c r="CQ5" s="236"/>
      <c r="CR5" s="236"/>
      <c r="CS5" s="236"/>
      <c r="CT5" s="236"/>
      <c r="CU5" s="236"/>
      <c r="CV5" s="236"/>
      <c r="CW5" s="236"/>
      <c r="CX5" s="236"/>
      <c r="CY5" s="236"/>
      <c r="CZ5" s="236"/>
      <c r="DA5" s="236"/>
      <c r="DB5" s="236"/>
      <c r="DC5" s="236"/>
      <c r="DD5" s="236"/>
      <c r="DE5" s="236"/>
      <c r="DF5" s="236"/>
      <c r="DG5" s="236"/>
      <c r="DH5" s="236"/>
      <c r="DI5" s="236"/>
      <c r="DJ5" s="236"/>
      <c r="DK5" s="236"/>
      <c r="DL5" s="236"/>
      <c r="DM5" s="236"/>
      <c r="DN5" s="236"/>
      <c r="DO5" s="236"/>
      <c r="DP5" s="236"/>
      <c r="DQ5" s="236"/>
      <c r="DR5" s="236"/>
      <c r="DS5" s="236"/>
      <c r="DT5" s="236"/>
      <c r="DU5" s="236"/>
      <c r="DV5" s="236"/>
      <c r="DW5" s="236"/>
      <c r="DX5" s="236"/>
      <c r="DY5" s="236"/>
      <c r="DZ5" s="236"/>
      <c r="EA5" s="236"/>
      <c r="EB5" s="236"/>
      <c r="EC5" s="236"/>
      <c r="ED5" s="236"/>
      <c r="EE5" s="236"/>
      <c r="EF5" s="236"/>
      <c r="EG5" s="236"/>
      <c r="EH5" s="236"/>
      <c r="EI5" s="236"/>
      <c r="EJ5" s="236"/>
      <c r="EK5" s="236"/>
      <c r="EL5" s="236"/>
      <c r="EM5" s="236"/>
      <c r="EN5" s="236"/>
      <c r="EO5" s="236"/>
      <c r="EP5" s="236"/>
      <c r="EQ5" s="236"/>
      <c r="ER5" s="236"/>
      <c r="ES5" s="236"/>
      <c r="ET5" s="236"/>
      <c r="EU5" s="236"/>
      <c r="EV5" s="236"/>
      <c r="EW5" s="236"/>
      <c r="EX5" s="236"/>
    </row>
    <row r="6" spans="1:154" ht="17.25">
      <c r="A6" s="231" t="s">
        <v>6</v>
      </c>
      <c r="B6" s="232" t="s">
        <v>6</v>
      </c>
      <c r="C6" s="232" t="s">
        <v>6</v>
      </c>
      <c r="D6" s="232" t="s">
        <v>6</v>
      </c>
      <c r="E6" s="232" t="s">
        <v>6</v>
      </c>
      <c r="F6" s="238" t="s">
        <v>6</v>
      </c>
      <c r="G6" s="232" t="s">
        <v>6</v>
      </c>
      <c r="H6" s="232" t="s">
        <v>6</v>
      </c>
      <c r="I6" s="232" t="s">
        <v>6</v>
      </c>
      <c r="J6" s="232" t="s">
        <v>6</v>
      </c>
      <c r="K6" s="232" t="s">
        <v>6</v>
      </c>
      <c r="L6" s="232" t="s">
        <v>6</v>
      </c>
      <c r="M6" s="232" t="s">
        <v>6</v>
      </c>
      <c r="N6" s="232" t="s">
        <v>6</v>
      </c>
      <c r="O6" s="232" t="s">
        <v>6</v>
      </c>
      <c r="P6" s="232" t="s">
        <v>6</v>
      </c>
      <c r="Q6" s="232" t="s">
        <v>6</v>
      </c>
      <c r="R6" s="232" t="s">
        <v>6</v>
      </c>
      <c r="S6" s="239" t="s">
        <v>6</v>
      </c>
      <c r="T6" s="232" t="s">
        <v>6</v>
      </c>
      <c r="U6" s="232" t="s">
        <v>6</v>
      </c>
      <c r="V6" s="232" t="s">
        <v>6</v>
      </c>
      <c r="W6" s="232" t="s">
        <v>6</v>
      </c>
      <c r="X6" s="232" t="s">
        <v>6</v>
      </c>
      <c r="Y6" s="232" t="s">
        <v>6</v>
      </c>
      <c r="Z6" s="232" t="s">
        <v>6</v>
      </c>
      <c r="AA6" s="232" t="s">
        <v>6</v>
      </c>
      <c r="AB6" s="232" t="s">
        <v>6</v>
      </c>
      <c r="AC6" s="232" t="s">
        <v>6</v>
      </c>
      <c r="AD6" s="232" t="s">
        <v>6</v>
      </c>
      <c r="AE6" s="232" t="s">
        <v>6</v>
      </c>
      <c r="AF6" s="232" t="s">
        <v>6</v>
      </c>
      <c r="AG6" s="232" t="s">
        <v>6</v>
      </c>
      <c r="AH6" s="232" t="s">
        <v>6</v>
      </c>
      <c r="AI6" s="232" t="s">
        <v>6</v>
      </c>
      <c r="AJ6" s="232" t="s">
        <v>6</v>
      </c>
      <c r="AK6" s="232" t="s">
        <v>6</v>
      </c>
      <c r="AL6" s="232" t="s">
        <v>6</v>
      </c>
      <c r="AM6" s="232" t="s">
        <v>6</v>
      </c>
      <c r="AN6" s="232" t="s">
        <v>6</v>
      </c>
      <c r="AO6" s="232" t="s">
        <v>6</v>
      </c>
      <c r="AP6" s="232" t="s">
        <v>6</v>
      </c>
      <c r="AQ6" s="232" t="s">
        <v>6</v>
      </c>
      <c r="AR6" s="232" t="s">
        <v>6</v>
      </c>
      <c r="AS6" s="232" t="s">
        <v>6</v>
      </c>
      <c r="AT6" s="232" t="s">
        <v>6</v>
      </c>
      <c r="AU6" s="232" t="s">
        <v>6</v>
      </c>
      <c r="AV6" s="232" t="s">
        <v>6</v>
      </c>
      <c r="AW6" s="232" t="s">
        <v>6</v>
      </c>
      <c r="AX6" s="232" t="s">
        <v>6</v>
      </c>
      <c r="AY6" s="232" t="s">
        <v>6</v>
      </c>
      <c r="AZ6" s="232" t="s">
        <v>6</v>
      </c>
      <c r="BA6" s="232" t="s">
        <v>6</v>
      </c>
      <c r="BB6" s="232" t="s">
        <v>6</v>
      </c>
      <c r="BC6" s="232" t="s">
        <v>6</v>
      </c>
      <c r="BD6" s="232" t="s">
        <v>6</v>
      </c>
      <c r="BE6" s="232" t="s">
        <v>6</v>
      </c>
      <c r="BF6" s="232" t="s">
        <v>6</v>
      </c>
      <c r="BG6" s="232" t="s">
        <v>6</v>
      </c>
      <c r="BH6" s="232" t="s">
        <v>6</v>
      </c>
      <c r="BI6" s="232" t="s">
        <v>6</v>
      </c>
      <c r="BJ6" s="232" t="s">
        <v>6</v>
      </c>
      <c r="BK6" s="232" t="s">
        <v>6</v>
      </c>
      <c r="BL6" s="232" t="s">
        <v>6</v>
      </c>
      <c r="BM6" s="232" t="s">
        <v>6</v>
      </c>
      <c r="BN6" s="232" t="s">
        <v>6</v>
      </c>
      <c r="BO6" s="232" t="s">
        <v>6</v>
      </c>
      <c r="BP6" s="232" t="s">
        <v>6</v>
      </c>
      <c r="BQ6" s="232" t="s">
        <v>6</v>
      </c>
      <c r="BR6" s="232" t="s">
        <v>6</v>
      </c>
      <c r="BS6" s="232" t="s">
        <v>6</v>
      </c>
      <c r="BT6" s="232" t="s">
        <v>6</v>
      </c>
      <c r="BU6" s="232" t="s">
        <v>6</v>
      </c>
      <c r="BV6" s="232" t="s">
        <v>6</v>
      </c>
      <c r="BW6" s="232" t="s">
        <v>6</v>
      </c>
      <c r="BX6" s="232" t="s">
        <v>6</v>
      </c>
      <c r="BY6" s="232" t="s">
        <v>6</v>
      </c>
      <c r="BZ6" s="232" t="s">
        <v>6</v>
      </c>
      <c r="CA6" s="232" t="s">
        <v>6</v>
      </c>
      <c r="CB6" s="232" t="s">
        <v>6</v>
      </c>
      <c r="CC6" s="232" t="s">
        <v>6</v>
      </c>
      <c r="CD6" s="232" t="s">
        <v>6</v>
      </c>
      <c r="CE6" s="232" t="s">
        <v>6</v>
      </c>
      <c r="CF6" s="232" t="s">
        <v>6</v>
      </c>
      <c r="CG6" s="232" t="s">
        <v>6</v>
      </c>
      <c r="CH6" s="232" t="s">
        <v>6</v>
      </c>
      <c r="CI6" s="232" t="s">
        <v>6</v>
      </c>
      <c r="CJ6" s="232" t="s">
        <v>6</v>
      </c>
      <c r="CK6" s="232" t="s">
        <v>6</v>
      </c>
      <c r="CL6" s="232" t="s">
        <v>6</v>
      </c>
      <c r="CM6" s="232" t="s">
        <v>6</v>
      </c>
      <c r="CN6" s="232" t="s">
        <v>6</v>
      </c>
      <c r="CO6" s="232" t="s">
        <v>6</v>
      </c>
      <c r="CP6" s="232" t="s">
        <v>6</v>
      </c>
      <c r="CQ6" s="232" t="s">
        <v>6</v>
      </c>
      <c r="CR6" s="232" t="s">
        <v>6</v>
      </c>
      <c r="CS6" s="232" t="s">
        <v>6</v>
      </c>
      <c r="CT6" s="232" t="s">
        <v>6</v>
      </c>
      <c r="CU6" s="232" t="s">
        <v>6</v>
      </c>
      <c r="CV6" s="232" t="s">
        <v>6</v>
      </c>
      <c r="CW6" s="232" t="s">
        <v>6</v>
      </c>
      <c r="CX6" s="232" t="s">
        <v>6</v>
      </c>
      <c r="CY6" s="232" t="s">
        <v>6</v>
      </c>
      <c r="CZ6" s="232" t="s">
        <v>6</v>
      </c>
      <c r="DA6" s="232" t="s">
        <v>6</v>
      </c>
      <c r="DB6" s="232" t="s">
        <v>6</v>
      </c>
      <c r="DC6" s="232" t="s">
        <v>6</v>
      </c>
      <c r="DD6" s="232" t="s">
        <v>6</v>
      </c>
      <c r="DE6" s="232" t="s">
        <v>6</v>
      </c>
      <c r="DF6" s="232" t="s">
        <v>6</v>
      </c>
      <c r="DG6" s="232" t="s">
        <v>6</v>
      </c>
      <c r="DH6" s="232" t="s">
        <v>6</v>
      </c>
      <c r="DI6" s="232" t="s">
        <v>6</v>
      </c>
      <c r="DJ6" s="232" t="s">
        <v>6</v>
      </c>
      <c r="DK6" s="232" t="s">
        <v>6</v>
      </c>
      <c r="DL6" s="232" t="s">
        <v>6</v>
      </c>
      <c r="DM6" s="232" t="s">
        <v>6</v>
      </c>
      <c r="DN6" s="232" t="s">
        <v>6</v>
      </c>
      <c r="DO6" s="232" t="s">
        <v>6</v>
      </c>
      <c r="DP6" s="232" t="s">
        <v>6</v>
      </c>
      <c r="DQ6" s="232" t="s">
        <v>6</v>
      </c>
      <c r="DR6" s="232" t="s">
        <v>6</v>
      </c>
      <c r="DS6" s="232" t="s">
        <v>6</v>
      </c>
      <c r="DT6" s="232" t="s">
        <v>6</v>
      </c>
      <c r="DU6" s="232" t="s">
        <v>6</v>
      </c>
      <c r="DV6" s="232" t="s">
        <v>6</v>
      </c>
      <c r="DW6" s="232" t="s">
        <v>6</v>
      </c>
      <c r="DX6" s="232" t="s">
        <v>6</v>
      </c>
      <c r="DY6" s="232" t="s">
        <v>6</v>
      </c>
      <c r="DZ6" s="232" t="s">
        <v>6</v>
      </c>
      <c r="EA6" s="232" t="s">
        <v>6</v>
      </c>
      <c r="EB6" s="232" t="s">
        <v>6</v>
      </c>
      <c r="EC6" s="232" t="s">
        <v>6</v>
      </c>
      <c r="ED6" s="232" t="s">
        <v>6</v>
      </c>
      <c r="EE6" s="232" t="s">
        <v>6</v>
      </c>
      <c r="EF6" s="232" t="s">
        <v>6</v>
      </c>
      <c r="EG6" s="232" t="s">
        <v>6</v>
      </c>
      <c r="EH6" s="232" t="s">
        <v>6</v>
      </c>
      <c r="EI6" s="232" t="s">
        <v>6</v>
      </c>
      <c r="EJ6" s="232" t="s">
        <v>6</v>
      </c>
      <c r="EK6" s="232" t="s">
        <v>6</v>
      </c>
      <c r="EL6" s="232" t="s">
        <v>6</v>
      </c>
      <c r="EM6" s="232" t="s">
        <v>6</v>
      </c>
      <c r="EN6" s="232" t="s">
        <v>6</v>
      </c>
      <c r="EO6" s="232" t="s">
        <v>6</v>
      </c>
      <c r="EP6" s="232" t="s">
        <v>6</v>
      </c>
      <c r="EQ6" s="232" t="s">
        <v>6</v>
      </c>
      <c r="ER6" s="232" t="s">
        <v>6</v>
      </c>
      <c r="ES6" s="232" t="s">
        <v>6</v>
      </c>
      <c r="ET6" s="232" t="s">
        <v>6</v>
      </c>
      <c r="EU6" s="232" t="s">
        <v>6</v>
      </c>
      <c r="EV6" s="232" t="s">
        <v>6</v>
      </c>
      <c r="EW6" s="232" t="s">
        <v>6</v>
      </c>
      <c r="EX6" s="232" t="s">
        <v>6</v>
      </c>
    </row>
    <row r="7" spans="1:154" ht="18">
      <c r="A7" s="240" t="s">
        <v>6</v>
      </c>
      <c r="B7" s="241" t="s">
        <v>6</v>
      </c>
      <c r="C7" s="242" t="s">
        <v>32</v>
      </c>
      <c r="D7" s="242"/>
      <c r="E7" s="242"/>
      <c r="F7" s="372" t="s">
        <v>33</v>
      </c>
      <c r="G7" s="372"/>
      <c r="H7" s="372" t="s">
        <v>34</v>
      </c>
      <c r="I7" s="372"/>
      <c r="J7" s="244" t="s">
        <v>6</v>
      </c>
      <c r="K7" s="244" t="s">
        <v>6</v>
      </c>
      <c r="L7" s="244" t="s">
        <v>6</v>
      </c>
      <c r="M7" s="244" t="s">
        <v>6</v>
      </c>
      <c r="N7" s="244" t="s">
        <v>6</v>
      </c>
      <c r="O7" s="244" t="s">
        <v>6</v>
      </c>
      <c r="P7" s="244" t="s">
        <v>6</v>
      </c>
      <c r="Q7" s="244" t="s">
        <v>6</v>
      </c>
      <c r="R7" s="244" t="s">
        <v>6</v>
      </c>
      <c r="S7" s="244" t="s">
        <v>6</v>
      </c>
      <c r="T7" s="244" t="s">
        <v>6</v>
      </c>
      <c r="U7" s="244" t="s">
        <v>6</v>
      </c>
      <c r="V7" s="244" t="s">
        <v>6</v>
      </c>
      <c r="W7" s="244" t="s">
        <v>6</v>
      </c>
      <c r="X7" s="244" t="s">
        <v>6</v>
      </c>
      <c r="Y7" s="244" t="s">
        <v>6</v>
      </c>
      <c r="Z7" s="244" t="s">
        <v>6</v>
      </c>
      <c r="AA7" s="244" t="s">
        <v>6</v>
      </c>
      <c r="AB7" s="244" t="s">
        <v>6</v>
      </c>
      <c r="AC7" s="244" t="s">
        <v>6</v>
      </c>
      <c r="AD7" s="244" t="s">
        <v>6</v>
      </c>
      <c r="AE7" s="244" t="s">
        <v>6</v>
      </c>
      <c r="AF7" s="244" t="s">
        <v>6</v>
      </c>
      <c r="AG7" s="244" t="s">
        <v>6</v>
      </c>
      <c r="AH7" s="244" t="s">
        <v>6</v>
      </c>
      <c r="AI7" s="244" t="s">
        <v>6</v>
      </c>
      <c r="AJ7" s="244" t="s">
        <v>6</v>
      </c>
      <c r="AK7" s="244" t="s">
        <v>6</v>
      </c>
      <c r="AL7" s="244" t="s">
        <v>6</v>
      </c>
      <c r="AM7" s="244" t="s">
        <v>6</v>
      </c>
      <c r="AN7" s="244" t="s">
        <v>6</v>
      </c>
      <c r="AO7" s="244" t="s">
        <v>6</v>
      </c>
      <c r="AP7" s="244" t="s">
        <v>6</v>
      </c>
      <c r="AQ7" s="244" t="s">
        <v>6</v>
      </c>
      <c r="AR7" s="244" t="s">
        <v>6</v>
      </c>
      <c r="AS7" s="244" t="s">
        <v>6</v>
      </c>
      <c r="AT7" s="244" t="s">
        <v>6</v>
      </c>
      <c r="AU7" s="244" t="s">
        <v>6</v>
      </c>
      <c r="AV7" s="244" t="s">
        <v>6</v>
      </c>
      <c r="AW7" s="244" t="s">
        <v>6</v>
      </c>
      <c r="AX7" s="244" t="s">
        <v>6</v>
      </c>
      <c r="AY7" s="244" t="s">
        <v>6</v>
      </c>
      <c r="AZ7" s="244" t="s">
        <v>6</v>
      </c>
      <c r="BA7" s="244" t="s">
        <v>6</v>
      </c>
      <c r="BB7" s="244" t="s">
        <v>6</v>
      </c>
      <c r="BC7" s="244" t="s">
        <v>6</v>
      </c>
      <c r="BD7" s="244" t="s">
        <v>6</v>
      </c>
      <c r="BE7" s="244" t="s">
        <v>6</v>
      </c>
      <c r="BF7" s="244" t="s">
        <v>6</v>
      </c>
      <c r="BG7" s="244" t="s">
        <v>6</v>
      </c>
      <c r="BH7" s="244" t="s">
        <v>6</v>
      </c>
      <c r="BI7" s="244" t="s">
        <v>6</v>
      </c>
      <c r="BJ7" s="244" t="s">
        <v>6</v>
      </c>
      <c r="BK7" s="244" t="s">
        <v>6</v>
      </c>
      <c r="BL7" s="244" t="s">
        <v>6</v>
      </c>
      <c r="BM7" s="244" t="s">
        <v>6</v>
      </c>
      <c r="BN7" s="244" t="s">
        <v>6</v>
      </c>
      <c r="BO7" s="244" t="s">
        <v>6</v>
      </c>
      <c r="BP7" s="244" t="s">
        <v>6</v>
      </c>
      <c r="BQ7" s="244" t="s">
        <v>6</v>
      </c>
      <c r="BR7" s="244" t="s">
        <v>6</v>
      </c>
      <c r="BS7" s="244" t="s">
        <v>6</v>
      </c>
      <c r="BT7" s="244" t="s">
        <v>6</v>
      </c>
      <c r="BU7" s="244" t="s">
        <v>6</v>
      </c>
      <c r="BV7" s="244" t="s">
        <v>6</v>
      </c>
      <c r="BW7" s="244" t="s">
        <v>6</v>
      </c>
      <c r="BX7" s="244" t="s">
        <v>6</v>
      </c>
      <c r="BY7" s="244" t="s">
        <v>6</v>
      </c>
      <c r="BZ7" s="244" t="s">
        <v>6</v>
      </c>
      <c r="CA7" s="244" t="s">
        <v>6</v>
      </c>
      <c r="CB7" s="244" t="s">
        <v>6</v>
      </c>
      <c r="CC7" s="244" t="s">
        <v>6</v>
      </c>
      <c r="CD7" s="244" t="s">
        <v>6</v>
      </c>
      <c r="CE7" s="244" t="s">
        <v>6</v>
      </c>
      <c r="CF7" s="244" t="s">
        <v>6</v>
      </c>
      <c r="CG7" s="244" t="s">
        <v>6</v>
      </c>
      <c r="CH7" s="244" t="s">
        <v>6</v>
      </c>
      <c r="CI7" s="244" t="s">
        <v>6</v>
      </c>
      <c r="CJ7" s="244" t="s">
        <v>6</v>
      </c>
      <c r="CK7" s="244" t="s">
        <v>6</v>
      </c>
      <c r="CL7" s="244" t="s">
        <v>6</v>
      </c>
      <c r="CM7" s="244" t="s">
        <v>6</v>
      </c>
      <c r="CN7" s="244" t="s">
        <v>6</v>
      </c>
      <c r="CO7" s="244" t="s">
        <v>6</v>
      </c>
      <c r="CP7" s="244" t="s">
        <v>6</v>
      </c>
      <c r="CQ7" s="244" t="s">
        <v>6</v>
      </c>
      <c r="CR7" s="244" t="s">
        <v>6</v>
      </c>
      <c r="CS7" s="244" t="s">
        <v>6</v>
      </c>
      <c r="CT7" s="244" t="s">
        <v>6</v>
      </c>
      <c r="CU7" s="244" t="s">
        <v>6</v>
      </c>
      <c r="CV7" s="244" t="s">
        <v>6</v>
      </c>
      <c r="CW7" s="244" t="s">
        <v>6</v>
      </c>
      <c r="CX7" s="244" t="s">
        <v>6</v>
      </c>
      <c r="CY7" s="244" t="s">
        <v>6</v>
      </c>
      <c r="CZ7" s="244" t="s">
        <v>6</v>
      </c>
      <c r="DA7" s="244" t="s">
        <v>6</v>
      </c>
      <c r="DB7" s="244" t="s">
        <v>6</v>
      </c>
      <c r="DC7" s="244" t="s">
        <v>6</v>
      </c>
      <c r="DD7" s="244" t="s">
        <v>6</v>
      </c>
      <c r="DE7" s="244" t="s">
        <v>6</v>
      </c>
      <c r="DF7" s="244" t="s">
        <v>6</v>
      </c>
      <c r="DG7" s="244" t="s">
        <v>6</v>
      </c>
      <c r="DH7" s="244" t="s">
        <v>6</v>
      </c>
      <c r="DI7" s="244" t="s">
        <v>6</v>
      </c>
      <c r="DJ7" s="244" t="s">
        <v>6</v>
      </c>
      <c r="DK7" s="244" t="s">
        <v>6</v>
      </c>
      <c r="DL7" s="244" t="s">
        <v>6</v>
      </c>
      <c r="DM7" s="244" t="s">
        <v>6</v>
      </c>
      <c r="DN7" s="244" t="s">
        <v>6</v>
      </c>
      <c r="DO7" s="244" t="s">
        <v>6</v>
      </c>
      <c r="DP7" s="244" t="s">
        <v>6</v>
      </c>
      <c r="DQ7" s="244" t="s">
        <v>6</v>
      </c>
      <c r="DR7" s="244" t="s">
        <v>6</v>
      </c>
      <c r="DS7" s="244" t="s">
        <v>6</v>
      </c>
      <c r="DT7" s="244" t="s">
        <v>6</v>
      </c>
      <c r="DU7" s="244" t="s">
        <v>6</v>
      </c>
      <c r="DV7" s="244" t="s">
        <v>6</v>
      </c>
      <c r="DW7" s="244" t="s">
        <v>6</v>
      </c>
      <c r="DX7" s="244" t="s">
        <v>6</v>
      </c>
      <c r="DY7" s="244" t="s">
        <v>6</v>
      </c>
      <c r="DZ7" s="244" t="s">
        <v>6</v>
      </c>
      <c r="EA7" s="244" t="s">
        <v>6</v>
      </c>
      <c r="EB7" s="244" t="s">
        <v>6</v>
      </c>
      <c r="EC7" s="244" t="s">
        <v>6</v>
      </c>
      <c r="ED7" s="244" t="s">
        <v>6</v>
      </c>
      <c r="EE7" s="244" t="s">
        <v>6</v>
      </c>
      <c r="EF7" s="244" t="s">
        <v>6</v>
      </c>
      <c r="EG7" s="244" t="s">
        <v>6</v>
      </c>
      <c r="EH7" s="244" t="s">
        <v>6</v>
      </c>
      <c r="EI7" s="244" t="s">
        <v>6</v>
      </c>
      <c r="EJ7" s="244" t="s">
        <v>6</v>
      </c>
      <c r="EK7" s="244" t="s">
        <v>6</v>
      </c>
      <c r="EL7" s="244" t="s">
        <v>6</v>
      </c>
      <c r="EM7" s="244" t="s">
        <v>6</v>
      </c>
      <c r="EN7" s="244" t="s">
        <v>6</v>
      </c>
      <c r="EO7" s="244" t="s">
        <v>6</v>
      </c>
      <c r="EP7" s="244" t="s">
        <v>6</v>
      </c>
      <c r="EQ7" s="244" t="s">
        <v>6</v>
      </c>
      <c r="ER7" s="244" t="s">
        <v>6</v>
      </c>
      <c r="ES7" s="244" t="s">
        <v>6</v>
      </c>
      <c r="ET7" s="244" t="s">
        <v>6</v>
      </c>
      <c r="EU7" s="244" t="s">
        <v>6</v>
      </c>
      <c r="EV7" s="244" t="s">
        <v>6</v>
      </c>
      <c r="EW7" s="244" t="s">
        <v>6</v>
      </c>
      <c r="EX7" s="244" t="s">
        <v>6</v>
      </c>
    </row>
    <row r="8" spans="1:154" ht="18">
      <c r="A8" s="240" t="s">
        <v>6</v>
      </c>
      <c r="B8" s="241" t="s">
        <v>6</v>
      </c>
      <c r="C8" s="242" t="s">
        <v>6</v>
      </c>
      <c r="D8" s="244" t="s">
        <v>6</v>
      </c>
      <c r="E8" s="244" t="s">
        <v>6</v>
      </c>
      <c r="F8" s="243" t="s">
        <v>6</v>
      </c>
      <c r="G8" s="232" t="s">
        <v>6</v>
      </c>
      <c r="H8" s="243" t="s">
        <v>6</v>
      </c>
      <c r="I8" s="232" t="s">
        <v>6</v>
      </c>
      <c r="J8" s="244" t="s">
        <v>6</v>
      </c>
      <c r="K8" s="244" t="s">
        <v>6</v>
      </c>
      <c r="L8" s="244" t="s">
        <v>6</v>
      </c>
      <c r="M8" s="244" t="s">
        <v>6</v>
      </c>
      <c r="N8" s="244" t="s">
        <v>6</v>
      </c>
      <c r="O8" s="244" t="s">
        <v>6</v>
      </c>
      <c r="P8" s="244" t="s">
        <v>6</v>
      </c>
      <c r="Q8" s="244" t="s">
        <v>6</v>
      </c>
      <c r="R8" s="244" t="s">
        <v>6</v>
      </c>
      <c r="S8" s="244" t="s">
        <v>6</v>
      </c>
      <c r="T8" s="244" t="s">
        <v>6</v>
      </c>
      <c r="U8" s="244" t="s">
        <v>6</v>
      </c>
      <c r="V8" s="244" t="s">
        <v>6</v>
      </c>
      <c r="W8" s="244" t="s">
        <v>6</v>
      </c>
      <c r="X8" s="244" t="s">
        <v>6</v>
      </c>
      <c r="Y8" s="244" t="s">
        <v>6</v>
      </c>
      <c r="Z8" s="244" t="s">
        <v>6</v>
      </c>
      <c r="AA8" s="244" t="s">
        <v>6</v>
      </c>
      <c r="AB8" s="244" t="s">
        <v>6</v>
      </c>
      <c r="AC8" s="244" t="s">
        <v>6</v>
      </c>
      <c r="AD8" s="244" t="s">
        <v>6</v>
      </c>
      <c r="AE8" s="244" t="s">
        <v>6</v>
      </c>
      <c r="AF8" s="244" t="s">
        <v>6</v>
      </c>
      <c r="AG8" s="244" t="s">
        <v>6</v>
      </c>
      <c r="AH8" s="244" t="s">
        <v>6</v>
      </c>
      <c r="AI8" s="244" t="s">
        <v>6</v>
      </c>
      <c r="AJ8" s="244" t="s">
        <v>6</v>
      </c>
      <c r="AK8" s="244" t="s">
        <v>6</v>
      </c>
      <c r="AL8" s="244" t="s">
        <v>6</v>
      </c>
      <c r="AM8" s="244" t="s">
        <v>6</v>
      </c>
      <c r="AN8" s="244" t="s">
        <v>6</v>
      </c>
      <c r="AO8" s="244" t="s">
        <v>6</v>
      </c>
      <c r="AP8" s="244" t="s">
        <v>6</v>
      </c>
      <c r="AQ8" s="244" t="s">
        <v>6</v>
      </c>
      <c r="AR8" s="244" t="s">
        <v>6</v>
      </c>
      <c r="AS8" s="244" t="s">
        <v>6</v>
      </c>
      <c r="AT8" s="244" t="s">
        <v>6</v>
      </c>
      <c r="AU8" s="244" t="s">
        <v>6</v>
      </c>
      <c r="AV8" s="244" t="s">
        <v>6</v>
      </c>
      <c r="AW8" s="244" t="s">
        <v>6</v>
      </c>
      <c r="AX8" s="244" t="s">
        <v>6</v>
      </c>
      <c r="AY8" s="244" t="s">
        <v>6</v>
      </c>
      <c r="AZ8" s="244" t="s">
        <v>6</v>
      </c>
      <c r="BA8" s="244" t="s">
        <v>6</v>
      </c>
      <c r="BB8" s="244" t="s">
        <v>6</v>
      </c>
      <c r="BC8" s="244" t="s">
        <v>6</v>
      </c>
      <c r="BD8" s="244" t="s">
        <v>6</v>
      </c>
      <c r="BE8" s="244" t="s">
        <v>6</v>
      </c>
      <c r="BF8" s="244" t="s">
        <v>6</v>
      </c>
      <c r="BG8" s="244" t="s">
        <v>6</v>
      </c>
      <c r="BH8" s="244" t="s">
        <v>6</v>
      </c>
      <c r="BI8" s="244" t="s">
        <v>6</v>
      </c>
      <c r="BJ8" s="244" t="s">
        <v>6</v>
      </c>
      <c r="BK8" s="244" t="s">
        <v>6</v>
      </c>
      <c r="BL8" s="244" t="s">
        <v>6</v>
      </c>
      <c r="BM8" s="244" t="s">
        <v>6</v>
      </c>
      <c r="BN8" s="244" t="s">
        <v>6</v>
      </c>
      <c r="BO8" s="244" t="s">
        <v>6</v>
      </c>
      <c r="BP8" s="244" t="s">
        <v>6</v>
      </c>
      <c r="BQ8" s="244" t="s">
        <v>6</v>
      </c>
      <c r="BR8" s="244" t="s">
        <v>6</v>
      </c>
      <c r="BS8" s="244" t="s">
        <v>6</v>
      </c>
      <c r="BT8" s="244" t="s">
        <v>6</v>
      </c>
      <c r="BU8" s="244" t="s">
        <v>6</v>
      </c>
      <c r="BV8" s="244" t="s">
        <v>6</v>
      </c>
      <c r="BW8" s="244" t="s">
        <v>6</v>
      </c>
      <c r="BX8" s="244" t="s">
        <v>6</v>
      </c>
      <c r="BY8" s="244" t="s">
        <v>6</v>
      </c>
      <c r="BZ8" s="244" t="s">
        <v>6</v>
      </c>
      <c r="CA8" s="244" t="s">
        <v>6</v>
      </c>
      <c r="CB8" s="244" t="s">
        <v>6</v>
      </c>
      <c r="CC8" s="244" t="s">
        <v>6</v>
      </c>
      <c r="CD8" s="244" t="s">
        <v>6</v>
      </c>
      <c r="CE8" s="244" t="s">
        <v>6</v>
      </c>
      <c r="CF8" s="244" t="s">
        <v>6</v>
      </c>
      <c r="CG8" s="244" t="s">
        <v>6</v>
      </c>
      <c r="CH8" s="244" t="s">
        <v>6</v>
      </c>
      <c r="CI8" s="244" t="s">
        <v>6</v>
      </c>
      <c r="CJ8" s="244" t="s">
        <v>6</v>
      </c>
      <c r="CK8" s="244" t="s">
        <v>6</v>
      </c>
      <c r="CL8" s="244" t="s">
        <v>6</v>
      </c>
      <c r="CM8" s="244" t="s">
        <v>6</v>
      </c>
      <c r="CN8" s="244" t="s">
        <v>6</v>
      </c>
      <c r="CO8" s="244" t="s">
        <v>6</v>
      </c>
      <c r="CP8" s="244" t="s">
        <v>6</v>
      </c>
      <c r="CQ8" s="244" t="s">
        <v>6</v>
      </c>
      <c r="CR8" s="244" t="s">
        <v>6</v>
      </c>
      <c r="CS8" s="244" t="s">
        <v>6</v>
      </c>
      <c r="CT8" s="244" t="s">
        <v>6</v>
      </c>
      <c r="CU8" s="244" t="s">
        <v>6</v>
      </c>
      <c r="CV8" s="244" t="s">
        <v>6</v>
      </c>
      <c r="CW8" s="244" t="s">
        <v>6</v>
      </c>
      <c r="CX8" s="244" t="s">
        <v>6</v>
      </c>
      <c r="CY8" s="244" t="s">
        <v>6</v>
      </c>
      <c r="CZ8" s="244" t="s">
        <v>6</v>
      </c>
      <c r="DA8" s="244" t="s">
        <v>6</v>
      </c>
      <c r="DB8" s="244" t="s">
        <v>6</v>
      </c>
      <c r="DC8" s="244" t="s">
        <v>6</v>
      </c>
      <c r="DD8" s="244" t="s">
        <v>6</v>
      </c>
      <c r="DE8" s="244" t="s">
        <v>6</v>
      </c>
      <c r="DF8" s="244" t="s">
        <v>6</v>
      </c>
      <c r="DG8" s="244" t="s">
        <v>6</v>
      </c>
      <c r="DH8" s="244" t="s">
        <v>6</v>
      </c>
      <c r="DI8" s="244" t="s">
        <v>6</v>
      </c>
      <c r="DJ8" s="244" t="s">
        <v>6</v>
      </c>
      <c r="DK8" s="244" t="s">
        <v>6</v>
      </c>
      <c r="DL8" s="244" t="s">
        <v>6</v>
      </c>
      <c r="DM8" s="244" t="s">
        <v>6</v>
      </c>
      <c r="DN8" s="244" t="s">
        <v>6</v>
      </c>
      <c r="DO8" s="244" t="s">
        <v>6</v>
      </c>
      <c r="DP8" s="244" t="s">
        <v>6</v>
      </c>
      <c r="DQ8" s="244" t="s">
        <v>6</v>
      </c>
      <c r="DR8" s="244" t="s">
        <v>6</v>
      </c>
      <c r="DS8" s="244" t="s">
        <v>6</v>
      </c>
      <c r="DT8" s="244" t="s">
        <v>6</v>
      </c>
      <c r="DU8" s="244" t="s">
        <v>6</v>
      </c>
      <c r="DV8" s="244" t="s">
        <v>6</v>
      </c>
      <c r="DW8" s="244" t="s">
        <v>6</v>
      </c>
      <c r="DX8" s="244" t="s">
        <v>6</v>
      </c>
      <c r="DY8" s="244" t="s">
        <v>6</v>
      </c>
      <c r="DZ8" s="244" t="s">
        <v>6</v>
      </c>
      <c r="EA8" s="244" t="s">
        <v>6</v>
      </c>
      <c r="EB8" s="244" t="s">
        <v>6</v>
      </c>
      <c r="EC8" s="244" t="s">
        <v>6</v>
      </c>
      <c r="ED8" s="244" t="s">
        <v>6</v>
      </c>
      <c r="EE8" s="244" t="s">
        <v>6</v>
      </c>
      <c r="EF8" s="244" t="s">
        <v>6</v>
      </c>
      <c r="EG8" s="244" t="s">
        <v>6</v>
      </c>
      <c r="EH8" s="244" t="s">
        <v>6</v>
      </c>
      <c r="EI8" s="244" t="s">
        <v>6</v>
      </c>
      <c r="EJ8" s="244" t="s">
        <v>6</v>
      </c>
      <c r="EK8" s="244" t="s">
        <v>6</v>
      </c>
      <c r="EL8" s="244" t="s">
        <v>6</v>
      </c>
      <c r="EM8" s="244" t="s">
        <v>6</v>
      </c>
      <c r="EN8" s="244" t="s">
        <v>6</v>
      </c>
      <c r="EO8" s="244" t="s">
        <v>6</v>
      </c>
      <c r="EP8" s="244" t="s">
        <v>6</v>
      </c>
      <c r="EQ8" s="244" t="s">
        <v>6</v>
      </c>
      <c r="ER8" s="244" t="s">
        <v>6</v>
      </c>
      <c r="ES8" s="244" t="s">
        <v>6</v>
      </c>
      <c r="ET8" s="244" t="s">
        <v>6</v>
      </c>
      <c r="EU8" s="244" t="s">
        <v>6</v>
      </c>
      <c r="EV8" s="244" t="s">
        <v>6</v>
      </c>
      <c r="EW8" s="244" t="s">
        <v>6</v>
      </c>
      <c r="EX8" s="244" t="s">
        <v>6</v>
      </c>
    </row>
    <row r="9" spans="1:154" ht="13.5">
      <c r="A9" s="240" t="s">
        <v>6</v>
      </c>
      <c r="B9" s="241" t="s">
        <v>6</v>
      </c>
      <c r="C9" s="244" t="s">
        <v>6</v>
      </c>
      <c r="D9" s="244" t="s">
        <v>6</v>
      </c>
      <c r="E9" s="244" t="s">
        <v>6</v>
      </c>
      <c r="F9" s="373" t="s">
        <v>35</v>
      </c>
      <c r="G9" s="374"/>
      <c r="H9" s="375" t="s">
        <v>36</v>
      </c>
      <c r="I9" s="374"/>
      <c r="J9" s="244" t="s">
        <v>6</v>
      </c>
      <c r="K9" s="245" t="s">
        <v>6</v>
      </c>
      <c r="L9" s="245" t="s">
        <v>6</v>
      </c>
      <c r="M9" s="244" t="s">
        <v>6</v>
      </c>
      <c r="N9" s="245" t="s">
        <v>6</v>
      </c>
      <c r="O9" s="244" t="s">
        <v>6</v>
      </c>
      <c r="P9" s="244" t="s">
        <v>6</v>
      </c>
      <c r="Q9" s="244" t="s">
        <v>6</v>
      </c>
      <c r="R9" s="244" t="s">
        <v>6</v>
      </c>
      <c r="S9" s="244" t="s">
        <v>6</v>
      </c>
      <c r="T9" s="244" t="s">
        <v>6</v>
      </c>
      <c r="U9" s="244" t="s">
        <v>6</v>
      </c>
      <c r="V9" s="244" t="s">
        <v>6</v>
      </c>
      <c r="W9" s="244" t="s">
        <v>6</v>
      </c>
      <c r="X9" s="244" t="s">
        <v>6</v>
      </c>
      <c r="Y9" s="244" t="s">
        <v>6</v>
      </c>
      <c r="Z9" s="244" t="s">
        <v>6</v>
      </c>
      <c r="AA9" s="244" t="s">
        <v>6</v>
      </c>
      <c r="AB9" s="244" t="s">
        <v>6</v>
      </c>
      <c r="AC9" s="244" t="s">
        <v>6</v>
      </c>
      <c r="AD9" s="244" t="s">
        <v>6</v>
      </c>
      <c r="AE9" s="244" t="s">
        <v>6</v>
      </c>
      <c r="AF9" s="244" t="s">
        <v>6</v>
      </c>
      <c r="AG9" s="244" t="s">
        <v>6</v>
      </c>
      <c r="AH9" s="244" t="s">
        <v>6</v>
      </c>
      <c r="AI9" s="244" t="s">
        <v>6</v>
      </c>
      <c r="AJ9" s="244" t="s">
        <v>6</v>
      </c>
      <c r="AK9" s="244" t="s">
        <v>6</v>
      </c>
      <c r="AL9" s="244" t="s">
        <v>6</v>
      </c>
      <c r="AM9" s="244" t="s">
        <v>6</v>
      </c>
      <c r="AN9" s="244" t="s">
        <v>6</v>
      </c>
      <c r="AO9" s="244" t="s">
        <v>6</v>
      </c>
      <c r="AP9" s="244" t="s">
        <v>6</v>
      </c>
      <c r="AQ9" s="244" t="s">
        <v>6</v>
      </c>
      <c r="AR9" s="244" t="s">
        <v>6</v>
      </c>
      <c r="AS9" s="244" t="s">
        <v>6</v>
      </c>
      <c r="AT9" s="244" t="s">
        <v>6</v>
      </c>
      <c r="AU9" s="244" t="s">
        <v>6</v>
      </c>
      <c r="AV9" s="244" t="s">
        <v>6</v>
      </c>
      <c r="AW9" s="244" t="s">
        <v>6</v>
      </c>
      <c r="AX9" s="244" t="s">
        <v>6</v>
      </c>
      <c r="AY9" s="244" t="s">
        <v>6</v>
      </c>
      <c r="AZ9" s="244" t="s">
        <v>6</v>
      </c>
      <c r="BA9" s="244" t="s">
        <v>6</v>
      </c>
      <c r="BB9" s="244" t="s">
        <v>6</v>
      </c>
      <c r="BC9" s="244" t="s">
        <v>6</v>
      </c>
      <c r="BD9" s="244" t="s">
        <v>6</v>
      </c>
      <c r="BE9" s="244" t="s">
        <v>6</v>
      </c>
      <c r="BF9" s="244" t="s">
        <v>6</v>
      </c>
      <c r="BG9" s="244" t="s">
        <v>6</v>
      </c>
      <c r="BH9" s="244" t="s">
        <v>6</v>
      </c>
      <c r="BI9" s="244" t="s">
        <v>6</v>
      </c>
      <c r="BJ9" s="244" t="s">
        <v>6</v>
      </c>
      <c r="BK9" s="244" t="s">
        <v>6</v>
      </c>
      <c r="BL9" s="244" t="s">
        <v>6</v>
      </c>
      <c r="BM9" s="244" t="s">
        <v>6</v>
      </c>
      <c r="BN9" s="244" t="s">
        <v>6</v>
      </c>
      <c r="BO9" s="244" t="s">
        <v>6</v>
      </c>
      <c r="BP9" s="244" t="s">
        <v>6</v>
      </c>
      <c r="BQ9" s="244" t="s">
        <v>6</v>
      </c>
      <c r="BR9" s="244" t="s">
        <v>6</v>
      </c>
      <c r="BS9" s="244" t="s">
        <v>6</v>
      </c>
      <c r="BT9" s="244" t="s">
        <v>6</v>
      </c>
      <c r="BU9" s="244" t="s">
        <v>6</v>
      </c>
      <c r="BV9" s="244" t="s">
        <v>6</v>
      </c>
      <c r="BW9" s="244" t="s">
        <v>6</v>
      </c>
      <c r="BX9" s="244" t="s">
        <v>6</v>
      </c>
      <c r="BY9" s="244" t="s">
        <v>6</v>
      </c>
      <c r="BZ9" s="244" t="s">
        <v>6</v>
      </c>
      <c r="CA9" s="244" t="s">
        <v>6</v>
      </c>
      <c r="CB9" s="244" t="s">
        <v>6</v>
      </c>
      <c r="CC9" s="244" t="s">
        <v>6</v>
      </c>
      <c r="CD9" s="244" t="s">
        <v>6</v>
      </c>
      <c r="CE9" s="244" t="s">
        <v>6</v>
      </c>
      <c r="CF9" s="244" t="s">
        <v>6</v>
      </c>
      <c r="CG9" s="244" t="s">
        <v>6</v>
      </c>
      <c r="CH9" s="244" t="s">
        <v>6</v>
      </c>
      <c r="CI9" s="244" t="s">
        <v>6</v>
      </c>
      <c r="CJ9" s="244" t="s">
        <v>6</v>
      </c>
      <c r="CK9" s="244" t="s">
        <v>6</v>
      </c>
      <c r="CL9" s="244" t="s">
        <v>6</v>
      </c>
      <c r="CM9" s="244" t="s">
        <v>6</v>
      </c>
      <c r="CN9" s="244" t="s">
        <v>6</v>
      </c>
      <c r="CO9" s="244" t="s">
        <v>6</v>
      </c>
      <c r="CP9" s="244" t="s">
        <v>6</v>
      </c>
      <c r="CQ9" s="244" t="s">
        <v>6</v>
      </c>
      <c r="CR9" s="244" t="s">
        <v>6</v>
      </c>
      <c r="CS9" s="244" t="s">
        <v>6</v>
      </c>
      <c r="CT9" s="244" t="s">
        <v>6</v>
      </c>
      <c r="CU9" s="244" t="s">
        <v>6</v>
      </c>
      <c r="CV9" s="244" t="s">
        <v>6</v>
      </c>
      <c r="CW9" s="244" t="s">
        <v>6</v>
      </c>
      <c r="CX9" s="244" t="s">
        <v>6</v>
      </c>
      <c r="CY9" s="244" t="s">
        <v>6</v>
      </c>
      <c r="CZ9" s="244" t="s">
        <v>6</v>
      </c>
      <c r="DA9" s="244" t="s">
        <v>6</v>
      </c>
      <c r="DB9" s="244" t="s">
        <v>6</v>
      </c>
      <c r="DC9" s="244" t="s">
        <v>6</v>
      </c>
      <c r="DD9" s="244" t="s">
        <v>6</v>
      </c>
      <c r="DE9" s="244" t="s">
        <v>6</v>
      </c>
      <c r="DF9" s="244" t="s">
        <v>6</v>
      </c>
      <c r="DG9" s="244" t="s">
        <v>6</v>
      </c>
      <c r="DH9" s="244" t="s">
        <v>6</v>
      </c>
      <c r="DI9" s="244" t="s">
        <v>6</v>
      </c>
      <c r="DJ9" s="244" t="s">
        <v>6</v>
      </c>
      <c r="DK9" s="244" t="s">
        <v>6</v>
      </c>
      <c r="DL9" s="244" t="s">
        <v>6</v>
      </c>
      <c r="DM9" s="244" t="s">
        <v>6</v>
      </c>
      <c r="DN9" s="244" t="s">
        <v>6</v>
      </c>
      <c r="DO9" s="244" t="s">
        <v>6</v>
      </c>
      <c r="DP9" s="244" t="s">
        <v>6</v>
      </c>
      <c r="DQ9" s="244" t="s">
        <v>6</v>
      </c>
      <c r="DR9" s="244" t="s">
        <v>6</v>
      </c>
      <c r="DS9" s="244" t="s">
        <v>6</v>
      </c>
      <c r="DT9" s="244" t="s">
        <v>6</v>
      </c>
      <c r="DU9" s="244" t="s">
        <v>6</v>
      </c>
      <c r="DV9" s="244" t="s">
        <v>6</v>
      </c>
      <c r="DW9" s="244" t="s">
        <v>6</v>
      </c>
      <c r="DX9" s="244" t="s">
        <v>6</v>
      </c>
      <c r="DY9" s="244" t="s">
        <v>6</v>
      </c>
      <c r="DZ9" s="244" t="s">
        <v>6</v>
      </c>
      <c r="EA9" s="244" t="s">
        <v>6</v>
      </c>
      <c r="EB9" s="244" t="s">
        <v>6</v>
      </c>
      <c r="EC9" s="244" t="s">
        <v>6</v>
      </c>
      <c r="ED9" s="244" t="s">
        <v>6</v>
      </c>
      <c r="EE9" s="244" t="s">
        <v>6</v>
      </c>
      <c r="EF9" s="244" t="s">
        <v>6</v>
      </c>
      <c r="EG9" s="244" t="s">
        <v>6</v>
      </c>
      <c r="EH9" s="244" t="s">
        <v>6</v>
      </c>
      <c r="EI9" s="244" t="s">
        <v>6</v>
      </c>
      <c r="EJ9" s="244" t="s">
        <v>6</v>
      </c>
      <c r="EK9" s="244" t="s">
        <v>6</v>
      </c>
      <c r="EL9" s="244" t="s">
        <v>6</v>
      </c>
      <c r="EM9" s="244" t="s">
        <v>6</v>
      </c>
      <c r="EN9" s="244" t="s">
        <v>6</v>
      </c>
      <c r="EO9" s="244" t="s">
        <v>6</v>
      </c>
      <c r="EP9" s="244" t="s">
        <v>6</v>
      </c>
      <c r="EQ9" s="244" t="s">
        <v>6</v>
      </c>
      <c r="ER9" s="244" t="s">
        <v>6</v>
      </c>
      <c r="ES9" s="244" t="s">
        <v>6</v>
      </c>
      <c r="ET9" s="244" t="s">
        <v>6</v>
      </c>
      <c r="EU9" s="244" t="s">
        <v>6</v>
      </c>
      <c r="EV9" s="244" t="s">
        <v>6</v>
      </c>
      <c r="EW9" s="244" t="s">
        <v>6</v>
      </c>
      <c r="EX9" s="244" t="s">
        <v>6</v>
      </c>
    </row>
    <row r="10" spans="1:154" ht="13.5">
      <c r="A10" s="240" t="s">
        <v>6</v>
      </c>
      <c r="B10" s="241" t="s">
        <v>6</v>
      </c>
      <c r="C10" s="244" t="s">
        <v>37</v>
      </c>
      <c r="D10" s="244"/>
      <c r="E10" s="244" t="s">
        <v>6</v>
      </c>
      <c r="F10" s="246" t="s">
        <v>38</v>
      </c>
      <c r="G10" s="247" t="s">
        <v>6</v>
      </c>
      <c r="H10" s="246" t="s">
        <v>39</v>
      </c>
      <c r="I10" s="232" t="s">
        <v>6</v>
      </c>
      <c r="J10" s="244" t="s">
        <v>6</v>
      </c>
      <c r="K10" s="244" t="s">
        <v>6</v>
      </c>
      <c r="L10" s="244" t="s">
        <v>6</v>
      </c>
      <c r="M10" s="244" t="s">
        <v>6</v>
      </c>
      <c r="N10" s="244" t="s">
        <v>6</v>
      </c>
      <c r="O10" s="244" t="s">
        <v>6</v>
      </c>
      <c r="P10" s="244" t="s">
        <v>6</v>
      </c>
      <c r="Q10" s="244" t="s">
        <v>6</v>
      </c>
      <c r="R10" s="244" t="s">
        <v>6</v>
      </c>
      <c r="S10" s="244" t="s">
        <v>6</v>
      </c>
      <c r="T10" s="244" t="s">
        <v>6</v>
      </c>
      <c r="U10" s="244" t="s">
        <v>6</v>
      </c>
      <c r="V10" s="244" t="s">
        <v>6</v>
      </c>
      <c r="W10" s="244" t="s">
        <v>6</v>
      </c>
      <c r="X10" s="244" t="s">
        <v>6</v>
      </c>
      <c r="Y10" s="244" t="s">
        <v>6</v>
      </c>
      <c r="Z10" s="244" t="s">
        <v>6</v>
      </c>
      <c r="AA10" s="244" t="s">
        <v>6</v>
      </c>
      <c r="AB10" s="244" t="s">
        <v>6</v>
      </c>
      <c r="AC10" s="244" t="s">
        <v>6</v>
      </c>
      <c r="AD10" s="244" t="s">
        <v>6</v>
      </c>
      <c r="AE10" s="244" t="s">
        <v>6</v>
      </c>
      <c r="AF10" s="244" t="s">
        <v>6</v>
      </c>
      <c r="AG10" s="244" t="s">
        <v>6</v>
      </c>
      <c r="AH10" s="244" t="s">
        <v>6</v>
      </c>
      <c r="AI10" s="244" t="s">
        <v>6</v>
      </c>
      <c r="AJ10" s="244" t="s">
        <v>6</v>
      </c>
      <c r="AK10" s="244" t="s">
        <v>6</v>
      </c>
      <c r="AL10" s="244" t="s">
        <v>6</v>
      </c>
      <c r="AM10" s="244" t="s">
        <v>6</v>
      </c>
      <c r="AN10" s="244" t="s">
        <v>6</v>
      </c>
      <c r="AO10" s="244" t="s">
        <v>6</v>
      </c>
      <c r="AP10" s="244" t="s">
        <v>6</v>
      </c>
      <c r="AQ10" s="244" t="s">
        <v>6</v>
      </c>
      <c r="AR10" s="244" t="s">
        <v>6</v>
      </c>
      <c r="AS10" s="244" t="s">
        <v>6</v>
      </c>
      <c r="AT10" s="244" t="s">
        <v>6</v>
      </c>
      <c r="AU10" s="244" t="s">
        <v>6</v>
      </c>
      <c r="AV10" s="244" t="s">
        <v>6</v>
      </c>
      <c r="AW10" s="244" t="s">
        <v>6</v>
      </c>
      <c r="AX10" s="244" t="s">
        <v>6</v>
      </c>
      <c r="AY10" s="244" t="s">
        <v>6</v>
      </c>
      <c r="AZ10" s="244" t="s">
        <v>6</v>
      </c>
      <c r="BA10" s="244" t="s">
        <v>6</v>
      </c>
      <c r="BB10" s="244" t="s">
        <v>6</v>
      </c>
      <c r="BC10" s="244" t="s">
        <v>6</v>
      </c>
      <c r="BD10" s="244" t="s">
        <v>6</v>
      </c>
      <c r="BE10" s="244" t="s">
        <v>6</v>
      </c>
      <c r="BF10" s="244" t="s">
        <v>6</v>
      </c>
      <c r="BG10" s="244" t="s">
        <v>6</v>
      </c>
      <c r="BH10" s="244" t="s">
        <v>6</v>
      </c>
      <c r="BI10" s="244" t="s">
        <v>6</v>
      </c>
      <c r="BJ10" s="244" t="s">
        <v>6</v>
      </c>
      <c r="BK10" s="244" t="s">
        <v>6</v>
      </c>
      <c r="BL10" s="244" t="s">
        <v>6</v>
      </c>
      <c r="BM10" s="244" t="s">
        <v>6</v>
      </c>
      <c r="BN10" s="244" t="s">
        <v>6</v>
      </c>
      <c r="BO10" s="244" t="s">
        <v>6</v>
      </c>
      <c r="BP10" s="244" t="s">
        <v>6</v>
      </c>
      <c r="BQ10" s="244" t="s">
        <v>6</v>
      </c>
      <c r="BR10" s="244" t="s">
        <v>6</v>
      </c>
      <c r="BS10" s="244" t="s">
        <v>6</v>
      </c>
      <c r="BT10" s="244" t="s">
        <v>6</v>
      </c>
      <c r="BU10" s="244" t="s">
        <v>6</v>
      </c>
      <c r="BV10" s="244" t="s">
        <v>6</v>
      </c>
      <c r="BW10" s="244" t="s">
        <v>6</v>
      </c>
      <c r="BX10" s="244" t="s">
        <v>6</v>
      </c>
      <c r="BY10" s="244" t="s">
        <v>6</v>
      </c>
      <c r="BZ10" s="244" t="s">
        <v>6</v>
      </c>
      <c r="CA10" s="244" t="s">
        <v>6</v>
      </c>
      <c r="CB10" s="244" t="s">
        <v>6</v>
      </c>
      <c r="CC10" s="244" t="s">
        <v>6</v>
      </c>
      <c r="CD10" s="244" t="s">
        <v>6</v>
      </c>
      <c r="CE10" s="244" t="s">
        <v>6</v>
      </c>
      <c r="CF10" s="244" t="s">
        <v>6</v>
      </c>
      <c r="CG10" s="244" t="s">
        <v>6</v>
      </c>
      <c r="CH10" s="244" t="s">
        <v>6</v>
      </c>
      <c r="CI10" s="244" t="s">
        <v>6</v>
      </c>
      <c r="CJ10" s="244" t="s">
        <v>6</v>
      </c>
      <c r="CK10" s="244" t="s">
        <v>6</v>
      </c>
      <c r="CL10" s="244" t="s">
        <v>6</v>
      </c>
      <c r="CM10" s="244" t="s">
        <v>6</v>
      </c>
      <c r="CN10" s="244" t="s">
        <v>6</v>
      </c>
      <c r="CO10" s="244" t="s">
        <v>6</v>
      </c>
      <c r="CP10" s="244" t="s">
        <v>6</v>
      </c>
      <c r="CQ10" s="244" t="s">
        <v>6</v>
      </c>
      <c r="CR10" s="244" t="s">
        <v>6</v>
      </c>
      <c r="CS10" s="244" t="s">
        <v>6</v>
      </c>
      <c r="CT10" s="244" t="s">
        <v>6</v>
      </c>
      <c r="CU10" s="244" t="s">
        <v>6</v>
      </c>
      <c r="CV10" s="244" t="s">
        <v>6</v>
      </c>
      <c r="CW10" s="244" t="s">
        <v>6</v>
      </c>
      <c r="CX10" s="244" t="s">
        <v>6</v>
      </c>
      <c r="CY10" s="244" t="s">
        <v>6</v>
      </c>
      <c r="CZ10" s="244" t="s">
        <v>6</v>
      </c>
      <c r="DA10" s="244" t="s">
        <v>6</v>
      </c>
      <c r="DB10" s="244" t="s">
        <v>6</v>
      </c>
      <c r="DC10" s="244" t="s">
        <v>6</v>
      </c>
      <c r="DD10" s="244" t="s">
        <v>6</v>
      </c>
      <c r="DE10" s="244" t="s">
        <v>6</v>
      </c>
      <c r="DF10" s="244" t="s">
        <v>6</v>
      </c>
      <c r="DG10" s="244" t="s">
        <v>6</v>
      </c>
      <c r="DH10" s="244" t="s">
        <v>6</v>
      </c>
      <c r="DI10" s="244" t="s">
        <v>6</v>
      </c>
      <c r="DJ10" s="244" t="s">
        <v>6</v>
      </c>
      <c r="DK10" s="244" t="s">
        <v>6</v>
      </c>
      <c r="DL10" s="244" t="s">
        <v>6</v>
      </c>
      <c r="DM10" s="244" t="s">
        <v>6</v>
      </c>
      <c r="DN10" s="244" t="s">
        <v>6</v>
      </c>
      <c r="DO10" s="244" t="s">
        <v>6</v>
      </c>
      <c r="DP10" s="244" t="s">
        <v>6</v>
      </c>
      <c r="DQ10" s="244" t="s">
        <v>6</v>
      </c>
      <c r="DR10" s="244" t="s">
        <v>6</v>
      </c>
      <c r="DS10" s="244" t="s">
        <v>6</v>
      </c>
      <c r="DT10" s="244" t="s">
        <v>6</v>
      </c>
      <c r="DU10" s="244" t="s">
        <v>6</v>
      </c>
      <c r="DV10" s="244" t="s">
        <v>6</v>
      </c>
      <c r="DW10" s="244" t="s">
        <v>6</v>
      </c>
      <c r="DX10" s="244" t="s">
        <v>6</v>
      </c>
      <c r="DY10" s="244" t="s">
        <v>6</v>
      </c>
      <c r="DZ10" s="244" t="s">
        <v>6</v>
      </c>
      <c r="EA10" s="244" t="s">
        <v>6</v>
      </c>
      <c r="EB10" s="244" t="s">
        <v>6</v>
      </c>
      <c r="EC10" s="244" t="s">
        <v>6</v>
      </c>
      <c r="ED10" s="244" t="s">
        <v>6</v>
      </c>
      <c r="EE10" s="244" t="s">
        <v>6</v>
      </c>
      <c r="EF10" s="244" t="s">
        <v>6</v>
      </c>
      <c r="EG10" s="244" t="s">
        <v>6</v>
      </c>
      <c r="EH10" s="244" t="s">
        <v>6</v>
      </c>
      <c r="EI10" s="244" t="s">
        <v>6</v>
      </c>
      <c r="EJ10" s="244" t="s">
        <v>6</v>
      </c>
      <c r="EK10" s="244" t="s">
        <v>6</v>
      </c>
      <c r="EL10" s="244" t="s">
        <v>6</v>
      </c>
      <c r="EM10" s="244" t="s">
        <v>6</v>
      </c>
      <c r="EN10" s="244" t="s">
        <v>6</v>
      </c>
      <c r="EO10" s="244" t="s">
        <v>6</v>
      </c>
      <c r="EP10" s="244" t="s">
        <v>6</v>
      </c>
      <c r="EQ10" s="244" t="s">
        <v>6</v>
      </c>
      <c r="ER10" s="244" t="s">
        <v>6</v>
      </c>
      <c r="ES10" s="244" t="s">
        <v>6</v>
      </c>
      <c r="ET10" s="244" t="s">
        <v>6</v>
      </c>
      <c r="EU10" s="244" t="s">
        <v>6</v>
      </c>
      <c r="EV10" s="244" t="s">
        <v>6</v>
      </c>
      <c r="EW10" s="244" t="s">
        <v>6</v>
      </c>
      <c r="EX10" s="244" t="s">
        <v>6</v>
      </c>
    </row>
    <row r="11" spans="1:154" ht="13.5">
      <c r="A11" s="240" t="s">
        <v>6</v>
      </c>
      <c r="B11" s="241" t="s">
        <v>6</v>
      </c>
      <c r="C11" s="244" t="s">
        <v>40</v>
      </c>
      <c r="D11" s="244"/>
      <c r="E11" s="244"/>
      <c r="F11" s="248" t="s">
        <v>41</v>
      </c>
      <c r="G11" s="249" t="s">
        <v>6</v>
      </c>
      <c r="H11" s="248" t="s">
        <v>42</v>
      </c>
      <c r="I11" s="232" t="s">
        <v>6</v>
      </c>
      <c r="J11" s="244" t="s">
        <v>6</v>
      </c>
      <c r="K11" s="244" t="s">
        <v>6</v>
      </c>
      <c r="L11" s="244" t="s">
        <v>6</v>
      </c>
      <c r="M11" s="244" t="s">
        <v>6</v>
      </c>
      <c r="N11" s="244" t="s">
        <v>6</v>
      </c>
      <c r="O11" s="244" t="s">
        <v>6</v>
      </c>
      <c r="P11" s="244" t="s">
        <v>6</v>
      </c>
      <c r="Q11" s="244" t="s">
        <v>6</v>
      </c>
      <c r="R11" s="244" t="s">
        <v>6</v>
      </c>
      <c r="S11" s="244" t="s">
        <v>6</v>
      </c>
      <c r="T11" s="244" t="s">
        <v>6</v>
      </c>
      <c r="U11" s="244" t="s">
        <v>6</v>
      </c>
      <c r="V11" s="244" t="s">
        <v>6</v>
      </c>
      <c r="W11" s="244" t="s">
        <v>6</v>
      </c>
      <c r="X11" s="244" t="s">
        <v>6</v>
      </c>
      <c r="Y11" s="244" t="s">
        <v>6</v>
      </c>
      <c r="Z11" s="244" t="s">
        <v>6</v>
      </c>
      <c r="AA11" s="244" t="s">
        <v>6</v>
      </c>
      <c r="AB11" s="244" t="s">
        <v>6</v>
      </c>
      <c r="AC11" s="244" t="s">
        <v>6</v>
      </c>
      <c r="AD11" s="244" t="s">
        <v>6</v>
      </c>
      <c r="AE11" s="244" t="s">
        <v>6</v>
      </c>
      <c r="AF11" s="244" t="s">
        <v>6</v>
      </c>
      <c r="AG11" s="244" t="s">
        <v>6</v>
      </c>
      <c r="AH11" s="244" t="s">
        <v>6</v>
      </c>
      <c r="AI11" s="244" t="s">
        <v>6</v>
      </c>
      <c r="AJ11" s="244" t="s">
        <v>6</v>
      </c>
      <c r="AK11" s="244" t="s">
        <v>6</v>
      </c>
      <c r="AL11" s="244" t="s">
        <v>6</v>
      </c>
      <c r="AM11" s="244" t="s">
        <v>6</v>
      </c>
      <c r="AN11" s="244" t="s">
        <v>6</v>
      </c>
      <c r="AO11" s="244" t="s">
        <v>6</v>
      </c>
      <c r="AP11" s="244" t="s">
        <v>6</v>
      </c>
      <c r="AQ11" s="244" t="s">
        <v>6</v>
      </c>
      <c r="AR11" s="244" t="s">
        <v>6</v>
      </c>
      <c r="AS11" s="244" t="s">
        <v>6</v>
      </c>
      <c r="AT11" s="244" t="s">
        <v>6</v>
      </c>
      <c r="AU11" s="244" t="s">
        <v>6</v>
      </c>
      <c r="AV11" s="244" t="s">
        <v>6</v>
      </c>
      <c r="AW11" s="244" t="s">
        <v>6</v>
      </c>
      <c r="AX11" s="244" t="s">
        <v>6</v>
      </c>
      <c r="AY11" s="244" t="s">
        <v>6</v>
      </c>
      <c r="AZ11" s="244" t="s">
        <v>6</v>
      </c>
      <c r="BA11" s="244" t="s">
        <v>6</v>
      </c>
      <c r="BB11" s="244" t="s">
        <v>6</v>
      </c>
      <c r="BC11" s="244" t="s">
        <v>6</v>
      </c>
      <c r="BD11" s="244" t="s">
        <v>6</v>
      </c>
      <c r="BE11" s="244" t="s">
        <v>6</v>
      </c>
      <c r="BF11" s="244" t="s">
        <v>6</v>
      </c>
      <c r="BG11" s="244" t="s">
        <v>6</v>
      </c>
      <c r="BH11" s="244" t="s">
        <v>6</v>
      </c>
      <c r="BI11" s="244" t="s">
        <v>6</v>
      </c>
      <c r="BJ11" s="244" t="s">
        <v>6</v>
      </c>
      <c r="BK11" s="244" t="s">
        <v>6</v>
      </c>
      <c r="BL11" s="244" t="s">
        <v>6</v>
      </c>
      <c r="BM11" s="244" t="s">
        <v>6</v>
      </c>
      <c r="BN11" s="244" t="s">
        <v>6</v>
      </c>
      <c r="BO11" s="244" t="s">
        <v>6</v>
      </c>
      <c r="BP11" s="244" t="s">
        <v>6</v>
      </c>
      <c r="BQ11" s="244" t="s">
        <v>6</v>
      </c>
      <c r="BR11" s="244" t="s">
        <v>6</v>
      </c>
      <c r="BS11" s="244" t="s">
        <v>6</v>
      </c>
      <c r="BT11" s="244" t="s">
        <v>6</v>
      </c>
      <c r="BU11" s="244" t="s">
        <v>6</v>
      </c>
      <c r="BV11" s="244" t="s">
        <v>6</v>
      </c>
      <c r="BW11" s="244" t="s">
        <v>6</v>
      </c>
      <c r="BX11" s="244" t="s">
        <v>6</v>
      </c>
      <c r="BY11" s="244" t="s">
        <v>6</v>
      </c>
      <c r="BZ11" s="244" t="s">
        <v>6</v>
      </c>
      <c r="CA11" s="244" t="s">
        <v>6</v>
      </c>
      <c r="CB11" s="244" t="s">
        <v>6</v>
      </c>
      <c r="CC11" s="244" t="s">
        <v>6</v>
      </c>
      <c r="CD11" s="244" t="s">
        <v>6</v>
      </c>
      <c r="CE11" s="244" t="s">
        <v>6</v>
      </c>
      <c r="CF11" s="244" t="s">
        <v>6</v>
      </c>
      <c r="CG11" s="244" t="s">
        <v>6</v>
      </c>
      <c r="CH11" s="244" t="s">
        <v>6</v>
      </c>
      <c r="CI11" s="244" t="s">
        <v>6</v>
      </c>
      <c r="CJ11" s="244" t="s">
        <v>6</v>
      </c>
      <c r="CK11" s="244" t="s">
        <v>6</v>
      </c>
      <c r="CL11" s="244" t="s">
        <v>6</v>
      </c>
      <c r="CM11" s="244" t="s">
        <v>6</v>
      </c>
      <c r="CN11" s="244" t="s">
        <v>6</v>
      </c>
      <c r="CO11" s="244" t="s">
        <v>6</v>
      </c>
      <c r="CP11" s="244" t="s">
        <v>6</v>
      </c>
      <c r="CQ11" s="244" t="s">
        <v>6</v>
      </c>
      <c r="CR11" s="244" t="s">
        <v>6</v>
      </c>
      <c r="CS11" s="244" t="s">
        <v>6</v>
      </c>
      <c r="CT11" s="244" t="s">
        <v>6</v>
      </c>
      <c r="CU11" s="244" t="s">
        <v>6</v>
      </c>
      <c r="CV11" s="244" t="s">
        <v>6</v>
      </c>
      <c r="CW11" s="244" t="s">
        <v>6</v>
      </c>
      <c r="CX11" s="244" t="s">
        <v>6</v>
      </c>
      <c r="CY11" s="244" t="s">
        <v>6</v>
      </c>
      <c r="CZ11" s="244" t="s">
        <v>6</v>
      </c>
      <c r="DA11" s="244" t="s">
        <v>6</v>
      </c>
      <c r="DB11" s="244" t="s">
        <v>6</v>
      </c>
      <c r="DC11" s="244" t="s">
        <v>6</v>
      </c>
      <c r="DD11" s="244" t="s">
        <v>6</v>
      </c>
      <c r="DE11" s="244" t="s">
        <v>6</v>
      </c>
      <c r="DF11" s="244" t="s">
        <v>6</v>
      </c>
      <c r="DG11" s="244" t="s">
        <v>6</v>
      </c>
      <c r="DH11" s="244" t="s">
        <v>6</v>
      </c>
      <c r="DI11" s="244" t="s">
        <v>6</v>
      </c>
      <c r="DJ11" s="244" t="s">
        <v>6</v>
      </c>
      <c r="DK11" s="244" t="s">
        <v>6</v>
      </c>
      <c r="DL11" s="244" t="s">
        <v>6</v>
      </c>
      <c r="DM11" s="244" t="s">
        <v>6</v>
      </c>
      <c r="DN11" s="244" t="s">
        <v>6</v>
      </c>
      <c r="DO11" s="244" t="s">
        <v>6</v>
      </c>
      <c r="DP11" s="244" t="s">
        <v>6</v>
      </c>
      <c r="DQ11" s="244" t="s">
        <v>6</v>
      </c>
      <c r="DR11" s="244" t="s">
        <v>6</v>
      </c>
      <c r="DS11" s="244" t="s">
        <v>6</v>
      </c>
      <c r="DT11" s="244" t="s">
        <v>6</v>
      </c>
      <c r="DU11" s="244" t="s">
        <v>6</v>
      </c>
      <c r="DV11" s="244" t="s">
        <v>6</v>
      </c>
      <c r="DW11" s="244" t="s">
        <v>6</v>
      </c>
      <c r="DX11" s="244" t="s">
        <v>6</v>
      </c>
      <c r="DY11" s="244" t="s">
        <v>6</v>
      </c>
      <c r="DZ11" s="244" t="s">
        <v>6</v>
      </c>
      <c r="EA11" s="244" t="s">
        <v>6</v>
      </c>
      <c r="EB11" s="244" t="s">
        <v>6</v>
      </c>
      <c r="EC11" s="244" t="s">
        <v>6</v>
      </c>
      <c r="ED11" s="244" t="s">
        <v>6</v>
      </c>
      <c r="EE11" s="244" t="s">
        <v>6</v>
      </c>
      <c r="EF11" s="244" t="s">
        <v>6</v>
      </c>
      <c r="EG11" s="244" t="s">
        <v>6</v>
      </c>
      <c r="EH11" s="244" t="s">
        <v>6</v>
      </c>
      <c r="EI11" s="244" t="s">
        <v>6</v>
      </c>
      <c r="EJ11" s="244" t="s">
        <v>6</v>
      </c>
      <c r="EK11" s="244" t="s">
        <v>6</v>
      </c>
      <c r="EL11" s="244" t="s">
        <v>6</v>
      </c>
      <c r="EM11" s="244" t="s">
        <v>6</v>
      </c>
      <c r="EN11" s="244" t="s">
        <v>6</v>
      </c>
      <c r="EO11" s="244" t="s">
        <v>6</v>
      </c>
      <c r="EP11" s="244" t="s">
        <v>6</v>
      </c>
      <c r="EQ11" s="244" t="s">
        <v>6</v>
      </c>
      <c r="ER11" s="244" t="s">
        <v>6</v>
      </c>
      <c r="ES11" s="244" t="s">
        <v>6</v>
      </c>
      <c r="ET11" s="244" t="s">
        <v>6</v>
      </c>
      <c r="EU11" s="244" t="s">
        <v>6</v>
      </c>
      <c r="EV11" s="244" t="s">
        <v>6</v>
      </c>
      <c r="EW11" s="244" t="s">
        <v>6</v>
      </c>
      <c r="EX11" s="244" t="s">
        <v>6</v>
      </c>
    </row>
    <row r="12" spans="1:154" ht="13.5">
      <c r="A12" s="240" t="s">
        <v>6</v>
      </c>
      <c r="B12" s="241" t="s">
        <v>6</v>
      </c>
      <c r="C12" s="244" t="s">
        <v>6</v>
      </c>
      <c r="D12" s="244" t="s">
        <v>43</v>
      </c>
      <c r="E12" s="244"/>
      <c r="F12" s="247" t="s">
        <v>44</v>
      </c>
      <c r="G12" s="250">
        <v>0.52</v>
      </c>
      <c r="H12" s="247" t="s">
        <v>45</v>
      </c>
      <c r="I12" s="251">
        <v>0.51</v>
      </c>
      <c r="J12" s="244" t="s">
        <v>6</v>
      </c>
      <c r="K12" s="244" t="s">
        <v>6</v>
      </c>
      <c r="L12" s="244" t="s">
        <v>6</v>
      </c>
      <c r="M12" s="244" t="s">
        <v>6</v>
      </c>
      <c r="N12" s="244" t="s">
        <v>6</v>
      </c>
      <c r="O12" s="244" t="s">
        <v>6</v>
      </c>
      <c r="P12" s="244" t="s">
        <v>6</v>
      </c>
      <c r="Q12" s="244" t="s">
        <v>6</v>
      </c>
      <c r="R12" s="244" t="s">
        <v>6</v>
      </c>
      <c r="S12" s="244" t="s">
        <v>6</v>
      </c>
      <c r="T12" s="244" t="s">
        <v>6</v>
      </c>
      <c r="U12" s="244" t="s">
        <v>6</v>
      </c>
      <c r="V12" s="244" t="s">
        <v>6</v>
      </c>
      <c r="W12" s="244" t="s">
        <v>6</v>
      </c>
      <c r="X12" s="244" t="s">
        <v>6</v>
      </c>
      <c r="Y12" s="244" t="s">
        <v>6</v>
      </c>
      <c r="Z12" s="244" t="s">
        <v>6</v>
      </c>
      <c r="AA12" s="244" t="s">
        <v>6</v>
      </c>
      <c r="AB12" s="244" t="s">
        <v>6</v>
      </c>
      <c r="AC12" s="244" t="s">
        <v>6</v>
      </c>
      <c r="AD12" s="244" t="s">
        <v>6</v>
      </c>
      <c r="AE12" s="244" t="s">
        <v>6</v>
      </c>
      <c r="AF12" s="244" t="s">
        <v>6</v>
      </c>
      <c r="AG12" s="244" t="s">
        <v>6</v>
      </c>
      <c r="AH12" s="244" t="s">
        <v>6</v>
      </c>
      <c r="AI12" s="244" t="s">
        <v>6</v>
      </c>
      <c r="AJ12" s="244" t="s">
        <v>6</v>
      </c>
      <c r="AK12" s="244" t="s">
        <v>6</v>
      </c>
      <c r="AL12" s="244" t="s">
        <v>6</v>
      </c>
      <c r="AM12" s="244" t="s">
        <v>6</v>
      </c>
      <c r="AN12" s="244" t="s">
        <v>6</v>
      </c>
      <c r="AO12" s="244" t="s">
        <v>6</v>
      </c>
      <c r="AP12" s="244" t="s">
        <v>6</v>
      </c>
      <c r="AQ12" s="244" t="s">
        <v>6</v>
      </c>
      <c r="AR12" s="244" t="s">
        <v>6</v>
      </c>
      <c r="AS12" s="244" t="s">
        <v>6</v>
      </c>
      <c r="AT12" s="244" t="s">
        <v>6</v>
      </c>
      <c r="AU12" s="244" t="s">
        <v>6</v>
      </c>
      <c r="AV12" s="244" t="s">
        <v>6</v>
      </c>
      <c r="AW12" s="244" t="s">
        <v>6</v>
      </c>
      <c r="AX12" s="244" t="s">
        <v>6</v>
      </c>
      <c r="AY12" s="244" t="s">
        <v>6</v>
      </c>
      <c r="AZ12" s="244" t="s">
        <v>6</v>
      </c>
      <c r="BA12" s="244" t="s">
        <v>6</v>
      </c>
      <c r="BB12" s="244" t="s">
        <v>6</v>
      </c>
      <c r="BC12" s="244" t="s">
        <v>6</v>
      </c>
      <c r="BD12" s="244" t="s">
        <v>6</v>
      </c>
      <c r="BE12" s="244" t="s">
        <v>6</v>
      </c>
      <c r="BF12" s="244" t="s">
        <v>6</v>
      </c>
      <c r="BG12" s="244" t="s">
        <v>6</v>
      </c>
      <c r="BH12" s="244" t="s">
        <v>6</v>
      </c>
      <c r="BI12" s="244" t="s">
        <v>6</v>
      </c>
      <c r="BJ12" s="244" t="s">
        <v>6</v>
      </c>
      <c r="BK12" s="244" t="s">
        <v>6</v>
      </c>
      <c r="BL12" s="244" t="s">
        <v>6</v>
      </c>
      <c r="BM12" s="244" t="s">
        <v>6</v>
      </c>
      <c r="BN12" s="244" t="s">
        <v>6</v>
      </c>
      <c r="BO12" s="244" t="s">
        <v>6</v>
      </c>
      <c r="BP12" s="244" t="s">
        <v>6</v>
      </c>
      <c r="BQ12" s="244" t="s">
        <v>6</v>
      </c>
      <c r="BR12" s="244" t="s">
        <v>6</v>
      </c>
      <c r="BS12" s="244" t="s">
        <v>6</v>
      </c>
      <c r="BT12" s="244" t="s">
        <v>6</v>
      </c>
      <c r="BU12" s="244" t="s">
        <v>6</v>
      </c>
      <c r="BV12" s="244" t="s">
        <v>6</v>
      </c>
      <c r="BW12" s="244" t="s">
        <v>6</v>
      </c>
      <c r="BX12" s="244" t="s">
        <v>6</v>
      </c>
      <c r="BY12" s="244" t="s">
        <v>6</v>
      </c>
      <c r="BZ12" s="244" t="s">
        <v>6</v>
      </c>
      <c r="CA12" s="244" t="s">
        <v>6</v>
      </c>
      <c r="CB12" s="244" t="s">
        <v>6</v>
      </c>
      <c r="CC12" s="244" t="s">
        <v>6</v>
      </c>
      <c r="CD12" s="244" t="s">
        <v>6</v>
      </c>
      <c r="CE12" s="244" t="s">
        <v>6</v>
      </c>
      <c r="CF12" s="244" t="s">
        <v>6</v>
      </c>
      <c r="CG12" s="244" t="s">
        <v>6</v>
      </c>
      <c r="CH12" s="244" t="s">
        <v>6</v>
      </c>
      <c r="CI12" s="244" t="s">
        <v>6</v>
      </c>
      <c r="CJ12" s="244" t="s">
        <v>6</v>
      </c>
      <c r="CK12" s="244" t="s">
        <v>6</v>
      </c>
      <c r="CL12" s="244" t="s">
        <v>6</v>
      </c>
      <c r="CM12" s="244" t="s">
        <v>6</v>
      </c>
      <c r="CN12" s="244" t="s">
        <v>6</v>
      </c>
      <c r="CO12" s="244" t="s">
        <v>6</v>
      </c>
      <c r="CP12" s="244" t="s">
        <v>6</v>
      </c>
      <c r="CQ12" s="244" t="s">
        <v>6</v>
      </c>
      <c r="CR12" s="244" t="s">
        <v>6</v>
      </c>
      <c r="CS12" s="244" t="s">
        <v>6</v>
      </c>
      <c r="CT12" s="244" t="s">
        <v>6</v>
      </c>
      <c r="CU12" s="244" t="s">
        <v>6</v>
      </c>
      <c r="CV12" s="244" t="s">
        <v>6</v>
      </c>
      <c r="CW12" s="244" t="s">
        <v>6</v>
      </c>
      <c r="CX12" s="244" t="s">
        <v>6</v>
      </c>
      <c r="CY12" s="244" t="s">
        <v>6</v>
      </c>
      <c r="CZ12" s="244" t="s">
        <v>6</v>
      </c>
      <c r="DA12" s="244" t="s">
        <v>6</v>
      </c>
      <c r="DB12" s="244" t="s">
        <v>6</v>
      </c>
      <c r="DC12" s="244" t="s">
        <v>6</v>
      </c>
      <c r="DD12" s="244" t="s">
        <v>6</v>
      </c>
      <c r="DE12" s="244" t="s">
        <v>6</v>
      </c>
      <c r="DF12" s="244" t="s">
        <v>6</v>
      </c>
      <c r="DG12" s="244" t="s">
        <v>6</v>
      </c>
      <c r="DH12" s="244" t="s">
        <v>6</v>
      </c>
      <c r="DI12" s="244" t="s">
        <v>6</v>
      </c>
      <c r="DJ12" s="244" t="s">
        <v>6</v>
      </c>
      <c r="DK12" s="244" t="s">
        <v>6</v>
      </c>
      <c r="DL12" s="244" t="s">
        <v>6</v>
      </c>
      <c r="DM12" s="244" t="s">
        <v>6</v>
      </c>
      <c r="DN12" s="244" t="s">
        <v>6</v>
      </c>
      <c r="DO12" s="244" t="s">
        <v>6</v>
      </c>
      <c r="DP12" s="244" t="s">
        <v>6</v>
      </c>
      <c r="DQ12" s="244" t="s">
        <v>6</v>
      </c>
      <c r="DR12" s="244" t="s">
        <v>6</v>
      </c>
      <c r="DS12" s="244" t="s">
        <v>6</v>
      </c>
      <c r="DT12" s="244" t="s">
        <v>6</v>
      </c>
      <c r="DU12" s="244" t="s">
        <v>6</v>
      </c>
      <c r="DV12" s="244" t="s">
        <v>6</v>
      </c>
      <c r="DW12" s="244" t="s">
        <v>6</v>
      </c>
      <c r="DX12" s="244" t="s">
        <v>6</v>
      </c>
      <c r="DY12" s="244" t="s">
        <v>6</v>
      </c>
      <c r="DZ12" s="244" t="s">
        <v>6</v>
      </c>
      <c r="EA12" s="244" t="s">
        <v>6</v>
      </c>
      <c r="EB12" s="244" t="s">
        <v>6</v>
      </c>
      <c r="EC12" s="244" t="s">
        <v>6</v>
      </c>
      <c r="ED12" s="244" t="s">
        <v>6</v>
      </c>
      <c r="EE12" s="244" t="s">
        <v>6</v>
      </c>
      <c r="EF12" s="244" t="s">
        <v>6</v>
      </c>
      <c r="EG12" s="244" t="s">
        <v>6</v>
      </c>
      <c r="EH12" s="244" t="s">
        <v>6</v>
      </c>
      <c r="EI12" s="244" t="s">
        <v>6</v>
      </c>
      <c r="EJ12" s="244" t="s">
        <v>6</v>
      </c>
      <c r="EK12" s="244" t="s">
        <v>6</v>
      </c>
      <c r="EL12" s="244" t="s">
        <v>6</v>
      </c>
      <c r="EM12" s="244" t="s">
        <v>6</v>
      </c>
      <c r="EN12" s="244" t="s">
        <v>6</v>
      </c>
      <c r="EO12" s="244" t="s">
        <v>6</v>
      </c>
      <c r="EP12" s="244" t="s">
        <v>6</v>
      </c>
      <c r="EQ12" s="244" t="s">
        <v>6</v>
      </c>
      <c r="ER12" s="244" t="s">
        <v>6</v>
      </c>
      <c r="ES12" s="244" t="s">
        <v>6</v>
      </c>
      <c r="ET12" s="244" t="s">
        <v>6</v>
      </c>
      <c r="EU12" s="244" t="s">
        <v>6</v>
      </c>
      <c r="EV12" s="244" t="s">
        <v>6</v>
      </c>
      <c r="EW12" s="244" t="s">
        <v>6</v>
      </c>
      <c r="EX12" s="244" t="s">
        <v>6</v>
      </c>
    </row>
    <row r="13" spans="1:154" ht="13.5">
      <c r="A13" s="240" t="s">
        <v>6</v>
      </c>
      <c r="B13" s="241" t="s">
        <v>6</v>
      </c>
      <c r="C13" s="244" t="s">
        <v>46</v>
      </c>
      <c r="D13" s="244"/>
      <c r="E13" s="244"/>
      <c r="F13" s="252" t="s">
        <v>47</v>
      </c>
      <c r="G13" s="247" t="s">
        <v>48</v>
      </c>
      <c r="H13" s="252" t="s">
        <v>49</v>
      </c>
      <c r="I13" s="232" t="s">
        <v>50</v>
      </c>
      <c r="J13" s="244" t="s">
        <v>6</v>
      </c>
      <c r="K13" s="244" t="s">
        <v>6</v>
      </c>
      <c r="L13" s="244" t="s">
        <v>6</v>
      </c>
      <c r="M13" s="244" t="s">
        <v>6</v>
      </c>
      <c r="N13" s="244" t="s">
        <v>6</v>
      </c>
      <c r="O13" s="244" t="s">
        <v>6</v>
      </c>
      <c r="P13" s="244" t="s">
        <v>6</v>
      </c>
      <c r="Q13" s="244" t="s">
        <v>6</v>
      </c>
      <c r="R13" s="244" t="s">
        <v>6</v>
      </c>
      <c r="S13" s="244" t="s">
        <v>6</v>
      </c>
      <c r="T13" s="244" t="s">
        <v>6</v>
      </c>
      <c r="U13" s="244" t="s">
        <v>6</v>
      </c>
      <c r="V13" s="244" t="s">
        <v>6</v>
      </c>
      <c r="W13" s="244" t="s">
        <v>6</v>
      </c>
      <c r="X13" s="244" t="s">
        <v>6</v>
      </c>
      <c r="Y13" s="244" t="s">
        <v>6</v>
      </c>
      <c r="Z13" s="244" t="s">
        <v>6</v>
      </c>
      <c r="AA13" s="244" t="s">
        <v>6</v>
      </c>
      <c r="AB13" s="244" t="s">
        <v>6</v>
      </c>
      <c r="AC13" s="244" t="s">
        <v>6</v>
      </c>
      <c r="AD13" s="244" t="s">
        <v>6</v>
      </c>
      <c r="AE13" s="244" t="s">
        <v>6</v>
      </c>
      <c r="AF13" s="244" t="s">
        <v>6</v>
      </c>
      <c r="AG13" s="244" t="s">
        <v>6</v>
      </c>
      <c r="AH13" s="244" t="s">
        <v>6</v>
      </c>
      <c r="AI13" s="244" t="s">
        <v>6</v>
      </c>
      <c r="AJ13" s="244" t="s">
        <v>6</v>
      </c>
      <c r="AK13" s="244" t="s">
        <v>6</v>
      </c>
      <c r="AL13" s="244" t="s">
        <v>6</v>
      </c>
      <c r="AM13" s="244" t="s">
        <v>6</v>
      </c>
      <c r="AN13" s="244" t="s">
        <v>6</v>
      </c>
      <c r="AO13" s="244" t="s">
        <v>6</v>
      </c>
      <c r="AP13" s="244" t="s">
        <v>6</v>
      </c>
      <c r="AQ13" s="244" t="s">
        <v>6</v>
      </c>
      <c r="AR13" s="244" t="s">
        <v>6</v>
      </c>
      <c r="AS13" s="244" t="s">
        <v>6</v>
      </c>
      <c r="AT13" s="244" t="s">
        <v>6</v>
      </c>
      <c r="AU13" s="244" t="s">
        <v>6</v>
      </c>
      <c r="AV13" s="244" t="s">
        <v>6</v>
      </c>
      <c r="AW13" s="244" t="s">
        <v>6</v>
      </c>
      <c r="AX13" s="244" t="s">
        <v>6</v>
      </c>
      <c r="AY13" s="244" t="s">
        <v>6</v>
      </c>
      <c r="AZ13" s="244" t="s">
        <v>6</v>
      </c>
      <c r="BA13" s="244" t="s">
        <v>6</v>
      </c>
      <c r="BB13" s="244" t="s">
        <v>6</v>
      </c>
      <c r="BC13" s="244" t="s">
        <v>6</v>
      </c>
      <c r="BD13" s="244" t="s">
        <v>6</v>
      </c>
      <c r="BE13" s="244" t="s">
        <v>6</v>
      </c>
      <c r="BF13" s="244" t="s">
        <v>6</v>
      </c>
      <c r="BG13" s="244" t="s">
        <v>6</v>
      </c>
      <c r="BH13" s="244" t="s">
        <v>6</v>
      </c>
      <c r="BI13" s="244" t="s">
        <v>6</v>
      </c>
      <c r="BJ13" s="244" t="s">
        <v>6</v>
      </c>
      <c r="BK13" s="244" t="s">
        <v>6</v>
      </c>
      <c r="BL13" s="244" t="s">
        <v>6</v>
      </c>
      <c r="BM13" s="244" t="s">
        <v>6</v>
      </c>
      <c r="BN13" s="244" t="s">
        <v>6</v>
      </c>
      <c r="BO13" s="244" t="s">
        <v>6</v>
      </c>
      <c r="BP13" s="244" t="s">
        <v>6</v>
      </c>
      <c r="BQ13" s="244" t="s">
        <v>6</v>
      </c>
      <c r="BR13" s="244" t="s">
        <v>6</v>
      </c>
      <c r="BS13" s="244" t="s">
        <v>6</v>
      </c>
      <c r="BT13" s="244" t="s">
        <v>6</v>
      </c>
      <c r="BU13" s="244" t="s">
        <v>6</v>
      </c>
      <c r="BV13" s="244" t="s">
        <v>6</v>
      </c>
      <c r="BW13" s="244" t="s">
        <v>6</v>
      </c>
      <c r="BX13" s="244" t="s">
        <v>6</v>
      </c>
      <c r="BY13" s="244" t="s">
        <v>6</v>
      </c>
      <c r="BZ13" s="244" t="s">
        <v>6</v>
      </c>
      <c r="CA13" s="244" t="s">
        <v>6</v>
      </c>
      <c r="CB13" s="244" t="s">
        <v>6</v>
      </c>
      <c r="CC13" s="244" t="s">
        <v>6</v>
      </c>
      <c r="CD13" s="244" t="s">
        <v>6</v>
      </c>
      <c r="CE13" s="244" t="s">
        <v>6</v>
      </c>
      <c r="CF13" s="244" t="s">
        <v>6</v>
      </c>
      <c r="CG13" s="244" t="s">
        <v>6</v>
      </c>
      <c r="CH13" s="244" t="s">
        <v>6</v>
      </c>
      <c r="CI13" s="244" t="s">
        <v>6</v>
      </c>
      <c r="CJ13" s="244" t="s">
        <v>6</v>
      </c>
      <c r="CK13" s="244" t="s">
        <v>6</v>
      </c>
      <c r="CL13" s="244" t="s">
        <v>6</v>
      </c>
      <c r="CM13" s="244" t="s">
        <v>6</v>
      </c>
      <c r="CN13" s="244" t="s">
        <v>6</v>
      </c>
      <c r="CO13" s="244" t="s">
        <v>6</v>
      </c>
      <c r="CP13" s="244" t="s">
        <v>6</v>
      </c>
      <c r="CQ13" s="244" t="s">
        <v>6</v>
      </c>
      <c r="CR13" s="244" t="s">
        <v>6</v>
      </c>
      <c r="CS13" s="244" t="s">
        <v>6</v>
      </c>
      <c r="CT13" s="244" t="s">
        <v>6</v>
      </c>
      <c r="CU13" s="244" t="s">
        <v>6</v>
      </c>
      <c r="CV13" s="244" t="s">
        <v>6</v>
      </c>
      <c r="CW13" s="244" t="s">
        <v>6</v>
      </c>
      <c r="CX13" s="244" t="s">
        <v>6</v>
      </c>
      <c r="CY13" s="244" t="s">
        <v>6</v>
      </c>
      <c r="CZ13" s="244" t="s">
        <v>6</v>
      </c>
      <c r="DA13" s="244" t="s">
        <v>6</v>
      </c>
      <c r="DB13" s="244" t="s">
        <v>6</v>
      </c>
      <c r="DC13" s="244" t="s">
        <v>6</v>
      </c>
      <c r="DD13" s="244" t="s">
        <v>6</v>
      </c>
      <c r="DE13" s="244" t="s">
        <v>6</v>
      </c>
      <c r="DF13" s="244" t="s">
        <v>6</v>
      </c>
      <c r="DG13" s="244" t="s">
        <v>6</v>
      </c>
      <c r="DH13" s="244" t="s">
        <v>6</v>
      </c>
      <c r="DI13" s="244" t="s">
        <v>6</v>
      </c>
      <c r="DJ13" s="244" t="s">
        <v>6</v>
      </c>
      <c r="DK13" s="244" t="s">
        <v>6</v>
      </c>
      <c r="DL13" s="244" t="s">
        <v>6</v>
      </c>
      <c r="DM13" s="244" t="s">
        <v>6</v>
      </c>
      <c r="DN13" s="244" t="s">
        <v>6</v>
      </c>
      <c r="DO13" s="244" t="s">
        <v>6</v>
      </c>
      <c r="DP13" s="244" t="s">
        <v>6</v>
      </c>
      <c r="DQ13" s="244" t="s">
        <v>6</v>
      </c>
      <c r="DR13" s="244" t="s">
        <v>6</v>
      </c>
      <c r="DS13" s="244" t="s">
        <v>6</v>
      </c>
      <c r="DT13" s="244" t="s">
        <v>6</v>
      </c>
      <c r="DU13" s="244" t="s">
        <v>6</v>
      </c>
      <c r="DV13" s="244" t="s">
        <v>6</v>
      </c>
      <c r="DW13" s="244" t="s">
        <v>6</v>
      </c>
      <c r="DX13" s="244" t="s">
        <v>6</v>
      </c>
      <c r="DY13" s="244" t="s">
        <v>6</v>
      </c>
      <c r="DZ13" s="244" t="s">
        <v>6</v>
      </c>
      <c r="EA13" s="244" t="s">
        <v>6</v>
      </c>
      <c r="EB13" s="244" t="s">
        <v>6</v>
      </c>
      <c r="EC13" s="244" t="s">
        <v>6</v>
      </c>
      <c r="ED13" s="244" t="s">
        <v>6</v>
      </c>
      <c r="EE13" s="244" t="s">
        <v>6</v>
      </c>
      <c r="EF13" s="244" t="s">
        <v>6</v>
      </c>
      <c r="EG13" s="244" t="s">
        <v>6</v>
      </c>
      <c r="EH13" s="244" t="s">
        <v>6</v>
      </c>
      <c r="EI13" s="244" t="s">
        <v>6</v>
      </c>
      <c r="EJ13" s="244" t="s">
        <v>6</v>
      </c>
      <c r="EK13" s="244" t="s">
        <v>6</v>
      </c>
      <c r="EL13" s="244" t="s">
        <v>6</v>
      </c>
      <c r="EM13" s="244" t="s">
        <v>6</v>
      </c>
      <c r="EN13" s="244" t="s">
        <v>6</v>
      </c>
      <c r="EO13" s="244" t="s">
        <v>6</v>
      </c>
      <c r="EP13" s="244" t="s">
        <v>6</v>
      </c>
      <c r="EQ13" s="244" t="s">
        <v>6</v>
      </c>
      <c r="ER13" s="244" t="s">
        <v>6</v>
      </c>
      <c r="ES13" s="244" t="s">
        <v>6</v>
      </c>
      <c r="ET13" s="244" t="s">
        <v>6</v>
      </c>
      <c r="EU13" s="244" t="s">
        <v>6</v>
      </c>
      <c r="EV13" s="244" t="s">
        <v>6</v>
      </c>
      <c r="EW13" s="244" t="s">
        <v>6</v>
      </c>
      <c r="EX13" s="244" t="s">
        <v>6</v>
      </c>
    </row>
    <row r="14" spans="1:154" ht="13.5">
      <c r="A14" s="240" t="s">
        <v>6</v>
      </c>
      <c r="B14" s="241" t="s">
        <v>6</v>
      </c>
      <c r="C14" s="244" t="s">
        <v>6</v>
      </c>
      <c r="D14" s="244" t="s">
        <v>51</v>
      </c>
      <c r="E14" s="244"/>
      <c r="F14" s="247" t="s">
        <v>52</v>
      </c>
      <c r="G14" s="250">
        <v>0.41</v>
      </c>
      <c r="H14" s="247" t="s">
        <v>53</v>
      </c>
      <c r="I14" s="251">
        <v>0.4</v>
      </c>
      <c r="J14" s="244" t="s">
        <v>6</v>
      </c>
      <c r="K14" s="244" t="s">
        <v>6</v>
      </c>
      <c r="L14" s="244" t="s">
        <v>6</v>
      </c>
      <c r="M14" s="244" t="s">
        <v>6</v>
      </c>
      <c r="N14" s="244" t="s">
        <v>6</v>
      </c>
      <c r="O14" s="244" t="s">
        <v>6</v>
      </c>
      <c r="P14" s="244" t="s">
        <v>6</v>
      </c>
      <c r="Q14" s="244" t="s">
        <v>6</v>
      </c>
      <c r="R14" s="244" t="s">
        <v>6</v>
      </c>
      <c r="S14" s="244" t="s">
        <v>6</v>
      </c>
      <c r="T14" s="244" t="s">
        <v>6</v>
      </c>
      <c r="U14" s="244" t="s">
        <v>6</v>
      </c>
      <c r="V14" s="244" t="s">
        <v>6</v>
      </c>
      <c r="W14" s="244" t="s">
        <v>6</v>
      </c>
      <c r="X14" s="244" t="s">
        <v>6</v>
      </c>
      <c r="Y14" s="244" t="s">
        <v>6</v>
      </c>
      <c r="Z14" s="244" t="s">
        <v>6</v>
      </c>
      <c r="AA14" s="244" t="s">
        <v>6</v>
      </c>
      <c r="AB14" s="244" t="s">
        <v>6</v>
      </c>
      <c r="AC14" s="244" t="s">
        <v>6</v>
      </c>
      <c r="AD14" s="244" t="s">
        <v>6</v>
      </c>
      <c r="AE14" s="244" t="s">
        <v>6</v>
      </c>
      <c r="AF14" s="244" t="s">
        <v>6</v>
      </c>
      <c r="AG14" s="244" t="s">
        <v>6</v>
      </c>
      <c r="AH14" s="244" t="s">
        <v>6</v>
      </c>
      <c r="AI14" s="244" t="s">
        <v>6</v>
      </c>
      <c r="AJ14" s="244" t="s">
        <v>6</v>
      </c>
      <c r="AK14" s="244" t="s">
        <v>6</v>
      </c>
      <c r="AL14" s="244" t="s">
        <v>6</v>
      </c>
      <c r="AM14" s="244" t="s">
        <v>6</v>
      </c>
      <c r="AN14" s="244" t="s">
        <v>6</v>
      </c>
      <c r="AO14" s="244" t="s">
        <v>6</v>
      </c>
      <c r="AP14" s="244" t="s">
        <v>6</v>
      </c>
      <c r="AQ14" s="244" t="s">
        <v>6</v>
      </c>
      <c r="AR14" s="244" t="s">
        <v>6</v>
      </c>
      <c r="AS14" s="244" t="s">
        <v>6</v>
      </c>
      <c r="AT14" s="244" t="s">
        <v>6</v>
      </c>
      <c r="AU14" s="244" t="s">
        <v>6</v>
      </c>
      <c r="AV14" s="244" t="s">
        <v>6</v>
      </c>
      <c r="AW14" s="244" t="s">
        <v>6</v>
      </c>
      <c r="AX14" s="244" t="s">
        <v>6</v>
      </c>
      <c r="AY14" s="244" t="s">
        <v>6</v>
      </c>
      <c r="AZ14" s="244" t="s">
        <v>6</v>
      </c>
      <c r="BA14" s="244" t="s">
        <v>6</v>
      </c>
      <c r="BB14" s="244" t="s">
        <v>6</v>
      </c>
      <c r="BC14" s="244" t="s">
        <v>6</v>
      </c>
      <c r="BD14" s="244" t="s">
        <v>6</v>
      </c>
      <c r="BE14" s="244" t="s">
        <v>6</v>
      </c>
      <c r="BF14" s="244" t="s">
        <v>6</v>
      </c>
      <c r="BG14" s="244" t="s">
        <v>6</v>
      </c>
      <c r="BH14" s="244" t="s">
        <v>6</v>
      </c>
      <c r="BI14" s="244" t="s">
        <v>6</v>
      </c>
      <c r="BJ14" s="244" t="s">
        <v>6</v>
      </c>
      <c r="BK14" s="244" t="s">
        <v>6</v>
      </c>
      <c r="BL14" s="244" t="s">
        <v>6</v>
      </c>
      <c r="BM14" s="244" t="s">
        <v>6</v>
      </c>
      <c r="BN14" s="244" t="s">
        <v>6</v>
      </c>
      <c r="BO14" s="244" t="s">
        <v>6</v>
      </c>
      <c r="BP14" s="244" t="s">
        <v>6</v>
      </c>
      <c r="BQ14" s="244" t="s">
        <v>6</v>
      </c>
      <c r="BR14" s="244" t="s">
        <v>6</v>
      </c>
      <c r="BS14" s="244" t="s">
        <v>6</v>
      </c>
      <c r="BT14" s="244" t="s">
        <v>6</v>
      </c>
      <c r="BU14" s="244" t="s">
        <v>6</v>
      </c>
      <c r="BV14" s="244" t="s">
        <v>6</v>
      </c>
      <c r="BW14" s="244" t="s">
        <v>6</v>
      </c>
      <c r="BX14" s="244" t="s">
        <v>6</v>
      </c>
      <c r="BY14" s="244" t="s">
        <v>6</v>
      </c>
      <c r="BZ14" s="244" t="s">
        <v>6</v>
      </c>
      <c r="CA14" s="244" t="s">
        <v>6</v>
      </c>
      <c r="CB14" s="244" t="s">
        <v>6</v>
      </c>
      <c r="CC14" s="244" t="s">
        <v>6</v>
      </c>
      <c r="CD14" s="244" t="s">
        <v>6</v>
      </c>
      <c r="CE14" s="244" t="s">
        <v>6</v>
      </c>
      <c r="CF14" s="244" t="s">
        <v>6</v>
      </c>
      <c r="CG14" s="244" t="s">
        <v>6</v>
      </c>
      <c r="CH14" s="244" t="s">
        <v>6</v>
      </c>
      <c r="CI14" s="244" t="s">
        <v>6</v>
      </c>
      <c r="CJ14" s="244" t="s">
        <v>6</v>
      </c>
      <c r="CK14" s="244" t="s">
        <v>6</v>
      </c>
      <c r="CL14" s="244" t="s">
        <v>6</v>
      </c>
      <c r="CM14" s="244" t="s">
        <v>6</v>
      </c>
      <c r="CN14" s="244" t="s">
        <v>6</v>
      </c>
      <c r="CO14" s="244" t="s">
        <v>6</v>
      </c>
      <c r="CP14" s="244" t="s">
        <v>6</v>
      </c>
      <c r="CQ14" s="244" t="s">
        <v>6</v>
      </c>
      <c r="CR14" s="244" t="s">
        <v>6</v>
      </c>
      <c r="CS14" s="244" t="s">
        <v>6</v>
      </c>
      <c r="CT14" s="244" t="s">
        <v>6</v>
      </c>
      <c r="CU14" s="244" t="s">
        <v>6</v>
      </c>
      <c r="CV14" s="244" t="s">
        <v>6</v>
      </c>
      <c r="CW14" s="244" t="s">
        <v>6</v>
      </c>
      <c r="CX14" s="244" t="s">
        <v>6</v>
      </c>
      <c r="CY14" s="244" t="s">
        <v>6</v>
      </c>
      <c r="CZ14" s="244" t="s">
        <v>6</v>
      </c>
      <c r="DA14" s="244" t="s">
        <v>6</v>
      </c>
      <c r="DB14" s="244" t="s">
        <v>6</v>
      </c>
      <c r="DC14" s="244" t="s">
        <v>6</v>
      </c>
      <c r="DD14" s="244" t="s">
        <v>6</v>
      </c>
      <c r="DE14" s="244" t="s">
        <v>6</v>
      </c>
      <c r="DF14" s="244" t="s">
        <v>6</v>
      </c>
      <c r="DG14" s="244" t="s">
        <v>6</v>
      </c>
      <c r="DH14" s="244" t="s">
        <v>6</v>
      </c>
      <c r="DI14" s="244" t="s">
        <v>6</v>
      </c>
      <c r="DJ14" s="244" t="s">
        <v>6</v>
      </c>
      <c r="DK14" s="244" t="s">
        <v>6</v>
      </c>
      <c r="DL14" s="244" t="s">
        <v>6</v>
      </c>
      <c r="DM14" s="244" t="s">
        <v>6</v>
      </c>
      <c r="DN14" s="244" t="s">
        <v>6</v>
      </c>
      <c r="DO14" s="244" t="s">
        <v>6</v>
      </c>
      <c r="DP14" s="244" t="s">
        <v>6</v>
      </c>
      <c r="DQ14" s="244" t="s">
        <v>6</v>
      </c>
      <c r="DR14" s="244" t="s">
        <v>6</v>
      </c>
      <c r="DS14" s="244" t="s">
        <v>6</v>
      </c>
      <c r="DT14" s="244" t="s">
        <v>6</v>
      </c>
      <c r="DU14" s="244" t="s">
        <v>6</v>
      </c>
      <c r="DV14" s="244" t="s">
        <v>6</v>
      </c>
      <c r="DW14" s="244" t="s">
        <v>6</v>
      </c>
      <c r="DX14" s="244" t="s">
        <v>6</v>
      </c>
      <c r="DY14" s="244" t="s">
        <v>6</v>
      </c>
      <c r="DZ14" s="244" t="s">
        <v>6</v>
      </c>
      <c r="EA14" s="244" t="s">
        <v>6</v>
      </c>
      <c r="EB14" s="244" t="s">
        <v>6</v>
      </c>
      <c r="EC14" s="244" t="s">
        <v>6</v>
      </c>
      <c r="ED14" s="244" t="s">
        <v>6</v>
      </c>
      <c r="EE14" s="244" t="s">
        <v>6</v>
      </c>
      <c r="EF14" s="244" t="s">
        <v>6</v>
      </c>
      <c r="EG14" s="244" t="s">
        <v>6</v>
      </c>
      <c r="EH14" s="244" t="s">
        <v>6</v>
      </c>
      <c r="EI14" s="244" t="s">
        <v>6</v>
      </c>
      <c r="EJ14" s="244" t="s">
        <v>6</v>
      </c>
      <c r="EK14" s="244" t="s">
        <v>6</v>
      </c>
      <c r="EL14" s="244" t="s">
        <v>6</v>
      </c>
      <c r="EM14" s="244" t="s">
        <v>6</v>
      </c>
      <c r="EN14" s="244" t="s">
        <v>6</v>
      </c>
      <c r="EO14" s="244" t="s">
        <v>6</v>
      </c>
      <c r="EP14" s="244" t="s">
        <v>6</v>
      </c>
      <c r="EQ14" s="244" t="s">
        <v>6</v>
      </c>
      <c r="ER14" s="244" t="s">
        <v>6</v>
      </c>
      <c r="ES14" s="244" t="s">
        <v>6</v>
      </c>
      <c r="ET14" s="244" t="s">
        <v>6</v>
      </c>
      <c r="EU14" s="244" t="s">
        <v>6</v>
      </c>
      <c r="EV14" s="244" t="s">
        <v>6</v>
      </c>
      <c r="EW14" s="244" t="s">
        <v>6</v>
      </c>
      <c r="EX14" s="244" t="s">
        <v>6</v>
      </c>
    </row>
    <row r="15" spans="1:154" ht="13.5">
      <c r="A15" s="240" t="s">
        <v>6</v>
      </c>
      <c r="B15" s="241" t="s">
        <v>6</v>
      </c>
      <c r="C15" s="244" t="s">
        <v>54</v>
      </c>
      <c r="D15" s="244"/>
      <c r="E15" s="244"/>
      <c r="F15" s="246" t="s">
        <v>55</v>
      </c>
      <c r="G15" s="247" t="s">
        <v>56</v>
      </c>
      <c r="H15" s="246" t="s">
        <v>57</v>
      </c>
      <c r="I15" s="232" t="s">
        <v>58</v>
      </c>
      <c r="J15" s="244" t="s">
        <v>6</v>
      </c>
      <c r="K15" s="244" t="s">
        <v>6</v>
      </c>
      <c r="L15" s="244" t="s">
        <v>6</v>
      </c>
      <c r="M15" s="244" t="s">
        <v>6</v>
      </c>
      <c r="N15" s="244" t="s">
        <v>6</v>
      </c>
      <c r="O15" s="244" t="s">
        <v>6</v>
      </c>
      <c r="P15" s="244" t="s">
        <v>6</v>
      </c>
      <c r="Q15" s="244" t="s">
        <v>6</v>
      </c>
      <c r="R15" s="244" t="s">
        <v>6</v>
      </c>
      <c r="S15" s="244" t="s">
        <v>6</v>
      </c>
      <c r="T15" s="244" t="s">
        <v>6</v>
      </c>
      <c r="U15" s="244" t="s">
        <v>6</v>
      </c>
      <c r="V15" s="244" t="s">
        <v>6</v>
      </c>
      <c r="W15" s="244" t="s">
        <v>6</v>
      </c>
      <c r="X15" s="244" t="s">
        <v>6</v>
      </c>
      <c r="Y15" s="244" t="s">
        <v>6</v>
      </c>
      <c r="Z15" s="244" t="s">
        <v>6</v>
      </c>
      <c r="AA15" s="244" t="s">
        <v>6</v>
      </c>
      <c r="AB15" s="244" t="s">
        <v>6</v>
      </c>
      <c r="AC15" s="244" t="s">
        <v>6</v>
      </c>
      <c r="AD15" s="244" t="s">
        <v>6</v>
      </c>
      <c r="AE15" s="244" t="s">
        <v>6</v>
      </c>
      <c r="AF15" s="244" t="s">
        <v>6</v>
      </c>
      <c r="AG15" s="244" t="s">
        <v>6</v>
      </c>
      <c r="AH15" s="244" t="s">
        <v>6</v>
      </c>
      <c r="AI15" s="244" t="s">
        <v>6</v>
      </c>
      <c r="AJ15" s="244" t="s">
        <v>6</v>
      </c>
      <c r="AK15" s="244" t="s">
        <v>6</v>
      </c>
      <c r="AL15" s="244" t="s">
        <v>6</v>
      </c>
      <c r="AM15" s="244" t="s">
        <v>6</v>
      </c>
      <c r="AN15" s="244" t="s">
        <v>6</v>
      </c>
      <c r="AO15" s="244" t="s">
        <v>6</v>
      </c>
      <c r="AP15" s="244" t="s">
        <v>6</v>
      </c>
      <c r="AQ15" s="244" t="s">
        <v>6</v>
      </c>
      <c r="AR15" s="244" t="s">
        <v>6</v>
      </c>
      <c r="AS15" s="244" t="s">
        <v>6</v>
      </c>
      <c r="AT15" s="244" t="s">
        <v>6</v>
      </c>
      <c r="AU15" s="244" t="s">
        <v>6</v>
      </c>
      <c r="AV15" s="244" t="s">
        <v>6</v>
      </c>
      <c r="AW15" s="244" t="s">
        <v>6</v>
      </c>
      <c r="AX15" s="244" t="s">
        <v>6</v>
      </c>
      <c r="AY15" s="244" t="s">
        <v>6</v>
      </c>
      <c r="AZ15" s="244" t="s">
        <v>6</v>
      </c>
      <c r="BA15" s="244" t="s">
        <v>6</v>
      </c>
      <c r="BB15" s="244" t="s">
        <v>6</v>
      </c>
      <c r="BC15" s="244" t="s">
        <v>6</v>
      </c>
      <c r="BD15" s="244" t="s">
        <v>6</v>
      </c>
      <c r="BE15" s="244" t="s">
        <v>6</v>
      </c>
      <c r="BF15" s="244" t="s">
        <v>6</v>
      </c>
      <c r="BG15" s="244" t="s">
        <v>6</v>
      </c>
      <c r="BH15" s="244" t="s">
        <v>6</v>
      </c>
      <c r="BI15" s="244" t="s">
        <v>6</v>
      </c>
      <c r="BJ15" s="244" t="s">
        <v>6</v>
      </c>
      <c r="BK15" s="244" t="s">
        <v>6</v>
      </c>
      <c r="BL15" s="244" t="s">
        <v>6</v>
      </c>
      <c r="BM15" s="244" t="s">
        <v>6</v>
      </c>
      <c r="BN15" s="244" t="s">
        <v>6</v>
      </c>
      <c r="BO15" s="244" t="s">
        <v>6</v>
      </c>
      <c r="BP15" s="244" t="s">
        <v>6</v>
      </c>
      <c r="BQ15" s="244" t="s">
        <v>6</v>
      </c>
      <c r="BR15" s="244" t="s">
        <v>6</v>
      </c>
      <c r="BS15" s="244" t="s">
        <v>6</v>
      </c>
      <c r="BT15" s="244" t="s">
        <v>6</v>
      </c>
      <c r="BU15" s="244" t="s">
        <v>6</v>
      </c>
      <c r="BV15" s="244" t="s">
        <v>6</v>
      </c>
      <c r="BW15" s="244" t="s">
        <v>6</v>
      </c>
      <c r="BX15" s="244" t="s">
        <v>6</v>
      </c>
      <c r="BY15" s="244" t="s">
        <v>6</v>
      </c>
      <c r="BZ15" s="244" t="s">
        <v>6</v>
      </c>
      <c r="CA15" s="244" t="s">
        <v>6</v>
      </c>
      <c r="CB15" s="244" t="s">
        <v>6</v>
      </c>
      <c r="CC15" s="244" t="s">
        <v>6</v>
      </c>
      <c r="CD15" s="244" t="s">
        <v>6</v>
      </c>
      <c r="CE15" s="244" t="s">
        <v>6</v>
      </c>
      <c r="CF15" s="244" t="s">
        <v>6</v>
      </c>
      <c r="CG15" s="244" t="s">
        <v>6</v>
      </c>
      <c r="CH15" s="244" t="s">
        <v>6</v>
      </c>
      <c r="CI15" s="244" t="s">
        <v>6</v>
      </c>
      <c r="CJ15" s="244" t="s">
        <v>6</v>
      </c>
      <c r="CK15" s="244" t="s">
        <v>6</v>
      </c>
      <c r="CL15" s="244" t="s">
        <v>6</v>
      </c>
      <c r="CM15" s="244" t="s">
        <v>6</v>
      </c>
      <c r="CN15" s="244" t="s">
        <v>6</v>
      </c>
      <c r="CO15" s="244" t="s">
        <v>6</v>
      </c>
      <c r="CP15" s="244" t="s">
        <v>6</v>
      </c>
      <c r="CQ15" s="244" t="s">
        <v>6</v>
      </c>
      <c r="CR15" s="244" t="s">
        <v>6</v>
      </c>
      <c r="CS15" s="244" t="s">
        <v>6</v>
      </c>
      <c r="CT15" s="244" t="s">
        <v>6</v>
      </c>
      <c r="CU15" s="244" t="s">
        <v>6</v>
      </c>
      <c r="CV15" s="244" t="s">
        <v>6</v>
      </c>
      <c r="CW15" s="244" t="s">
        <v>6</v>
      </c>
      <c r="CX15" s="244" t="s">
        <v>6</v>
      </c>
      <c r="CY15" s="244" t="s">
        <v>6</v>
      </c>
      <c r="CZ15" s="244" t="s">
        <v>6</v>
      </c>
      <c r="DA15" s="244" t="s">
        <v>6</v>
      </c>
      <c r="DB15" s="244" t="s">
        <v>6</v>
      </c>
      <c r="DC15" s="244" t="s">
        <v>6</v>
      </c>
      <c r="DD15" s="244" t="s">
        <v>6</v>
      </c>
      <c r="DE15" s="244" t="s">
        <v>6</v>
      </c>
      <c r="DF15" s="244" t="s">
        <v>6</v>
      </c>
      <c r="DG15" s="244" t="s">
        <v>6</v>
      </c>
      <c r="DH15" s="244" t="s">
        <v>6</v>
      </c>
      <c r="DI15" s="244" t="s">
        <v>6</v>
      </c>
      <c r="DJ15" s="244" t="s">
        <v>6</v>
      </c>
      <c r="DK15" s="244" t="s">
        <v>6</v>
      </c>
      <c r="DL15" s="244" t="s">
        <v>6</v>
      </c>
      <c r="DM15" s="244" t="s">
        <v>6</v>
      </c>
      <c r="DN15" s="244" t="s">
        <v>6</v>
      </c>
      <c r="DO15" s="244" t="s">
        <v>6</v>
      </c>
      <c r="DP15" s="244" t="s">
        <v>6</v>
      </c>
      <c r="DQ15" s="244" t="s">
        <v>6</v>
      </c>
      <c r="DR15" s="244" t="s">
        <v>6</v>
      </c>
      <c r="DS15" s="244" t="s">
        <v>6</v>
      </c>
      <c r="DT15" s="244" t="s">
        <v>6</v>
      </c>
      <c r="DU15" s="244" t="s">
        <v>6</v>
      </c>
      <c r="DV15" s="244" t="s">
        <v>6</v>
      </c>
      <c r="DW15" s="244" t="s">
        <v>6</v>
      </c>
      <c r="DX15" s="244" t="s">
        <v>6</v>
      </c>
      <c r="DY15" s="244" t="s">
        <v>6</v>
      </c>
      <c r="DZ15" s="244" t="s">
        <v>6</v>
      </c>
      <c r="EA15" s="244" t="s">
        <v>6</v>
      </c>
      <c r="EB15" s="244" t="s">
        <v>6</v>
      </c>
      <c r="EC15" s="244" t="s">
        <v>6</v>
      </c>
      <c r="ED15" s="244" t="s">
        <v>6</v>
      </c>
      <c r="EE15" s="244" t="s">
        <v>6</v>
      </c>
      <c r="EF15" s="244" t="s">
        <v>6</v>
      </c>
      <c r="EG15" s="244" t="s">
        <v>6</v>
      </c>
      <c r="EH15" s="244" t="s">
        <v>6</v>
      </c>
      <c r="EI15" s="244" t="s">
        <v>6</v>
      </c>
      <c r="EJ15" s="244" t="s">
        <v>6</v>
      </c>
      <c r="EK15" s="244" t="s">
        <v>6</v>
      </c>
      <c r="EL15" s="244" t="s">
        <v>6</v>
      </c>
      <c r="EM15" s="244" t="s">
        <v>6</v>
      </c>
      <c r="EN15" s="244" t="s">
        <v>6</v>
      </c>
      <c r="EO15" s="244" t="s">
        <v>6</v>
      </c>
      <c r="EP15" s="244" t="s">
        <v>6</v>
      </c>
      <c r="EQ15" s="244" t="s">
        <v>6</v>
      </c>
      <c r="ER15" s="244" t="s">
        <v>6</v>
      </c>
      <c r="ES15" s="244" t="s">
        <v>6</v>
      </c>
      <c r="ET15" s="244" t="s">
        <v>6</v>
      </c>
      <c r="EU15" s="244" t="s">
        <v>6</v>
      </c>
      <c r="EV15" s="244" t="s">
        <v>6</v>
      </c>
      <c r="EW15" s="244" t="s">
        <v>6</v>
      </c>
      <c r="EX15" s="244" t="s">
        <v>6</v>
      </c>
    </row>
    <row r="16" spans="1:154" ht="13.5">
      <c r="A16" s="240" t="s">
        <v>6</v>
      </c>
      <c r="B16" s="241" t="s">
        <v>6</v>
      </c>
      <c r="C16" s="244" t="s">
        <v>59</v>
      </c>
      <c r="D16" s="244"/>
      <c r="E16" s="244"/>
      <c r="F16" s="249" t="s">
        <v>60</v>
      </c>
      <c r="G16" s="249" t="s">
        <v>6</v>
      </c>
      <c r="H16" s="249" t="s">
        <v>61</v>
      </c>
      <c r="I16" s="253" t="s">
        <v>6</v>
      </c>
      <c r="J16" s="244" t="s">
        <v>6</v>
      </c>
      <c r="K16" s="244" t="s">
        <v>6</v>
      </c>
      <c r="L16" s="244" t="s">
        <v>6</v>
      </c>
      <c r="M16" s="244" t="s">
        <v>6</v>
      </c>
      <c r="N16" s="244" t="s">
        <v>6</v>
      </c>
      <c r="O16" s="244" t="s">
        <v>6</v>
      </c>
      <c r="P16" s="244" t="s">
        <v>6</v>
      </c>
      <c r="Q16" s="244" t="s">
        <v>6</v>
      </c>
      <c r="R16" s="244" t="s">
        <v>6</v>
      </c>
      <c r="S16" s="244" t="s">
        <v>6</v>
      </c>
      <c r="T16" s="244" t="s">
        <v>6</v>
      </c>
      <c r="U16" s="244" t="s">
        <v>6</v>
      </c>
      <c r="V16" s="244" t="s">
        <v>6</v>
      </c>
      <c r="W16" s="244" t="s">
        <v>6</v>
      </c>
      <c r="X16" s="244" t="s">
        <v>6</v>
      </c>
      <c r="Y16" s="244" t="s">
        <v>6</v>
      </c>
      <c r="Z16" s="244" t="s">
        <v>6</v>
      </c>
      <c r="AA16" s="244" t="s">
        <v>6</v>
      </c>
      <c r="AB16" s="244" t="s">
        <v>6</v>
      </c>
      <c r="AC16" s="244" t="s">
        <v>6</v>
      </c>
      <c r="AD16" s="244" t="s">
        <v>6</v>
      </c>
      <c r="AE16" s="244" t="s">
        <v>6</v>
      </c>
      <c r="AF16" s="244" t="s">
        <v>6</v>
      </c>
      <c r="AG16" s="244" t="s">
        <v>6</v>
      </c>
      <c r="AH16" s="244" t="s">
        <v>6</v>
      </c>
      <c r="AI16" s="244" t="s">
        <v>6</v>
      </c>
      <c r="AJ16" s="244" t="s">
        <v>6</v>
      </c>
      <c r="AK16" s="244" t="s">
        <v>6</v>
      </c>
      <c r="AL16" s="244" t="s">
        <v>6</v>
      </c>
      <c r="AM16" s="244" t="s">
        <v>6</v>
      </c>
      <c r="AN16" s="244" t="s">
        <v>6</v>
      </c>
      <c r="AO16" s="244" t="s">
        <v>6</v>
      </c>
      <c r="AP16" s="244" t="s">
        <v>6</v>
      </c>
      <c r="AQ16" s="244" t="s">
        <v>6</v>
      </c>
      <c r="AR16" s="244" t="s">
        <v>6</v>
      </c>
      <c r="AS16" s="244" t="s">
        <v>6</v>
      </c>
      <c r="AT16" s="244" t="s">
        <v>6</v>
      </c>
      <c r="AU16" s="244" t="s">
        <v>6</v>
      </c>
      <c r="AV16" s="244" t="s">
        <v>6</v>
      </c>
      <c r="AW16" s="244" t="s">
        <v>6</v>
      </c>
      <c r="AX16" s="244" t="s">
        <v>6</v>
      </c>
      <c r="AY16" s="244" t="s">
        <v>6</v>
      </c>
      <c r="AZ16" s="244" t="s">
        <v>6</v>
      </c>
      <c r="BA16" s="244" t="s">
        <v>6</v>
      </c>
      <c r="BB16" s="244" t="s">
        <v>6</v>
      </c>
      <c r="BC16" s="244" t="s">
        <v>6</v>
      </c>
      <c r="BD16" s="244" t="s">
        <v>6</v>
      </c>
      <c r="BE16" s="244" t="s">
        <v>6</v>
      </c>
      <c r="BF16" s="244" t="s">
        <v>6</v>
      </c>
      <c r="BG16" s="244" t="s">
        <v>6</v>
      </c>
      <c r="BH16" s="244" t="s">
        <v>6</v>
      </c>
      <c r="BI16" s="244" t="s">
        <v>6</v>
      </c>
      <c r="BJ16" s="244" t="s">
        <v>6</v>
      </c>
      <c r="BK16" s="244" t="s">
        <v>6</v>
      </c>
      <c r="BL16" s="244" t="s">
        <v>6</v>
      </c>
      <c r="BM16" s="244" t="s">
        <v>6</v>
      </c>
      <c r="BN16" s="244" t="s">
        <v>6</v>
      </c>
      <c r="BO16" s="244" t="s">
        <v>6</v>
      </c>
      <c r="BP16" s="244" t="s">
        <v>6</v>
      </c>
      <c r="BQ16" s="244" t="s">
        <v>6</v>
      </c>
      <c r="BR16" s="244" t="s">
        <v>6</v>
      </c>
      <c r="BS16" s="244" t="s">
        <v>6</v>
      </c>
      <c r="BT16" s="244" t="s">
        <v>6</v>
      </c>
      <c r="BU16" s="244" t="s">
        <v>6</v>
      </c>
      <c r="BV16" s="244" t="s">
        <v>6</v>
      </c>
      <c r="BW16" s="244" t="s">
        <v>6</v>
      </c>
      <c r="BX16" s="244" t="s">
        <v>6</v>
      </c>
      <c r="BY16" s="244" t="s">
        <v>6</v>
      </c>
      <c r="BZ16" s="244" t="s">
        <v>6</v>
      </c>
      <c r="CA16" s="244" t="s">
        <v>6</v>
      </c>
      <c r="CB16" s="244" t="s">
        <v>6</v>
      </c>
      <c r="CC16" s="244" t="s">
        <v>6</v>
      </c>
      <c r="CD16" s="244" t="s">
        <v>6</v>
      </c>
      <c r="CE16" s="244" t="s">
        <v>6</v>
      </c>
      <c r="CF16" s="244" t="s">
        <v>6</v>
      </c>
      <c r="CG16" s="244" t="s">
        <v>6</v>
      </c>
      <c r="CH16" s="244" t="s">
        <v>6</v>
      </c>
      <c r="CI16" s="244" t="s">
        <v>6</v>
      </c>
      <c r="CJ16" s="244" t="s">
        <v>6</v>
      </c>
      <c r="CK16" s="244" t="s">
        <v>6</v>
      </c>
      <c r="CL16" s="244" t="s">
        <v>6</v>
      </c>
      <c r="CM16" s="244" t="s">
        <v>6</v>
      </c>
      <c r="CN16" s="244" t="s">
        <v>6</v>
      </c>
      <c r="CO16" s="244" t="s">
        <v>6</v>
      </c>
      <c r="CP16" s="244" t="s">
        <v>6</v>
      </c>
      <c r="CQ16" s="244" t="s">
        <v>6</v>
      </c>
      <c r="CR16" s="244" t="s">
        <v>6</v>
      </c>
      <c r="CS16" s="244" t="s">
        <v>6</v>
      </c>
      <c r="CT16" s="244" t="s">
        <v>6</v>
      </c>
      <c r="CU16" s="244" t="s">
        <v>6</v>
      </c>
      <c r="CV16" s="244" t="s">
        <v>6</v>
      </c>
      <c r="CW16" s="244" t="s">
        <v>6</v>
      </c>
      <c r="CX16" s="244" t="s">
        <v>6</v>
      </c>
      <c r="CY16" s="244" t="s">
        <v>6</v>
      </c>
      <c r="CZ16" s="244" t="s">
        <v>6</v>
      </c>
      <c r="DA16" s="244" t="s">
        <v>6</v>
      </c>
      <c r="DB16" s="244" t="s">
        <v>6</v>
      </c>
      <c r="DC16" s="244" t="s">
        <v>6</v>
      </c>
      <c r="DD16" s="244" t="s">
        <v>6</v>
      </c>
      <c r="DE16" s="244" t="s">
        <v>6</v>
      </c>
      <c r="DF16" s="244" t="s">
        <v>6</v>
      </c>
      <c r="DG16" s="244" t="s">
        <v>6</v>
      </c>
      <c r="DH16" s="244" t="s">
        <v>6</v>
      </c>
      <c r="DI16" s="244" t="s">
        <v>6</v>
      </c>
      <c r="DJ16" s="244" t="s">
        <v>6</v>
      </c>
      <c r="DK16" s="244" t="s">
        <v>6</v>
      </c>
      <c r="DL16" s="244" t="s">
        <v>6</v>
      </c>
      <c r="DM16" s="244" t="s">
        <v>6</v>
      </c>
      <c r="DN16" s="244" t="s">
        <v>6</v>
      </c>
      <c r="DO16" s="244" t="s">
        <v>6</v>
      </c>
      <c r="DP16" s="244" t="s">
        <v>6</v>
      </c>
      <c r="DQ16" s="244" t="s">
        <v>6</v>
      </c>
      <c r="DR16" s="244" t="s">
        <v>6</v>
      </c>
      <c r="DS16" s="244" t="s">
        <v>6</v>
      </c>
      <c r="DT16" s="244" t="s">
        <v>6</v>
      </c>
      <c r="DU16" s="244" t="s">
        <v>6</v>
      </c>
      <c r="DV16" s="244" t="s">
        <v>6</v>
      </c>
      <c r="DW16" s="244" t="s">
        <v>6</v>
      </c>
      <c r="DX16" s="244" t="s">
        <v>6</v>
      </c>
      <c r="DY16" s="244" t="s">
        <v>6</v>
      </c>
      <c r="DZ16" s="244" t="s">
        <v>6</v>
      </c>
      <c r="EA16" s="244" t="s">
        <v>6</v>
      </c>
      <c r="EB16" s="244" t="s">
        <v>6</v>
      </c>
      <c r="EC16" s="244" t="s">
        <v>6</v>
      </c>
      <c r="ED16" s="244" t="s">
        <v>6</v>
      </c>
      <c r="EE16" s="244" t="s">
        <v>6</v>
      </c>
      <c r="EF16" s="244" t="s">
        <v>6</v>
      </c>
      <c r="EG16" s="244" t="s">
        <v>6</v>
      </c>
      <c r="EH16" s="244" t="s">
        <v>6</v>
      </c>
      <c r="EI16" s="244" t="s">
        <v>6</v>
      </c>
      <c r="EJ16" s="244" t="s">
        <v>6</v>
      </c>
      <c r="EK16" s="244" t="s">
        <v>6</v>
      </c>
      <c r="EL16" s="244" t="s">
        <v>6</v>
      </c>
      <c r="EM16" s="244" t="s">
        <v>6</v>
      </c>
      <c r="EN16" s="244" t="s">
        <v>6</v>
      </c>
      <c r="EO16" s="244" t="s">
        <v>6</v>
      </c>
      <c r="EP16" s="244" t="s">
        <v>6</v>
      </c>
      <c r="EQ16" s="244" t="s">
        <v>6</v>
      </c>
      <c r="ER16" s="244" t="s">
        <v>6</v>
      </c>
      <c r="ES16" s="244" t="s">
        <v>6</v>
      </c>
      <c r="ET16" s="244" t="s">
        <v>6</v>
      </c>
      <c r="EU16" s="244" t="s">
        <v>6</v>
      </c>
      <c r="EV16" s="244" t="s">
        <v>6</v>
      </c>
      <c r="EW16" s="244" t="s">
        <v>6</v>
      </c>
      <c r="EX16" s="244" t="s">
        <v>6</v>
      </c>
    </row>
    <row r="17" spans="1:154" ht="13.5">
      <c r="A17" s="240" t="s">
        <v>6</v>
      </c>
      <c r="B17" s="241" t="s">
        <v>6</v>
      </c>
      <c r="C17" s="244" t="s">
        <v>6</v>
      </c>
      <c r="D17" s="244" t="s">
        <v>62</v>
      </c>
      <c r="E17" s="244" t="s">
        <v>6</v>
      </c>
      <c r="F17" s="247">
        <v>-653.72199999999998</v>
      </c>
      <c r="G17" s="250">
        <v>-0.01</v>
      </c>
      <c r="H17" s="247" t="s">
        <v>63</v>
      </c>
      <c r="I17" s="251">
        <v>0.04</v>
      </c>
      <c r="J17" s="245" t="s">
        <v>64</v>
      </c>
      <c r="K17" s="244" t="s">
        <v>6</v>
      </c>
      <c r="L17" s="244" t="s">
        <v>6</v>
      </c>
      <c r="M17" s="244" t="s">
        <v>6</v>
      </c>
      <c r="N17" s="244" t="s">
        <v>6</v>
      </c>
      <c r="O17" s="244" t="s">
        <v>6</v>
      </c>
      <c r="P17" s="244" t="s">
        <v>6</v>
      </c>
      <c r="Q17" s="244" t="s">
        <v>6</v>
      </c>
      <c r="R17" s="244" t="s">
        <v>6</v>
      </c>
      <c r="S17" s="244" t="s">
        <v>6</v>
      </c>
      <c r="T17" s="244" t="s">
        <v>6</v>
      </c>
      <c r="U17" s="244" t="s">
        <v>6</v>
      </c>
      <c r="V17" s="244" t="s">
        <v>6</v>
      </c>
      <c r="W17" s="244" t="s">
        <v>6</v>
      </c>
      <c r="X17" s="244" t="s">
        <v>6</v>
      </c>
      <c r="Y17" s="244" t="s">
        <v>6</v>
      </c>
      <c r="Z17" s="244" t="s">
        <v>6</v>
      </c>
      <c r="AA17" s="244" t="s">
        <v>6</v>
      </c>
      <c r="AB17" s="244" t="s">
        <v>6</v>
      </c>
      <c r="AC17" s="244" t="s">
        <v>6</v>
      </c>
      <c r="AD17" s="244" t="s">
        <v>6</v>
      </c>
      <c r="AE17" s="244" t="s">
        <v>6</v>
      </c>
      <c r="AF17" s="244" t="s">
        <v>6</v>
      </c>
      <c r="AG17" s="244" t="s">
        <v>6</v>
      </c>
      <c r="AH17" s="244" t="s">
        <v>6</v>
      </c>
      <c r="AI17" s="244" t="s">
        <v>6</v>
      </c>
      <c r="AJ17" s="244" t="s">
        <v>6</v>
      </c>
      <c r="AK17" s="244" t="s">
        <v>6</v>
      </c>
      <c r="AL17" s="244" t="s">
        <v>6</v>
      </c>
      <c r="AM17" s="244" t="s">
        <v>6</v>
      </c>
      <c r="AN17" s="244" t="s">
        <v>6</v>
      </c>
      <c r="AO17" s="244" t="s">
        <v>6</v>
      </c>
      <c r="AP17" s="244" t="s">
        <v>6</v>
      </c>
      <c r="AQ17" s="244" t="s">
        <v>6</v>
      </c>
      <c r="AR17" s="244" t="s">
        <v>6</v>
      </c>
      <c r="AS17" s="244" t="s">
        <v>6</v>
      </c>
      <c r="AT17" s="244" t="s">
        <v>6</v>
      </c>
      <c r="AU17" s="244" t="s">
        <v>6</v>
      </c>
      <c r="AV17" s="244" t="s">
        <v>6</v>
      </c>
      <c r="AW17" s="244" t="s">
        <v>6</v>
      </c>
      <c r="AX17" s="244" t="s">
        <v>6</v>
      </c>
      <c r="AY17" s="244" t="s">
        <v>6</v>
      </c>
      <c r="AZ17" s="244" t="s">
        <v>6</v>
      </c>
      <c r="BA17" s="244" t="s">
        <v>6</v>
      </c>
      <c r="BB17" s="244" t="s">
        <v>6</v>
      </c>
      <c r="BC17" s="244" t="s">
        <v>6</v>
      </c>
      <c r="BD17" s="244" t="s">
        <v>6</v>
      </c>
      <c r="BE17" s="244" t="s">
        <v>6</v>
      </c>
      <c r="BF17" s="244" t="s">
        <v>6</v>
      </c>
      <c r="BG17" s="244" t="s">
        <v>6</v>
      </c>
      <c r="BH17" s="244" t="s">
        <v>6</v>
      </c>
      <c r="BI17" s="244" t="s">
        <v>6</v>
      </c>
      <c r="BJ17" s="244" t="s">
        <v>6</v>
      </c>
      <c r="BK17" s="244" t="s">
        <v>6</v>
      </c>
      <c r="BL17" s="244" t="s">
        <v>6</v>
      </c>
      <c r="BM17" s="244" t="s">
        <v>6</v>
      </c>
      <c r="BN17" s="244" t="s">
        <v>6</v>
      </c>
      <c r="BO17" s="244" t="s">
        <v>6</v>
      </c>
      <c r="BP17" s="244" t="s">
        <v>6</v>
      </c>
      <c r="BQ17" s="244" t="s">
        <v>6</v>
      </c>
      <c r="BR17" s="244" t="s">
        <v>6</v>
      </c>
      <c r="BS17" s="244" t="s">
        <v>6</v>
      </c>
      <c r="BT17" s="244" t="s">
        <v>6</v>
      </c>
      <c r="BU17" s="244" t="s">
        <v>6</v>
      </c>
      <c r="BV17" s="244" t="s">
        <v>6</v>
      </c>
      <c r="BW17" s="244" t="s">
        <v>6</v>
      </c>
      <c r="BX17" s="244" t="s">
        <v>6</v>
      </c>
      <c r="BY17" s="244" t="s">
        <v>6</v>
      </c>
      <c r="BZ17" s="244" t="s">
        <v>6</v>
      </c>
      <c r="CA17" s="244" t="s">
        <v>6</v>
      </c>
      <c r="CB17" s="244" t="s">
        <v>6</v>
      </c>
      <c r="CC17" s="244" t="s">
        <v>6</v>
      </c>
      <c r="CD17" s="244" t="s">
        <v>6</v>
      </c>
      <c r="CE17" s="244" t="s">
        <v>6</v>
      </c>
      <c r="CF17" s="244" t="s">
        <v>6</v>
      </c>
      <c r="CG17" s="244" t="s">
        <v>6</v>
      </c>
      <c r="CH17" s="244" t="s">
        <v>6</v>
      </c>
      <c r="CI17" s="244" t="s">
        <v>6</v>
      </c>
      <c r="CJ17" s="244" t="s">
        <v>6</v>
      </c>
      <c r="CK17" s="244" t="s">
        <v>6</v>
      </c>
      <c r="CL17" s="244" t="s">
        <v>6</v>
      </c>
      <c r="CM17" s="244" t="s">
        <v>6</v>
      </c>
      <c r="CN17" s="244" t="s">
        <v>6</v>
      </c>
      <c r="CO17" s="244" t="s">
        <v>6</v>
      </c>
      <c r="CP17" s="244" t="s">
        <v>6</v>
      </c>
      <c r="CQ17" s="244" t="s">
        <v>6</v>
      </c>
      <c r="CR17" s="244" t="s">
        <v>6</v>
      </c>
      <c r="CS17" s="244" t="s">
        <v>6</v>
      </c>
      <c r="CT17" s="244" t="s">
        <v>6</v>
      </c>
      <c r="CU17" s="244" t="s">
        <v>6</v>
      </c>
      <c r="CV17" s="244" t="s">
        <v>6</v>
      </c>
      <c r="CW17" s="244" t="s">
        <v>6</v>
      </c>
      <c r="CX17" s="244" t="s">
        <v>6</v>
      </c>
      <c r="CY17" s="244" t="s">
        <v>6</v>
      </c>
      <c r="CZ17" s="244" t="s">
        <v>6</v>
      </c>
      <c r="DA17" s="244" t="s">
        <v>6</v>
      </c>
      <c r="DB17" s="244" t="s">
        <v>6</v>
      </c>
      <c r="DC17" s="244" t="s">
        <v>6</v>
      </c>
      <c r="DD17" s="244" t="s">
        <v>6</v>
      </c>
      <c r="DE17" s="244" t="s">
        <v>6</v>
      </c>
      <c r="DF17" s="244" t="s">
        <v>6</v>
      </c>
      <c r="DG17" s="244" t="s">
        <v>6</v>
      </c>
      <c r="DH17" s="244" t="s">
        <v>6</v>
      </c>
      <c r="DI17" s="244" t="s">
        <v>6</v>
      </c>
      <c r="DJ17" s="244" t="s">
        <v>6</v>
      </c>
      <c r="DK17" s="244" t="s">
        <v>6</v>
      </c>
      <c r="DL17" s="244" t="s">
        <v>6</v>
      </c>
      <c r="DM17" s="244" t="s">
        <v>6</v>
      </c>
      <c r="DN17" s="244" t="s">
        <v>6</v>
      </c>
      <c r="DO17" s="244" t="s">
        <v>6</v>
      </c>
      <c r="DP17" s="244" t="s">
        <v>6</v>
      </c>
      <c r="DQ17" s="244" t="s">
        <v>6</v>
      </c>
      <c r="DR17" s="244" t="s">
        <v>6</v>
      </c>
      <c r="DS17" s="244" t="s">
        <v>6</v>
      </c>
      <c r="DT17" s="244" t="s">
        <v>6</v>
      </c>
      <c r="DU17" s="244" t="s">
        <v>6</v>
      </c>
      <c r="DV17" s="244" t="s">
        <v>6</v>
      </c>
      <c r="DW17" s="244" t="s">
        <v>6</v>
      </c>
      <c r="DX17" s="244" t="s">
        <v>6</v>
      </c>
      <c r="DY17" s="244" t="s">
        <v>6</v>
      </c>
      <c r="DZ17" s="244" t="s">
        <v>6</v>
      </c>
      <c r="EA17" s="244" t="s">
        <v>6</v>
      </c>
      <c r="EB17" s="244" t="s">
        <v>6</v>
      </c>
      <c r="EC17" s="244" t="s">
        <v>6</v>
      </c>
      <c r="ED17" s="244" t="s">
        <v>6</v>
      </c>
      <c r="EE17" s="244" t="s">
        <v>6</v>
      </c>
      <c r="EF17" s="244" t="s">
        <v>6</v>
      </c>
      <c r="EG17" s="244" t="s">
        <v>6</v>
      </c>
      <c r="EH17" s="244" t="s">
        <v>6</v>
      </c>
      <c r="EI17" s="244" t="s">
        <v>6</v>
      </c>
      <c r="EJ17" s="244" t="s">
        <v>6</v>
      </c>
      <c r="EK17" s="244" t="s">
        <v>6</v>
      </c>
      <c r="EL17" s="244" t="s">
        <v>6</v>
      </c>
      <c r="EM17" s="244" t="s">
        <v>6</v>
      </c>
      <c r="EN17" s="244" t="s">
        <v>6</v>
      </c>
      <c r="EO17" s="244" t="s">
        <v>6</v>
      </c>
      <c r="EP17" s="244" t="s">
        <v>6</v>
      </c>
      <c r="EQ17" s="244" t="s">
        <v>6</v>
      </c>
      <c r="ER17" s="244" t="s">
        <v>6</v>
      </c>
      <c r="ES17" s="244" t="s">
        <v>6</v>
      </c>
      <c r="ET17" s="244" t="s">
        <v>6</v>
      </c>
      <c r="EU17" s="244" t="s">
        <v>6</v>
      </c>
      <c r="EV17" s="244" t="s">
        <v>6</v>
      </c>
      <c r="EW17" s="244" t="s">
        <v>6</v>
      </c>
      <c r="EX17" s="244" t="s">
        <v>6</v>
      </c>
    </row>
    <row r="18" spans="1:154" ht="13.5">
      <c r="A18" s="240" t="s">
        <v>6</v>
      </c>
      <c r="B18" s="241" t="s">
        <v>6</v>
      </c>
      <c r="C18" s="244" t="s">
        <v>65</v>
      </c>
      <c r="D18" s="244"/>
      <c r="E18" s="244" t="s">
        <v>6</v>
      </c>
      <c r="F18" s="252" t="s">
        <v>66</v>
      </c>
      <c r="G18" s="247" t="s">
        <v>6</v>
      </c>
      <c r="H18" s="252">
        <v>298.916</v>
      </c>
      <c r="I18" s="232" t="s">
        <v>6</v>
      </c>
      <c r="J18" s="244" t="s">
        <v>6</v>
      </c>
      <c r="K18" s="244" t="s">
        <v>6</v>
      </c>
      <c r="L18" s="244" t="s">
        <v>6</v>
      </c>
      <c r="M18" s="244" t="s">
        <v>6</v>
      </c>
      <c r="N18" s="244" t="s">
        <v>6</v>
      </c>
      <c r="O18" s="244" t="s">
        <v>6</v>
      </c>
      <c r="P18" s="244" t="s">
        <v>6</v>
      </c>
      <c r="Q18" s="244" t="s">
        <v>6</v>
      </c>
      <c r="R18" s="244" t="s">
        <v>6</v>
      </c>
      <c r="S18" s="244" t="s">
        <v>6</v>
      </c>
      <c r="T18" s="244" t="s">
        <v>6</v>
      </c>
      <c r="U18" s="244" t="s">
        <v>6</v>
      </c>
      <c r="V18" s="244" t="s">
        <v>6</v>
      </c>
      <c r="W18" s="244" t="s">
        <v>6</v>
      </c>
      <c r="X18" s="244" t="s">
        <v>6</v>
      </c>
      <c r="Y18" s="244" t="s">
        <v>6</v>
      </c>
      <c r="Z18" s="244" t="s">
        <v>6</v>
      </c>
      <c r="AA18" s="244" t="s">
        <v>6</v>
      </c>
      <c r="AB18" s="244" t="s">
        <v>6</v>
      </c>
      <c r="AC18" s="244" t="s">
        <v>6</v>
      </c>
      <c r="AD18" s="244" t="s">
        <v>6</v>
      </c>
      <c r="AE18" s="244" t="s">
        <v>6</v>
      </c>
      <c r="AF18" s="244" t="s">
        <v>6</v>
      </c>
      <c r="AG18" s="244" t="s">
        <v>6</v>
      </c>
      <c r="AH18" s="244" t="s">
        <v>6</v>
      </c>
      <c r="AI18" s="244" t="s">
        <v>6</v>
      </c>
      <c r="AJ18" s="244" t="s">
        <v>6</v>
      </c>
      <c r="AK18" s="244" t="s">
        <v>6</v>
      </c>
      <c r="AL18" s="244" t="s">
        <v>6</v>
      </c>
      <c r="AM18" s="244" t="s">
        <v>6</v>
      </c>
      <c r="AN18" s="244" t="s">
        <v>6</v>
      </c>
      <c r="AO18" s="244" t="s">
        <v>6</v>
      </c>
      <c r="AP18" s="244" t="s">
        <v>6</v>
      </c>
      <c r="AQ18" s="244" t="s">
        <v>6</v>
      </c>
      <c r="AR18" s="244" t="s">
        <v>6</v>
      </c>
      <c r="AS18" s="244" t="s">
        <v>6</v>
      </c>
      <c r="AT18" s="244" t="s">
        <v>6</v>
      </c>
      <c r="AU18" s="244" t="s">
        <v>6</v>
      </c>
      <c r="AV18" s="244" t="s">
        <v>6</v>
      </c>
      <c r="AW18" s="244" t="s">
        <v>6</v>
      </c>
      <c r="AX18" s="244" t="s">
        <v>6</v>
      </c>
      <c r="AY18" s="244" t="s">
        <v>6</v>
      </c>
      <c r="AZ18" s="244" t="s">
        <v>6</v>
      </c>
      <c r="BA18" s="244" t="s">
        <v>6</v>
      </c>
      <c r="BB18" s="244" t="s">
        <v>6</v>
      </c>
      <c r="BC18" s="244" t="s">
        <v>6</v>
      </c>
      <c r="BD18" s="244" t="s">
        <v>6</v>
      </c>
      <c r="BE18" s="244" t="s">
        <v>6</v>
      </c>
      <c r="BF18" s="244" t="s">
        <v>6</v>
      </c>
      <c r="BG18" s="244" t="s">
        <v>6</v>
      </c>
      <c r="BH18" s="244" t="s">
        <v>6</v>
      </c>
      <c r="BI18" s="244" t="s">
        <v>6</v>
      </c>
      <c r="BJ18" s="244" t="s">
        <v>6</v>
      </c>
      <c r="BK18" s="244" t="s">
        <v>6</v>
      </c>
      <c r="BL18" s="244" t="s">
        <v>6</v>
      </c>
      <c r="BM18" s="244" t="s">
        <v>6</v>
      </c>
      <c r="BN18" s="244" t="s">
        <v>6</v>
      </c>
      <c r="BO18" s="244" t="s">
        <v>6</v>
      </c>
      <c r="BP18" s="244" t="s">
        <v>6</v>
      </c>
      <c r="BQ18" s="244" t="s">
        <v>6</v>
      </c>
      <c r="BR18" s="244" t="s">
        <v>6</v>
      </c>
      <c r="BS18" s="244" t="s">
        <v>6</v>
      </c>
      <c r="BT18" s="244" t="s">
        <v>6</v>
      </c>
      <c r="BU18" s="244" t="s">
        <v>6</v>
      </c>
      <c r="BV18" s="244" t="s">
        <v>6</v>
      </c>
      <c r="BW18" s="244" t="s">
        <v>6</v>
      </c>
      <c r="BX18" s="244" t="s">
        <v>6</v>
      </c>
      <c r="BY18" s="244" t="s">
        <v>6</v>
      </c>
      <c r="BZ18" s="244" t="s">
        <v>6</v>
      </c>
      <c r="CA18" s="244" t="s">
        <v>6</v>
      </c>
      <c r="CB18" s="244" t="s">
        <v>6</v>
      </c>
      <c r="CC18" s="244" t="s">
        <v>6</v>
      </c>
      <c r="CD18" s="244" t="s">
        <v>6</v>
      </c>
      <c r="CE18" s="244" t="s">
        <v>6</v>
      </c>
      <c r="CF18" s="244" t="s">
        <v>6</v>
      </c>
      <c r="CG18" s="244" t="s">
        <v>6</v>
      </c>
      <c r="CH18" s="244" t="s">
        <v>6</v>
      </c>
      <c r="CI18" s="244" t="s">
        <v>6</v>
      </c>
      <c r="CJ18" s="244" t="s">
        <v>6</v>
      </c>
      <c r="CK18" s="244" t="s">
        <v>6</v>
      </c>
      <c r="CL18" s="244" t="s">
        <v>6</v>
      </c>
      <c r="CM18" s="244" t="s">
        <v>6</v>
      </c>
      <c r="CN18" s="244" t="s">
        <v>6</v>
      </c>
      <c r="CO18" s="244" t="s">
        <v>6</v>
      </c>
      <c r="CP18" s="244" t="s">
        <v>6</v>
      </c>
      <c r="CQ18" s="244" t="s">
        <v>6</v>
      </c>
      <c r="CR18" s="244" t="s">
        <v>6</v>
      </c>
      <c r="CS18" s="244" t="s">
        <v>6</v>
      </c>
      <c r="CT18" s="244" t="s">
        <v>6</v>
      </c>
      <c r="CU18" s="244" t="s">
        <v>6</v>
      </c>
      <c r="CV18" s="244" t="s">
        <v>6</v>
      </c>
      <c r="CW18" s="244" t="s">
        <v>6</v>
      </c>
      <c r="CX18" s="244" t="s">
        <v>6</v>
      </c>
      <c r="CY18" s="244" t="s">
        <v>6</v>
      </c>
      <c r="CZ18" s="244" t="s">
        <v>6</v>
      </c>
      <c r="DA18" s="244" t="s">
        <v>6</v>
      </c>
      <c r="DB18" s="244" t="s">
        <v>6</v>
      </c>
      <c r="DC18" s="244" t="s">
        <v>6</v>
      </c>
      <c r="DD18" s="244" t="s">
        <v>6</v>
      </c>
      <c r="DE18" s="244" t="s">
        <v>6</v>
      </c>
      <c r="DF18" s="244" t="s">
        <v>6</v>
      </c>
      <c r="DG18" s="244" t="s">
        <v>6</v>
      </c>
      <c r="DH18" s="244" t="s">
        <v>6</v>
      </c>
      <c r="DI18" s="244" t="s">
        <v>6</v>
      </c>
      <c r="DJ18" s="244" t="s">
        <v>6</v>
      </c>
      <c r="DK18" s="244" t="s">
        <v>6</v>
      </c>
      <c r="DL18" s="244" t="s">
        <v>6</v>
      </c>
      <c r="DM18" s="244" t="s">
        <v>6</v>
      </c>
      <c r="DN18" s="244" t="s">
        <v>6</v>
      </c>
      <c r="DO18" s="244" t="s">
        <v>6</v>
      </c>
      <c r="DP18" s="244" t="s">
        <v>6</v>
      </c>
      <c r="DQ18" s="244" t="s">
        <v>6</v>
      </c>
      <c r="DR18" s="244" t="s">
        <v>6</v>
      </c>
      <c r="DS18" s="244" t="s">
        <v>6</v>
      </c>
      <c r="DT18" s="244" t="s">
        <v>6</v>
      </c>
      <c r="DU18" s="244" t="s">
        <v>6</v>
      </c>
      <c r="DV18" s="244" t="s">
        <v>6</v>
      </c>
      <c r="DW18" s="244" t="s">
        <v>6</v>
      </c>
      <c r="DX18" s="244" t="s">
        <v>6</v>
      </c>
      <c r="DY18" s="244" t="s">
        <v>6</v>
      </c>
      <c r="DZ18" s="244" t="s">
        <v>6</v>
      </c>
      <c r="EA18" s="244" t="s">
        <v>6</v>
      </c>
      <c r="EB18" s="244" t="s">
        <v>6</v>
      </c>
      <c r="EC18" s="244" t="s">
        <v>6</v>
      </c>
      <c r="ED18" s="244" t="s">
        <v>6</v>
      </c>
      <c r="EE18" s="244" t="s">
        <v>6</v>
      </c>
      <c r="EF18" s="244" t="s">
        <v>6</v>
      </c>
      <c r="EG18" s="244" t="s">
        <v>6</v>
      </c>
      <c r="EH18" s="244" t="s">
        <v>6</v>
      </c>
      <c r="EI18" s="244" t="s">
        <v>6</v>
      </c>
      <c r="EJ18" s="244" t="s">
        <v>6</v>
      </c>
      <c r="EK18" s="244" t="s">
        <v>6</v>
      </c>
      <c r="EL18" s="244" t="s">
        <v>6</v>
      </c>
      <c r="EM18" s="244" t="s">
        <v>6</v>
      </c>
      <c r="EN18" s="244" t="s">
        <v>6</v>
      </c>
      <c r="EO18" s="244" t="s">
        <v>6</v>
      </c>
      <c r="EP18" s="244" t="s">
        <v>6</v>
      </c>
      <c r="EQ18" s="244" t="s">
        <v>6</v>
      </c>
      <c r="ER18" s="244" t="s">
        <v>6</v>
      </c>
      <c r="ES18" s="244" t="s">
        <v>6</v>
      </c>
      <c r="ET18" s="244" t="s">
        <v>6</v>
      </c>
      <c r="EU18" s="244" t="s">
        <v>6</v>
      </c>
      <c r="EV18" s="244" t="s">
        <v>6</v>
      </c>
      <c r="EW18" s="244" t="s">
        <v>6</v>
      </c>
      <c r="EX18" s="244" t="s">
        <v>6</v>
      </c>
    </row>
    <row r="19" spans="1:154" ht="13.5">
      <c r="A19" s="240" t="s">
        <v>6</v>
      </c>
      <c r="B19" s="241" t="s">
        <v>6</v>
      </c>
      <c r="C19" s="244" t="s">
        <v>67</v>
      </c>
      <c r="D19" s="244" t="s">
        <v>6</v>
      </c>
      <c r="E19" s="244" t="s">
        <v>6</v>
      </c>
      <c r="F19" s="252" t="s">
        <v>68</v>
      </c>
      <c r="G19" s="247" t="s">
        <v>6</v>
      </c>
      <c r="H19" s="252" t="s">
        <v>69</v>
      </c>
      <c r="I19" s="232" t="s">
        <v>6</v>
      </c>
      <c r="J19" s="244" t="s">
        <v>6</v>
      </c>
      <c r="K19" s="244" t="s">
        <v>6</v>
      </c>
      <c r="L19" s="244" t="s">
        <v>6</v>
      </c>
      <c r="M19" s="244" t="s">
        <v>6</v>
      </c>
      <c r="N19" s="244" t="s">
        <v>6</v>
      </c>
      <c r="O19" s="244" t="s">
        <v>6</v>
      </c>
      <c r="P19" s="244" t="s">
        <v>6</v>
      </c>
      <c r="Q19" s="244" t="s">
        <v>6</v>
      </c>
      <c r="R19" s="244" t="s">
        <v>6</v>
      </c>
      <c r="S19" s="244" t="s">
        <v>6</v>
      </c>
      <c r="T19" s="244" t="s">
        <v>6</v>
      </c>
      <c r="U19" s="244" t="s">
        <v>6</v>
      </c>
      <c r="V19" s="244" t="s">
        <v>6</v>
      </c>
      <c r="W19" s="244" t="s">
        <v>6</v>
      </c>
      <c r="X19" s="244" t="s">
        <v>6</v>
      </c>
      <c r="Y19" s="244" t="s">
        <v>6</v>
      </c>
      <c r="Z19" s="244" t="s">
        <v>6</v>
      </c>
      <c r="AA19" s="244" t="s">
        <v>6</v>
      </c>
      <c r="AB19" s="244" t="s">
        <v>6</v>
      </c>
      <c r="AC19" s="244" t="s">
        <v>6</v>
      </c>
      <c r="AD19" s="244" t="s">
        <v>6</v>
      </c>
      <c r="AE19" s="244" t="s">
        <v>6</v>
      </c>
      <c r="AF19" s="244" t="s">
        <v>6</v>
      </c>
      <c r="AG19" s="244" t="s">
        <v>6</v>
      </c>
      <c r="AH19" s="244" t="s">
        <v>6</v>
      </c>
      <c r="AI19" s="244" t="s">
        <v>6</v>
      </c>
      <c r="AJ19" s="244" t="s">
        <v>6</v>
      </c>
      <c r="AK19" s="244" t="s">
        <v>6</v>
      </c>
      <c r="AL19" s="244" t="s">
        <v>6</v>
      </c>
      <c r="AM19" s="244" t="s">
        <v>6</v>
      </c>
      <c r="AN19" s="244" t="s">
        <v>6</v>
      </c>
      <c r="AO19" s="244" t="s">
        <v>6</v>
      </c>
      <c r="AP19" s="244" t="s">
        <v>6</v>
      </c>
      <c r="AQ19" s="244" t="s">
        <v>6</v>
      </c>
      <c r="AR19" s="244" t="s">
        <v>6</v>
      </c>
      <c r="AS19" s="244" t="s">
        <v>6</v>
      </c>
      <c r="AT19" s="244" t="s">
        <v>6</v>
      </c>
      <c r="AU19" s="244" t="s">
        <v>6</v>
      </c>
      <c r="AV19" s="244" t="s">
        <v>6</v>
      </c>
      <c r="AW19" s="244" t="s">
        <v>6</v>
      </c>
      <c r="AX19" s="244" t="s">
        <v>6</v>
      </c>
      <c r="AY19" s="244" t="s">
        <v>6</v>
      </c>
      <c r="AZ19" s="244" t="s">
        <v>6</v>
      </c>
      <c r="BA19" s="244" t="s">
        <v>6</v>
      </c>
      <c r="BB19" s="244" t="s">
        <v>6</v>
      </c>
      <c r="BC19" s="244" t="s">
        <v>6</v>
      </c>
      <c r="BD19" s="244" t="s">
        <v>6</v>
      </c>
      <c r="BE19" s="244" t="s">
        <v>6</v>
      </c>
      <c r="BF19" s="244" t="s">
        <v>6</v>
      </c>
      <c r="BG19" s="244" t="s">
        <v>6</v>
      </c>
      <c r="BH19" s="244" t="s">
        <v>6</v>
      </c>
      <c r="BI19" s="244" t="s">
        <v>6</v>
      </c>
      <c r="BJ19" s="244" t="s">
        <v>6</v>
      </c>
      <c r="BK19" s="244" t="s">
        <v>6</v>
      </c>
      <c r="BL19" s="244" t="s">
        <v>6</v>
      </c>
      <c r="BM19" s="244" t="s">
        <v>6</v>
      </c>
      <c r="BN19" s="244" t="s">
        <v>6</v>
      </c>
      <c r="BO19" s="244" t="s">
        <v>6</v>
      </c>
      <c r="BP19" s="244" t="s">
        <v>6</v>
      </c>
      <c r="BQ19" s="244" t="s">
        <v>6</v>
      </c>
      <c r="BR19" s="244" t="s">
        <v>6</v>
      </c>
      <c r="BS19" s="244" t="s">
        <v>6</v>
      </c>
      <c r="BT19" s="244" t="s">
        <v>6</v>
      </c>
      <c r="BU19" s="244" t="s">
        <v>6</v>
      </c>
      <c r="BV19" s="244" t="s">
        <v>6</v>
      </c>
      <c r="BW19" s="244" t="s">
        <v>6</v>
      </c>
      <c r="BX19" s="244" t="s">
        <v>6</v>
      </c>
      <c r="BY19" s="244" t="s">
        <v>6</v>
      </c>
      <c r="BZ19" s="244" t="s">
        <v>6</v>
      </c>
      <c r="CA19" s="244" t="s">
        <v>6</v>
      </c>
      <c r="CB19" s="244" t="s">
        <v>6</v>
      </c>
      <c r="CC19" s="244" t="s">
        <v>6</v>
      </c>
      <c r="CD19" s="244" t="s">
        <v>6</v>
      </c>
      <c r="CE19" s="244" t="s">
        <v>6</v>
      </c>
      <c r="CF19" s="244" t="s">
        <v>6</v>
      </c>
      <c r="CG19" s="244" t="s">
        <v>6</v>
      </c>
      <c r="CH19" s="244" t="s">
        <v>6</v>
      </c>
      <c r="CI19" s="244" t="s">
        <v>6</v>
      </c>
      <c r="CJ19" s="244" t="s">
        <v>6</v>
      </c>
      <c r="CK19" s="244" t="s">
        <v>6</v>
      </c>
      <c r="CL19" s="244" t="s">
        <v>6</v>
      </c>
      <c r="CM19" s="244" t="s">
        <v>6</v>
      </c>
      <c r="CN19" s="244" t="s">
        <v>6</v>
      </c>
      <c r="CO19" s="244" t="s">
        <v>6</v>
      </c>
      <c r="CP19" s="244" t="s">
        <v>6</v>
      </c>
      <c r="CQ19" s="244" t="s">
        <v>6</v>
      </c>
      <c r="CR19" s="244" t="s">
        <v>6</v>
      </c>
      <c r="CS19" s="244" t="s">
        <v>6</v>
      </c>
      <c r="CT19" s="244" t="s">
        <v>6</v>
      </c>
      <c r="CU19" s="244" t="s">
        <v>6</v>
      </c>
      <c r="CV19" s="244" t="s">
        <v>6</v>
      </c>
      <c r="CW19" s="244" t="s">
        <v>6</v>
      </c>
      <c r="CX19" s="244" t="s">
        <v>6</v>
      </c>
      <c r="CY19" s="244" t="s">
        <v>6</v>
      </c>
      <c r="CZ19" s="244" t="s">
        <v>6</v>
      </c>
      <c r="DA19" s="244" t="s">
        <v>6</v>
      </c>
      <c r="DB19" s="244" t="s">
        <v>6</v>
      </c>
      <c r="DC19" s="244" t="s">
        <v>6</v>
      </c>
      <c r="DD19" s="244" t="s">
        <v>6</v>
      </c>
      <c r="DE19" s="244" t="s">
        <v>6</v>
      </c>
      <c r="DF19" s="244" t="s">
        <v>6</v>
      </c>
      <c r="DG19" s="244" t="s">
        <v>6</v>
      </c>
      <c r="DH19" s="244" t="s">
        <v>6</v>
      </c>
      <c r="DI19" s="244" t="s">
        <v>6</v>
      </c>
      <c r="DJ19" s="244" t="s">
        <v>6</v>
      </c>
      <c r="DK19" s="244" t="s">
        <v>6</v>
      </c>
      <c r="DL19" s="244" t="s">
        <v>6</v>
      </c>
      <c r="DM19" s="244" t="s">
        <v>6</v>
      </c>
      <c r="DN19" s="244" t="s">
        <v>6</v>
      </c>
      <c r="DO19" s="244" t="s">
        <v>6</v>
      </c>
      <c r="DP19" s="244" t="s">
        <v>6</v>
      </c>
      <c r="DQ19" s="244" t="s">
        <v>6</v>
      </c>
      <c r="DR19" s="244" t="s">
        <v>6</v>
      </c>
      <c r="DS19" s="244" t="s">
        <v>6</v>
      </c>
      <c r="DT19" s="244" t="s">
        <v>6</v>
      </c>
      <c r="DU19" s="244" t="s">
        <v>6</v>
      </c>
      <c r="DV19" s="244" t="s">
        <v>6</v>
      </c>
      <c r="DW19" s="244" t="s">
        <v>6</v>
      </c>
      <c r="DX19" s="244" t="s">
        <v>6</v>
      </c>
      <c r="DY19" s="244" t="s">
        <v>6</v>
      </c>
      <c r="DZ19" s="244" t="s">
        <v>6</v>
      </c>
      <c r="EA19" s="244" t="s">
        <v>6</v>
      </c>
      <c r="EB19" s="244" t="s">
        <v>6</v>
      </c>
      <c r="EC19" s="244" t="s">
        <v>6</v>
      </c>
      <c r="ED19" s="244" t="s">
        <v>6</v>
      </c>
      <c r="EE19" s="244" t="s">
        <v>6</v>
      </c>
      <c r="EF19" s="244" t="s">
        <v>6</v>
      </c>
      <c r="EG19" s="244" t="s">
        <v>6</v>
      </c>
      <c r="EH19" s="244" t="s">
        <v>6</v>
      </c>
      <c r="EI19" s="244" t="s">
        <v>6</v>
      </c>
      <c r="EJ19" s="244" t="s">
        <v>6</v>
      </c>
      <c r="EK19" s="244" t="s">
        <v>6</v>
      </c>
      <c r="EL19" s="244" t="s">
        <v>6</v>
      </c>
      <c r="EM19" s="244" t="s">
        <v>6</v>
      </c>
      <c r="EN19" s="244" t="s">
        <v>6</v>
      </c>
      <c r="EO19" s="244" t="s">
        <v>6</v>
      </c>
      <c r="EP19" s="244" t="s">
        <v>6</v>
      </c>
      <c r="EQ19" s="244" t="s">
        <v>6</v>
      </c>
      <c r="ER19" s="244" t="s">
        <v>6</v>
      </c>
      <c r="ES19" s="244" t="s">
        <v>6</v>
      </c>
      <c r="ET19" s="244" t="s">
        <v>6</v>
      </c>
      <c r="EU19" s="244" t="s">
        <v>6</v>
      </c>
      <c r="EV19" s="244" t="s">
        <v>6</v>
      </c>
      <c r="EW19" s="244" t="s">
        <v>6</v>
      </c>
      <c r="EX19" s="244" t="s">
        <v>6</v>
      </c>
    </row>
    <row r="20" spans="1:154" ht="13.5">
      <c r="A20" s="240" t="s">
        <v>6</v>
      </c>
      <c r="B20" s="241" t="s">
        <v>6</v>
      </c>
      <c r="C20" s="244" t="s">
        <v>6</v>
      </c>
      <c r="D20" s="244" t="s">
        <v>70</v>
      </c>
      <c r="E20" s="244"/>
      <c r="F20" s="255" t="s">
        <v>71</v>
      </c>
      <c r="G20" s="256" t="s">
        <v>6</v>
      </c>
      <c r="H20" s="254" t="s">
        <v>72</v>
      </c>
      <c r="I20" s="232" t="s">
        <v>6</v>
      </c>
      <c r="J20" s="244" t="s">
        <v>6</v>
      </c>
      <c r="K20" s="244" t="s">
        <v>6</v>
      </c>
      <c r="L20" s="244" t="s">
        <v>6</v>
      </c>
      <c r="M20" s="244" t="s">
        <v>6</v>
      </c>
      <c r="N20" s="244" t="s">
        <v>6</v>
      </c>
      <c r="O20" s="244" t="s">
        <v>6</v>
      </c>
      <c r="P20" s="244" t="s">
        <v>6</v>
      </c>
      <c r="Q20" s="244" t="s">
        <v>6</v>
      </c>
      <c r="R20" s="244" t="s">
        <v>6</v>
      </c>
      <c r="S20" s="244" t="s">
        <v>6</v>
      </c>
      <c r="T20" s="244" t="s">
        <v>6</v>
      </c>
      <c r="U20" s="244" t="s">
        <v>6</v>
      </c>
      <c r="V20" s="244" t="s">
        <v>6</v>
      </c>
      <c r="W20" s="244" t="s">
        <v>6</v>
      </c>
      <c r="X20" s="244" t="s">
        <v>6</v>
      </c>
      <c r="Y20" s="244" t="s">
        <v>6</v>
      </c>
      <c r="Z20" s="244" t="s">
        <v>6</v>
      </c>
      <c r="AA20" s="244" t="s">
        <v>6</v>
      </c>
      <c r="AB20" s="244" t="s">
        <v>6</v>
      </c>
      <c r="AC20" s="244" t="s">
        <v>6</v>
      </c>
      <c r="AD20" s="244" t="s">
        <v>6</v>
      </c>
      <c r="AE20" s="244" t="s">
        <v>6</v>
      </c>
      <c r="AF20" s="244" t="s">
        <v>6</v>
      </c>
      <c r="AG20" s="244" t="s">
        <v>6</v>
      </c>
      <c r="AH20" s="244" t="s">
        <v>6</v>
      </c>
      <c r="AI20" s="244" t="s">
        <v>6</v>
      </c>
      <c r="AJ20" s="244" t="s">
        <v>6</v>
      </c>
      <c r="AK20" s="244" t="s">
        <v>6</v>
      </c>
      <c r="AL20" s="244" t="s">
        <v>6</v>
      </c>
      <c r="AM20" s="244" t="s">
        <v>6</v>
      </c>
      <c r="AN20" s="244" t="s">
        <v>6</v>
      </c>
      <c r="AO20" s="244" t="s">
        <v>6</v>
      </c>
      <c r="AP20" s="244" t="s">
        <v>6</v>
      </c>
      <c r="AQ20" s="244" t="s">
        <v>6</v>
      </c>
      <c r="AR20" s="244" t="s">
        <v>6</v>
      </c>
      <c r="AS20" s="244" t="s">
        <v>6</v>
      </c>
      <c r="AT20" s="244" t="s">
        <v>6</v>
      </c>
      <c r="AU20" s="244" t="s">
        <v>6</v>
      </c>
      <c r="AV20" s="244" t="s">
        <v>6</v>
      </c>
      <c r="AW20" s="244" t="s">
        <v>6</v>
      </c>
      <c r="AX20" s="244" t="s">
        <v>6</v>
      </c>
      <c r="AY20" s="244" t="s">
        <v>6</v>
      </c>
      <c r="AZ20" s="244" t="s">
        <v>6</v>
      </c>
      <c r="BA20" s="244" t="s">
        <v>6</v>
      </c>
      <c r="BB20" s="244" t="s">
        <v>6</v>
      </c>
      <c r="BC20" s="244" t="s">
        <v>6</v>
      </c>
      <c r="BD20" s="244" t="s">
        <v>6</v>
      </c>
      <c r="BE20" s="244" t="s">
        <v>6</v>
      </c>
      <c r="BF20" s="244" t="s">
        <v>6</v>
      </c>
      <c r="BG20" s="244" t="s">
        <v>6</v>
      </c>
      <c r="BH20" s="244" t="s">
        <v>6</v>
      </c>
      <c r="BI20" s="244" t="s">
        <v>6</v>
      </c>
      <c r="BJ20" s="244" t="s">
        <v>6</v>
      </c>
      <c r="BK20" s="244" t="s">
        <v>6</v>
      </c>
      <c r="BL20" s="244" t="s">
        <v>6</v>
      </c>
      <c r="BM20" s="244" t="s">
        <v>6</v>
      </c>
      <c r="BN20" s="244" t="s">
        <v>6</v>
      </c>
      <c r="BO20" s="244" t="s">
        <v>6</v>
      </c>
      <c r="BP20" s="244" t="s">
        <v>6</v>
      </c>
      <c r="BQ20" s="244" t="s">
        <v>6</v>
      </c>
      <c r="BR20" s="244" t="s">
        <v>6</v>
      </c>
      <c r="BS20" s="244" t="s">
        <v>6</v>
      </c>
      <c r="BT20" s="244" t="s">
        <v>6</v>
      </c>
      <c r="BU20" s="244" t="s">
        <v>6</v>
      </c>
      <c r="BV20" s="244" t="s">
        <v>6</v>
      </c>
      <c r="BW20" s="244" t="s">
        <v>6</v>
      </c>
      <c r="BX20" s="244" t="s">
        <v>6</v>
      </c>
      <c r="BY20" s="244" t="s">
        <v>6</v>
      </c>
      <c r="BZ20" s="244" t="s">
        <v>6</v>
      </c>
      <c r="CA20" s="244" t="s">
        <v>6</v>
      </c>
      <c r="CB20" s="244" t="s">
        <v>6</v>
      </c>
      <c r="CC20" s="244" t="s">
        <v>6</v>
      </c>
      <c r="CD20" s="244" t="s">
        <v>6</v>
      </c>
      <c r="CE20" s="244" t="s">
        <v>6</v>
      </c>
      <c r="CF20" s="244" t="s">
        <v>6</v>
      </c>
      <c r="CG20" s="244" t="s">
        <v>6</v>
      </c>
      <c r="CH20" s="244" t="s">
        <v>6</v>
      </c>
      <c r="CI20" s="244" t="s">
        <v>6</v>
      </c>
      <c r="CJ20" s="244" t="s">
        <v>6</v>
      </c>
      <c r="CK20" s="244" t="s">
        <v>6</v>
      </c>
      <c r="CL20" s="244" t="s">
        <v>6</v>
      </c>
      <c r="CM20" s="244" t="s">
        <v>6</v>
      </c>
      <c r="CN20" s="244" t="s">
        <v>6</v>
      </c>
      <c r="CO20" s="244" t="s">
        <v>6</v>
      </c>
      <c r="CP20" s="244" t="s">
        <v>6</v>
      </c>
      <c r="CQ20" s="244" t="s">
        <v>6</v>
      </c>
      <c r="CR20" s="244" t="s">
        <v>6</v>
      </c>
      <c r="CS20" s="244" t="s">
        <v>6</v>
      </c>
      <c r="CT20" s="244" t="s">
        <v>6</v>
      </c>
      <c r="CU20" s="244" t="s">
        <v>6</v>
      </c>
      <c r="CV20" s="244" t="s">
        <v>6</v>
      </c>
      <c r="CW20" s="244" t="s">
        <v>6</v>
      </c>
      <c r="CX20" s="244" t="s">
        <v>6</v>
      </c>
      <c r="CY20" s="244" t="s">
        <v>6</v>
      </c>
      <c r="CZ20" s="244" t="s">
        <v>6</v>
      </c>
      <c r="DA20" s="244" t="s">
        <v>6</v>
      </c>
      <c r="DB20" s="244" t="s">
        <v>6</v>
      </c>
      <c r="DC20" s="244" t="s">
        <v>6</v>
      </c>
      <c r="DD20" s="244" t="s">
        <v>6</v>
      </c>
      <c r="DE20" s="244" t="s">
        <v>6</v>
      </c>
      <c r="DF20" s="244" t="s">
        <v>6</v>
      </c>
      <c r="DG20" s="244" t="s">
        <v>6</v>
      </c>
      <c r="DH20" s="244" t="s">
        <v>6</v>
      </c>
      <c r="DI20" s="244" t="s">
        <v>6</v>
      </c>
      <c r="DJ20" s="244" t="s">
        <v>6</v>
      </c>
      <c r="DK20" s="244" t="s">
        <v>6</v>
      </c>
      <c r="DL20" s="244" t="s">
        <v>6</v>
      </c>
      <c r="DM20" s="244" t="s">
        <v>6</v>
      </c>
      <c r="DN20" s="244" t="s">
        <v>6</v>
      </c>
      <c r="DO20" s="244" t="s">
        <v>6</v>
      </c>
      <c r="DP20" s="244" t="s">
        <v>6</v>
      </c>
      <c r="DQ20" s="244" t="s">
        <v>6</v>
      </c>
      <c r="DR20" s="244" t="s">
        <v>6</v>
      </c>
      <c r="DS20" s="244" t="s">
        <v>6</v>
      </c>
      <c r="DT20" s="244" t="s">
        <v>6</v>
      </c>
      <c r="DU20" s="244" t="s">
        <v>6</v>
      </c>
      <c r="DV20" s="244" t="s">
        <v>6</v>
      </c>
      <c r="DW20" s="244" t="s">
        <v>6</v>
      </c>
      <c r="DX20" s="244" t="s">
        <v>6</v>
      </c>
      <c r="DY20" s="244" t="s">
        <v>6</v>
      </c>
      <c r="DZ20" s="244" t="s">
        <v>6</v>
      </c>
      <c r="EA20" s="244" t="s">
        <v>6</v>
      </c>
      <c r="EB20" s="244" t="s">
        <v>6</v>
      </c>
      <c r="EC20" s="244" t="s">
        <v>6</v>
      </c>
      <c r="ED20" s="244" t="s">
        <v>6</v>
      </c>
      <c r="EE20" s="244" t="s">
        <v>6</v>
      </c>
      <c r="EF20" s="244" t="s">
        <v>6</v>
      </c>
      <c r="EG20" s="244" t="s">
        <v>6</v>
      </c>
      <c r="EH20" s="244" t="s">
        <v>6</v>
      </c>
      <c r="EI20" s="244" t="s">
        <v>6</v>
      </c>
      <c r="EJ20" s="244" t="s">
        <v>6</v>
      </c>
      <c r="EK20" s="244" t="s">
        <v>6</v>
      </c>
      <c r="EL20" s="244" t="s">
        <v>6</v>
      </c>
      <c r="EM20" s="244" t="s">
        <v>6</v>
      </c>
      <c r="EN20" s="244" t="s">
        <v>6</v>
      </c>
      <c r="EO20" s="244" t="s">
        <v>6</v>
      </c>
      <c r="EP20" s="244" t="s">
        <v>6</v>
      </c>
      <c r="EQ20" s="244" t="s">
        <v>6</v>
      </c>
      <c r="ER20" s="244" t="s">
        <v>6</v>
      </c>
      <c r="ES20" s="244" t="s">
        <v>6</v>
      </c>
      <c r="ET20" s="244" t="s">
        <v>6</v>
      </c>
      <c r="EU20" s="244" t="s">
        <v>6</v>
      </c>
      <c r="EV20" s="244" t="s">
        <v>6</v>
      </c>
      <c r="EW20" s="244" t="s">
        <v>6</v>
      </c>
      <c r="EX20" s="244" t="s">
        <v>6</v>
      </c>
    </row>
    <row r="21" spans="1:154" ht="3.6" customHeight="1">
      <c r="A21" s="240" t="s">
        <v>6</v>
      </c>
      <c r="B21" s="241" t="s">
        <v>6</v>
      </c>
      <c r="C21" s="244" t="s">
        <v>73</v>
      </c>
      <c r="D21" s="244"/>
      <c r="E21" s="244"/>
      <c r="F21" s="257" t="s">
        <v>74</v>
      </c>
      <c r="G21" s="247" t="s">
        <v>6</v>
      </c>
      <c r="H21" s="257" t="s">
        <v>75</v>
      </c>
      <c r="I21" s="232" t="s">
        <v>6</v>
      </c>
      <c r="J21" s="244" t="s">
        <v>6</v>
      </c>
      <c r="K21" s="244" t="s">
        <v>6</v>
      </c>
      <c r="L21" s="244" t="s">
        <v>6</v>
      </c>
      <c r="M21" s="244" t="s">
        <v>6</v>
      </c>
      <c r="N21" s="244" t="s">
        <v>6</v>
      </c>
      <c r="O21" s="244" t="s">
        <v>6</v>
      </c>
      <c r="P21" s="244" t="s">
        <v>6</v>
      </c>
      <c r="Q21" s="244" t="s">
        <v>6</v>
      </c>
      <c r="R21" s="244" t="s">
        <v>6</v>
      </c>
      <c r="S21" s="244" t="s">
        <v>6</v>
      </c>
      <c r="T21" s="244" t="s">
        <v>6</v>
      </c>
      <c r="U21" s="244" t="s">
        <v>6</v>
      </c>
      <c r="V21" s="244" t="s">
        <v>6</v>
      </c>
      <c r="W21" s="244" t="s">
        <v>6</v>
      </c>
      <c r="X21" s="244" t="s">
        <v>6</v>
      </c>
      <c r="Y21" s="244" t="s">
        <v>6</v>
      </c>
      <c r="Z21" s="244" t="s">
        <v>6</v>
      </c>
      <c r="AA21" s="244" t="s">
        <v>6</v>
      </c>
      <c r="AB21" s="244" t="s">
        <v>6</v>
      </c>
      <c r="AC21" s="244" t="s">
        <v>6</v>
      </c>
      <c r="AD21" s="244" t="s">
        <v>6</v>
      </c>
      <c r="AE21" s="244" t="s">
        <v>6</v>
      </c>
      <c r="AF21" s="244" t="s">
        <v>6</v>
      </c>
      <c r="AG21" s="244" t="s">
        <v>6</v>
      </c>
      <c r="AH21" s="244" t="s">
        <v>6</v>
      </c>
      <c r="AI21" s="244" t="s">
        <v>6</v>
      </c>
      <c r="AJ21" s="244" t="s">
        <v>6</v>
      </c>
      <c r="AK21" s="244" t="s">
        <v>6</v>
      </c>
      <c r="AL21" s="244" t="s">
        <v>6</v>
      </c>
      <c r="AM21" s="244" t="s">
        <v>6</v>
      </c>
      <c r="AN21" s="244" t="s">
        <v>6</v>
      </c>
      <c r="AO21" s="244" t="s">
        <v>6</v>
      </c>
      <c r="AP21" s="244" t="s">
        <v>6</v>
      </c>
      <c r="AQ21" s="244" t="s">
        <v>6</v>
      </c>
      <c r="AR21" s="244" t="s">
        <v>6</v>
      </c>
      <c r="AS21" s="244" t="s">
        <v>6</v>
      </c>
      <c r="AT21" s="244" t="s">
        <v>6</v>
      </c>
      <c r="AU21" s="244" t="s">
        <v>6</v>
      </c>
      <c r="AV21" s="244" t="s">
        <v>6</v>
      </c>
      <c r="AW21" s="244" t="s">
        <v>6</v>
      </c>
      <c r="AX21" s="244" t="s">
        <v>6</v>
      </c>
      <c r="AY21" s="244" t="s">
        <v>6</v>
      </c>
      <c r="AZ21" s="244" t="s">
        <v>6</v>
      </c>
      <c r="BA21" s="244" t="s">
        <v>6</v>
      </c>
      <c r="BB21" s="244" t="s">
        <v>6</v>
      </c>
      <c r="BC21" s="244" t="s">
        <v>6</v>
      </c>
      <c r="BD21" s="244" t="s">
        <v>6</v>
      </c>
      <c r="BE21" s="244" t="s">
        <v>6</v>
      </c>
      <c r="BF21" s="244" t="s">
        <v>6</v>
      </c>
      <c r="BG21" s="244" t="s">
        <v>6</v>
      </c>
      <c r="BH21" s="244" t="s">
        <v>6</v>
      </c>
      <c r="BI21" s="244" t="s">
        <v>6</v>
      </c>
      <c r="BJ21" s="244" t="s">
        <v>6</v>
      </c>
      <c r="BK21" s="244" t="s">
        <v>6</v>
      </c>
      <c r="BL21" s="244" t="s">
        <v>6</v>
      </c>
      <c r="BM21" s="244" t="s">
        <v>6</v>
      </c>
      <c r="BN21" s="244" t="s">
        <v>6</v>
      </c>
      <c r="BO21" s="244" t="s">
        <v>6</v>
      </c>
      <c r="BP21" s="244" t="s">
        <v>6</v>
      </c>
      <c r="BQ21" s="244" t="s">
        <v>6</v>
      </c>
      <c r="BR21" s="244" t="s">
        <v>6</v>
      </c>
      <c r="BS21" s="244" t="s">
        <v>6</v>
      </c>
      <c r="BT21" s="244" t="s">
        <v>6</v>
      </c>
      <c r="BU21" s="244" t="s">
        <v>6</v>
      </c>
      <c r="BV21" s="244" t="s">
        <v>6</v>
      </c>
      <c r="BW21" s="244" t="s">
        <v>6</v>
      </c>
      <c r="BX21" s="244" t="s">
        <v>6</v>
      </c>
      <c r="BY21" s="244" t="s">
        <v>6</v>
      </c>
      <c r="BZ21" s="244" t="s">
        <v>6</v>
      </c>
      <c r="CA21" s="244" t="s">
        <v>6</v>
      </c>
      <c r="CB21" s="244" t="s">
        <v>6</v>
      </c>
      <c r="CC21" s="244" t="s">
        <v>6</v>
      </c>
      <c r="CD21" s="244" t="s">
        <v>6</v>
      </c>
      <c r="CE21" s="244" t="s">
        <v>6</v>
      </c>
      <c r="CF21" s="244" t="s">
        <v>6</v>
      </c>
      <c r="CG21" s="244" t="s">
        <v>6</v>
      </c>
      <c r="CH21" s="244" t="s">
        <v>6</v>
      </c>
      <c r="CI21" s="244" t="s">
        <v>6</v>
      </c>
      <c r="CJ21" s="244" t="s">
        <v>6</v>
      </c>
      <c r="CK21" s="244" t="s">
        <v>6</v>
      </c>
      <c r="CL21" s="244" t="s">
        <v>6</v>
      </c>
      <c r="CM21" s="244" t="s">
        <v>6</v>
      </c>
      <c r="CN21" s="244" t="s">
        <v>6</v>
      </c>
      <c r="CO21" s="244" t="s">
        <v>6</v>
      </c>
      <c r="CP21" s="244" t="s">
        <v>6</v>
      </c>
      <c r="CQ21" s="244" t="s">
        <v>6</v>
      </c>
      <c r="CR21" s="244" t="s">
        <v>6</v>
      </c>
      <c r="CS21" s="244" t="s">
        <v>6</v>
      </c>
      <c r="CT21" s="244" t="s">
        <v>6</v>
      </c>
      <c r="CU21" s="244" t="s">
        <v>6</v>
      </c>
      <c r="CV21" s="244" t="s">
        <v>6</v>
      </c>
      <c r="CW21" s="244" t="s">
        <v>6</v>
      </c>
      <c r="CX21" s="244" t="s">
        <v>6</v>
      </c>
      <c r="CY21" s="244" t="s">
        <v>6</v>
      </c>
      <c r="CZ21" s="244" t="s">
        <v>6</v>
      </c>
      <c r="DA21" s="244" t="s">
        <v>6</v>
      </c>
      <c r="DB21" s="244" t="s">
        <v>6</v>
      </c>
      <c r="DC21" s="244" t="s">
        <v>6</v>
      </c>
      <c r="DD21" s="244" t="s">
        <v>6</v>
      </c>
      <c r="DE21" s="244" t="s">
        <v>6</v>
      </c>
      <c r="DF21" s="244" t="s">
        <v>6</v>
      </c>
      <c r="DG21" s="244" t="s">
        <v>6</v>
      </c>
      <c r="DH21" s="244" t="s">
        <v>6</v>
      </c>
      <c r="DI21" s="244" t="s">
        <v>6</v>
      </c>
      <c r="DJ21" s="244" t="s">
        <v>6</v>
      </c>
      <c r="DK21" s="244" t="s">
        <v>6</v>
      </c>
      <c r="DL21" s="244" t="s">
        <v>6</v>
      </c>
      <c r="DM21" s="244" t="s">
        <v>6</v>
      </c>
      <c r="DN21" s="244" t="s">
        <v>6</v>
      </c>
      <c r="DO21" s="244" t="s">
        <v>6</v>
      </c>
      <c r="DP21" s="244" t="s">
        <v>6</v>
      </c>
      <c r="DQ21" s="244" t="s">
        <v>6</v>
      </c>
      <c r="DR21" s="244" t="s">
        <v>6</v>
      </c>
      <c r="DS21" s="244" t="s">
        <v>6</v>
      </c>
      <c r="DT21" s="244" t="s">
        <v>6</v>
      </c>
      <c r="DU21" s="244" t="s">
        <v>6</v>
      </c>
      <c r="DV21" s="244" t="s">
        <v>6</v>
      </c>
      <c r="DW21" s="244" t="s">
        <v>6</v>
      </c>
      <c r="DX21" s="244" t="s">
        <v>6</v>
      </c>
      <c r="DY21" s="244" t="s">
        <v>6</v>
      </c>
      <c r="DZ21" s="244" t="s">
        <v>6</v>
      </c>
      <c r="EA21" s="244" t="s">
        <v>6</v>
      </c>
      <c r="EB21" s="244" t="s">
        <v>6</v>
      </c>
      <c r="EC21" s="244" t="s">
        <v>6</v>
      </c>
      <c r="ED21" s="244" t="s">
        <v>6</v>
      </c>
      <c r="EE21" s="244" t="s">
        <v>6</v>
      </c>
      <c r="EF21" s="244" t="s">
        <v>6</v>
      </c>
      <c r="EG21" s="244" t="s">
        <v>6</v>
      </c>
      <c r="EH21" s="244" t="s">
        <v>6</v>
      </c>
      <c r="EI21" s="244" t="s">
        <v>6</v>
      </c>
      <c r="EJ21" s="244" t="s">
        <v>6</v>
      </c>
      <c r="EK21" s="244" t="s">
        <v>6</v>
      </c>
      <c r="EL21" s="244" t="s">
        <v>6</v>
      </c>
      <c r="EM21" s="244" t="s">
        <v>6</v>
      </c>
      <c r="EN21" s="244" t="s">
        <v>6</v>
      </c>
      <c r="EO21" s="244" t="s">
        <v>6</v>
      </c>
      <c r="EP21" s="244" t="s">
        <v>6</v>
      </c>
      <c r="EQ21" s="244" t="s">
        <v>6</v>
      </c>
      <c r="ER21" s="244" t="s">
        <v>6</v>
      </c>
      <c r="ES21" s="244" t="s">
        <v>6</v>
      </c>
      <c r="ET21" s="244" t="s">
        <v>6</v>
      </c>
      <c r="EU21" s="244" t="s">
        <v>6</v>
      </c>
      <c r="EV21" s="244" t="s">
        <v>6</v>
      </c>
      <c r="EW21" s="244" t="s">
        <v>6</v>
      </c>
      <c r="EX21" s="244" t="s">
        <v>6</v>
      </c>
    </row>
    <row r="22" spans="1:154" ht="13.5">
      <c r="A22" s="240" t="s">
        <v>6</v>
      </c>
      <c r="B22" s="241" t="s">
        <v>6</v>
      </c>
      <c r="C22" s="244" t="s">
        <v>6</v>
      </c>
      <c r="D22" s="244" t="s">
        <v>6</v>
      </c>
      <c r="E22" s="244" t="s">
        <v>6</v>
      </c>
      <c r="F22" s="258" t="s">
        <v>6</v>
      </c>
      <c r="G22" s="247" t="s">
        <v>6</v>
      </c>
      <c r="H22" s="258" t="s">
        <v>6</v>
      </c>
      <c r="I22" s="232" t="s">
        <v>6</v>
      </c>
      <c r="J22" s="244" t="s">
        <v>6</v>
      </c>
      <c r="K22" s="244" t="s">
        <v>6</v>
      </c>
      <c r="L22" s="244" t="s">
        <v>6</v>
      </c>
      <c r="M22" s="244" t="s">
        <v>6</v>
      </c>
      <c r="N22" s="244" t="s">
        <v>6</v>
      </c>
      <c r="O22" s="244" t="s">
        <v>6</v>
      </c>
      <c r="P22" s="244" t="s">
        <v>6</v>
      </c>
      <c r="Q22" s="244" t="s">
        <v>6</v>
      </c>
      <c r="R22" s="244" t="s">
        <v>6</v>
      </c>
      <c r="S22" s="244" t="s">
        <v>6</v>
      </c>
      <c r="T22" s="244" t="s">
        <v>6</v>
      </c>
      <c r="U22" s="244" t="s">
        <v>6</v>
      </c>
      <c r="V22" s="244" t="s">
        <v>6</v>
      </c>
      <c r="W22" s="244" t="s">
        <v>6</v>
      </c>
      <c r="X22" s="244" t="s">
        <v>6</v>
      </c>
      <c r="Y22" s="244" t="s">
        <v>6</v>
      </c>
      <c r="Z22" s="244" t="s">
        <v>6</v>
      </c>
      <c r="AA22" s="244" t="s">
        <v>6</v>
      </c>
      <c r="AB22" s="244" t="s">
        <v>6</v>
      </c>
      <c r="AC22" s="244" t="s">
        <v>6</v>
      </c>
      <c r="AD22" s="244" t="s">
        <v>6</v>
      </c>
      <c r="AE22" s="244" t="s">
        <v>6</v>
      </c>
      <c r="AF22" s="244" t="s">
        <v>6</v>
      </c>
      <c r="AG22" s="244" t="s">
        <v>6</v>
      </c>
      <c r="AH22" s="244" t="s">
        <v>6</v>
      </c>
      <c r="AI22" s="244" t="s">
        <v>6</v>
      </c>
      <c r="AJ22" s="244" t="s">
        <v>6</v>
      </c>
      <c r="AK22" s="244" t="s">
        <v>6</v>
      </c>
      <c r="AL22" s="244" t="s">
        <v>6</v>
      </c>
      <c r="AM22" s="244" t="s">
        <v>6</v>
      </c>
      <c r="AN22" s="244" t="s">
        <v>6</v>
      </c>
      <c r="AO22" s="244" t="s">
        <v>6</v>
      </c>
      <c r="AP22" s="244" t="s">
        <v>6</v>
      </c>
      <c r="AQ22" s="244" t="s">
        <v>6</v>
      </c>
      <c r="AR22" s="244" t="s">
        <v>6</v>
      </c>
      <c r="AS22" s="244" t="s">
        <v>6</v>
      </c>
      <c r="AT22" s="244" t="s">
        <v>6</v>
      </c>
      <c r="AU22" s="244" t="s">
        <v>6</v>
      </c>
      <c r="AV22" s="244" t="s">
        <v>6</v>
      </c>
      <c r="AW22" s="244" t="s">
        <v>6</v>
      </c>
      <c r="AX22" s="244" t="s">
        <v>6</v>
      </c>
      <c r="AY22" s="244" t="s">
        <v>6</v>
      </c>
      <c r="AZ22" s="244" t="s">
        <v>6</v>
      </c>
      <c r="BA22" s="244" t="s">
        <v>6</v>
      </c>
      <c r="BB22" s="244" t="s">
        <v>6</v>
      </c>
      <c r="BC22" s="244" t="s">
        <v>6</v>
      </c>
      <c r="BD22" s="244" t="s">
        <v>6</v>
      </c>
      <c r="BE22" s="244" t="s">
        <v>6</v>
      </c>
      <c r="BF22" s="244" t="s">
        <v>6</v>
      </c>
      <c r="BG22" s="244" t="s">
        <v>6</v>
      </c>
      <c r="BH22" s="244" t="s">
        <v>6</v>
      </c>
      <c r="BI22" s="244" t="s">
        <v>6</v>
      </c>
      <c r="BJ22" s="244" t="s">
        <v>6</v>
      </c>
      <c r="BK22" s="244" t="s">
        <v>6</v>
      </c>
      <c r="BL22" s="244" t="s">
        <v>6</v>
      </c>
      <c r="BM22" s="244" t="s">
        <v>6</v>
      </c>
      <c r="BN22" s="244" t="s">
        <v>6</v>
      </c>
      <c r="BO22" s="244" t="s">
        <v>6</v>
      </c>
      <c r="BP22" s="244" t="s">
        <v>6</v>
      </c>
      <c r="BQ22" s="244" t="s">
        <v>6</v>
      </c>
      <c r="BR22" s="244" t="s">
        <v>6</v>
      </c>
      <c r="BS22" s="244" t="s">
        <v>6</v>
      </c>
      <c r="BT22" s="244" t="s">
        <v>6</v>
      </c>
      <c r="BU22" s="244" t="s">
        <v>6</v>
      </c>
      <c r="BV22" s="244" t="s">
        <v>6</v>
      </c>
      <c r="BW22" s="244" t="s">
        <v>6</v>
      </c>
      <c r="BX22" s="244" t="s">
        <v>6</v>
      </c>
      <c r="BY22" s="244" t="s">
        <v>6</v>
      </c>
      <c r="BZ22" s="244" t="s">
        <v>6</v>
      </c>
      <c r="CA22" s="244" t="s">
        <v>6</v>
      </c>
      <c r="CB22" s="244" t="s">
        <v>6</v>
      </c>
      <c r="CC22" s="244" t="s">
        <v>6</v>
      </c>
      <c r="CD22" s="244" t="s">
        <v>6</v>
      </c>
      <c r="CE22" s="244" t="s">
        <v>6</v>
      </c>
      <c r="CF22" s="244" t="s">
        <v>6</v>
      </c>
      <c r="CG22" s="244" t="s">
        <v>6</v>
      </c>
      <c r="CH22" s="244" t="s">
        <v>6</v>
      </c>
      <c r="CI22" s="244" t="s">
        <v>6</v>
      </c>
      <c r="CJ22" s="244" t="s">
        <v>6</v>
      </c>
      <c r="CK22" s="244" t="s">
        <v>6</v>
      </c>
      <c r="CL22" s="244" t="s">
        <v>6</v>
      </c>
      <c r="CM22" s="244" t="s">
        <v>6</v>
      </c>
      <c r="CN22" s="244" t="s">
        <v>6</v>
      </c>
      <c r="CO22" s="244" t="s">
        <v>6</v>
      </c>
      <c r="CP22" s="244" t="s">
        <v>6</v>
      </c>
      <c r="CQ22" s="244" t="s">
        <v>6</v>
      </c>
      <c r="CR22" s="244" t="s">
        <v>6</v>
      </c>
      <c r="CS22" s="244" t="s">
        <v>6</v>
      </c>
      <c r="CT22" s="244" t="s">
        <v>6</v>
      </c>
      <c r="CU22" s="244" t="s">
        <v>6</v>
      </c>
      <c r="CV22" s="244" t="s">
        <v>6</v>
      </c>
      <c r="CW22" s="244" t="s">
        <v>6</v>
      </c>
      <c r="CX22" s="244" t="s">
        <v>6</v>
      </c>
      <c r="CY22" s="244" t="s">
        <v>6</v>
      </c>
      <c r="CZ22" s="244" t="s">
        <v>6</v>
      </c>
      <c r="DA22" s="244" t="s">
        <v>6</v>
      </c>
      <c r="DB22" s="244" t="s">
        <v>6</v>
      </c>
      <c r="DC22" s="244" t="s">
        <v>6</v>
      </c>
      <c r="DD22" s="244" t="s">
        <v>6</v>
      </c>
      <c r="DE22" s="244" t="s">
        <v>6</v>
      </c>
      <c r="DF22" s="244" t="s">
        <v>6</v>
      </c>
      <c r="DG22" s="244" t="s">
        <v>6</v>
      </c>
      <c r="DH22" s="244" t="s">
        <v>6</v>
      </c>
      <c r="DI22" s="244" t="s">
        <v>6</v>
      </c>
      <c r="DJ22" s="244" t="s">
        <v>6</v>
      </c>
      <c r="DK22" s="244" t="s">
        <v>6</v>
      </c>
      <c r="DL22" s="244" t="s">
        <v>6</v>
      </c>
      <c r="DM22" s="244" t="s">
        <v>6</v>
      </c>
      <c r="DN22" s="244" t="s">
        <v>6</v>
      </c>
      <c r="DO22" s="244" t="s">
        <v>6</v>
      </c>
      <c r="DP22" s="244" t="s">
        <v>6</v>
      </c>
      <c r="DQ22" s="244" t="s">
        <v>6</v>
      </c>
      <c r="DR22" s="244" t="s">
        <v>6</v>
      </c>
      <c r="DS22" s="244" t="s">
        <v>6</v>
      </c>
      <c r="DT22" s="244" t="s">
        <v>6</v>
      </c>
      <c r="DU22" s="244" t="s">
        <v>6</v>
      </c>
      <c r="DV22" s="244" t="s">
        <v>6</v>
      </c>
      <c r="DW22" s="244" t="s">
        <v>6</v>
      </c>
      <c r="DX22" s="244" t="s">
        <v>6</v>
      </c>
      <c r="DY22" s="244" t="s">
        <v>6</v>
      </c>
      <c r="DZ22" s="244" t="s">
        <v>6</v>
      </c>
      <c r="EA22" s="244" t="s">
        <v>6</v>
      </c>
      <c r="EB22" s="244" t="s">
        <v>6</v>
      </c>
      <c r="EC22" s="244" t="s">
        <v>6</v>
      </c>
      <c r="ED22" s="244" t="s">
        <v>6</v>
      </c>
      <c r="EE22" s="244" t="s">
        <v>6</v>
      </c>
      <c r="EF22" s="244" t="s">
        <v>6</v>
      </c>
      <c r="EG22" s="244" t="s">
        <v>6</v>
      </c>
      <c r="EH22" s="244" t="s">
        <v>6</v>
      </c>
      <c r="EI22" s="244" t="s">
        <v>6</v>
      </c>
      <c r="EJ22" s="244" t="s">
        <v>6</v>
      </c>
      <c r="EK22" s="244" t="s">
        <v>6</v>
      </c>
      <c r="EL22" s="244" t="s">
        <v>6</v>
      </c>
      <c r="EM22" s="244" t="s">
        <v>6</v>
      </c>
      <c r="EN22" s="244" t="s">
        <v>6</v>
      </c>
      <c r="EO22" s="244" t="s">
        <v>6</v>
      </c>
      <c r="EP22" s="244" t="s">
        <v>6</v>
      </c>
      <c r="EQ22" s="244" t="s">
        <v>6</v>
      </c>
      <c r="ER22" s="244" t="s">
        <v>6</v>
      </c>
      <c r="ES22" s="244" t="s">
        <v>6</v>
      </c>
      <c r="ET22" s="244" t="s">
        <v>6</v>
      </c>
      <c r="EU22" s="244" t="s">
        <v>6</v>
      </c>
      <c r="EV22" s="244" t="s">
        <v>6</v>
      </c>
      <c r="EW22" s="244" t="s">
        <v>6</v>
      </c>
      <c r="EX22" s="244" t="s">
        <v>6</v>
      </c>
    </row>
    <row r="23" spans="1:154" ht="13.5">
      <c r="A23" s="240" t="s">
        <v>6</v>
      </c>
      <c r="B23" s="241" t="s">
        <v>6</v>
      </c>
      <c r="C23" s="244" t="s">
        <v>6</v>
      </c>
      <c r="D23" s="244" t="s">
        <v>6</v>
      </c>
      <c r="E23" s="244" t="s">
        <v>6</v>
      </c>
      <c r="F23" s="259" t="s">
        <v>6</v>
      </c>
      <c r="G23" s="247" t="s">
        <v>6</v>
      </c>
      <c r="H23" s="259" t="s">
        <v>6</v>
      </c>
      <c r="I23" s="232" t="s">
        <v>6</v>
      </c>
      <c r="J23" s="244" t="s">
        <v>6</v>
      </c>
      <c r="K23" s="244" t="s">
        <v>6</v>
      </c>
      <c r="L23" s="244" t="s">
        <v>6</v>
      </c>
      <c r="M23" s="244" t="s">
        <v>6</v>
      </c>
      <c r="N23" s="244" t="s">
        <v>6</v>
      </c>
      <c r="O23" s="244" t="s">
        <v>6</v>
      </c>
      <c r="P23" s="244" t="s">
        <v>6</v>
      </c>
      <c r="Q23" s="244" t="s">
        <v>6</v>
      </c>
      <c r="R23" s="244" t="s">
        <v>6</v>
      </c>
      <c r="S23" s="244" t="s">
        <v>6</v>
      </c>
      <c r="T23" s="244" t="s">
        <v>6</v>
      </c>
      <c r="U23" s="244" t="s">
        <v>6</v>
      </c>
      <c r="V23" s="244" t="s">
        <v>6</v>
      </c>
      <c r="W23" s="244" t="s">
        <v>6</v>
      </c>
      <c r="X23" s="244" t="s">
        <v>6</v>
      </c>
      <c r="Y23" s="244" t="s">
        <v>6</v>
      </c>
      <c r="Z23" s="244" t="s">
        <v>6</v>
      </c>
      <c r="AA23" s="244" t="s">
        <v>6</v>
      </c>
      <c r="AB23" s="244" t="s">
        <v>6</v>
      </c>
      <c r="AC23" s="244" t="s">
        <v>6</v>
      </c>
      <c r="AD23" s="244" t="s">
        <v>6</v>
      </c>
      <c r="AE23" s="244" t="s">
        <v>6</v>
      </c>
      <c r="AF23" s="244" t="s">
        <v>6</v>
      </c>
      <c r="AG23" s="244" t="s">
        <v>6</v>
      </c>
      <c r="AH23" s="244" t="s">
        <v>6</v>
      </c>
      <c r="AI23" s="244" t="s">
        <v>6</v>
      </c>
      <c r="AJ23" s="244" t="s">
        <v>6</v>
      </c>
      <c r="AK23" s="244" t="s">
        <v>6</v>
      </c>
      <c r="AL23" s="244" t="s">
        <v>6</v>
      </c>
      <c r="AM23" s="244" t="s">
        <v>6</v>
      </c>
      <c r="AN23" s="244" t="s">
        <v>6</v>
      </c>
      <c r="AO23" s="244" t="s">
        <v>6</v>
      </c>
      <c r="AP23" s="244" t="s">
        <v>6</v>
      </c>
      <c r="AQ23" s="244" t="s">
        <v>6</v>
      </c>
      <c r="AR23" s="244" t="s">
        <v>6</v>
      </c>
      <c r="AS23" s="244" t="s">
        <v>6</v>
      </c>
      <c r="AT23" s="244" t="s">
        <v>6</v>
      </c>
      <c r="AU23" s="244" t="s">
        <v>6</v>
      </c>
      <c r="AV23" s="244" t="s">
        <v>6</v>
      </c>
      <c r="AW23" s="244" t="s">
        <v>6</v>
      </c>
      <c r="AX23" s="244" t="s">
        <v>6</v>
      </c>
      <c r="AY23" s="244" t="s">
        <v>6</v>
      </c>
      <c r="AZ23" s="244" t="s">
        <v>6</v>
      </c>
      <c r="BA23" s="244" t="s">
        <v>6</v>
      </c>
      <c r="BB23" s="244" t="s">
        <v>6</v>
      </c>
      <c r="BC23" s="244" t="s">
        <v>6</v>
      </c>
      <c r="BD23" s="244" t="s">
        <v>6</v>
      </c>
      <c r="BE23" s="244" t="s">
        <v>6</v>
      </c>
      <c r="BF23" s="244" t="s">
        <v>6</v>
      </c>
      <c r="BG23" s="244" t="s">
        <v>6</v>
      </c>
      <c r="BH23" s="244" t="s">
        <v>6</v>
      </c>
      <c r="BI23" s="244" t="s">
        <v>6</v>
      </c>
      <c r="BJ23" s="244" t="s">
        <v>6</v>
      </c>
      <c r="BK23" s="244" t="s">
        <v>6</v>
      </c>
      <c r="BL23" s="244" t="s">
        <v>6</v>
      </c>
      <c r="BM23" s="244" t="s">
        <v>6</v>
      </c>
      <c r="BN23" s="244" t="s">
        <v>6</v>
      </c>
      <c r="BO23" s="244" t="s">
        <v>6</v>
      </c>
      <c r="BP23" s="244" t="s">
        <v>6</v>
      </c>
      <c r="BQ23" s="244" t="s">
        <v>6</v>
      </c>
      <c r="BR23" s="244" t="s">
        <v>6</v>
      </c>
      <c r="BS23" s="244" t="s">
        <v>6</v>
      </c>
      <c r="BT23" s="244" t="s">
        <v>6</v>
      </c>
      <c r="BU23" s="244" t="s">
        <v>6</v>
      </c>
      <c r="BV23" s="244" t="s">
        <v>6</v>
      </c>
      <c r="BW23" s="244" t="s">
        <v>6</v>
      </c>
      <c r="BX23" s="244" t="s">
        <v>6</v>
      </c>
      <c r="BY23" s="244" t="s">
        <v>6</v>
      </c>
      <c r="BZ23" s="244" t="s">
        <v>6</v>
      </c>
      <c r="CA23" s="244" t="s">
        <v>6</v>
      </c>
      <c r="CB23" s="244" t="s">
        <v>6</v>
      </c>
      <c r="CC23" s="244" t="s">
        <v>6</v>
      </c>
      <c r="CD23" s="244" t="s">
        <v>6</v>
      </c>
      <c r="CE23" s="244" t="s">
        <v>6</v>
      </c>
      <c r="CF23" s="244" t="s">
        <v>6</v>
      </c>
      <c r="CG23" s="244" t="s">
        <v>6</v>
      </c>
      <c r="CH23" s="244" t="s">
        <v>6</v>
      </c>
      <c r="CI23" s="244" t="s">
        <v>6</v>
      </c>
      <c r="CJ23" s="244" t="s">
        <v>6</v>
      </c>
      <c r="CK23" s="244" t="s">
        <v>6</v>
      </c>
      <c r="CL23" s="244" t="s">
        <v>6</v>
      </c>
      <c r="CM23" s="244" t="s">
        <v>6</v>
      </c>
      <c r="CN23" s="244" t="s">
        <v>6</v>
      </c>
      <c r="CO23" s="244" t="s">
        <v>6</v>
      </c>
      <c r="CP23" s="244" t="s">
        <v>6</v>
      </c>
      <c r="CQ23" s="244" t="s">
        <v>6</v>
      </c>
      <c r="CR23" s="244" t="s">
        <v>6</v>
      </c>
      <c r="CS23" s="244" t="s">
        <v>6</v>
      </c>
      <c r="CT23" s="244" t="s">
        <v>6</v>
      </c>
      <c r="CU23" s="244" t="s">
        <v>6</v>
      </c>
      <c r="CV23" s="244" t="s">
        <v>6</v>
      </c>
      <c r="CW23" s="244" t="s">
        <v>6</v>
      </c>
      <c r="CX23" s="244" t="s">
        <v>6</v>
      </c>
      <c r="CY23" s="244" t="s">
        <v>6</v>
      </c>
      <c r="CZ23" s="244" t="s">
        <v>6</v>
      </c>
      <c r="DA23" s="244" t="s">
        <v>6</v>
      </c>
      <c r="DB23" s="244" t="s">
        <v>6</v>
      </c>
      <c r="DC23" s="244" t="s">
        <v>6</v>
      </c>
      <c r="DD23" s="244" t="s">
        <v>6</v>
      </c>
      <c r="DE23" s="244" t="s">
        <v>6</v>
      </c>
      <c r="DF23" s="244" t="s">
        <v>6</v>
      </c>
      <c r="DG23" s="244" t="s">
        <v>6</v>
      </c>
      <c r="DH23" s="244" t="s">
        <v>6</v>
      </c>
      <c r="DI23" s="244" t="s">
        <v>6</v>
      </c>
      <c r="DJ23" s="244" t="s">
        <v>6</v>
      </c>
      <c r="DK23" s="244" t="s">
        <v>6</v>
      </c>
      <c r="DL23" s="244" t="s">
        <v>6</v>
      </c>
      <c r="DM23" s="244" t="s">
        <v>6</v>
      </c>
      <c r="DN23" s="244" t="s">
        <v>6</v>
      </c>
      <c r="DO23" s="244" t="s">
        <v>6</v>
      </c>
      <c r="DP23" s="244" t="s">
        <v>6</v>
      </c>
      <c r="DQ23" s="244" t="s">
        <v>6</v>
      </c>
      <c r="DR23" s="244" t="s">
        <v>6</v>
      </c>
      <c r="DS23" s="244" t="s">
        <v>6</v>
      </c>
      <c r="DT23" s="244" t="s">
        <v>6</v>
      </c>
      <c r="DU23" s="244" t="s">
        <v>6</v>
      </c>
      <c r="DV23" s="244" t="s">
        <v>6</v>
      </c>
      <c r="DW23" s="244" t="s">
        <v>6</v>
      </c>
      <c r="DX23" s="244" t="s">
        <v>6</v>
      </c>
      <c r="DY23" s="244" t="s">
        <v>6</v>
      </c>
      <c r="DZ23" s="244" t="s">
        <v>6</v>
      </c>
      <c r="EA23" s="244" t="s">
        <v>6</v>
      </c>
      <c r="EB23" s="244" t="s">
        <v>6</v>
      </c>
      <c r="EC23" s="244" t="s">
        <v>6</v>
      </c>
      <c r="ED23" s="244" t="s">
        <v>6</v>
      </c>
      <c r="EE23" s="244" t="s">
        <v>6</v>
      </c>
      <c r="EF23" s="244" t="s">
        <v>6</v>
      </c>
      <c r="EG23" s="244" t="s">
        <v>6</v>
      </c>
      <c r="EH23" s="244" t="s">
        <v>6</v>
      </c>
      <c r="EI23" s="244" t="s">
        <v>6</v>
      </c>
      <c r="EJ23" s="244" t="s">
        <v>6</v>
      </c>
      <c r="EK23" s="244" t="s">
        <v>6</v>
      </c>
      <c r="EL23" s="244" t="s">
        <v>6</v>
      </c>
      <c r="EM23" s="244" t="s">
        <v>6</v>
      </c>
      <c r="EN23" s="244" t="s">
        <v>6</v>
      </c>
      <c r="EO23" s="244" t="s">
        <v>6</v>
      </c>
      <c r="EP23" s="244" t="s">
        <v>6</v>
      </c>
      <c r="EQ23" s="244" t="s">
        <v>6</v>
      </c>
      <c r="ER23" s="244" t="s">
        <v>6</v>
      </c>
      <c r="ES23" s="244" t="s">
        <v>6</v>
      </c>
      <c r="ET23" s="244" t="s">
        <v>6</v>
      </c>
      <c r="EU23" s="244" t="s">
        <v>6</v>
      </c>
      <c r="EV23" s="244" t="s">
        <v>6</v>
      </c>
      <c r="EW23" s="244" t="s">
        <v>6</v>
      </c>
      <c r="EX23" s="244" t="s">
        <v>6</v>
      </c>
    </row>
    <row r="24" spans="1:154" ht="5.45" customHeight="1">
      <c r="A24" s="240" t="s">
        <v>6</v>
      </c>
      <c r="B24" s="241" t="s">
        <v>6</v>
      </c>
      <c r="C24" s="242" t="s">
        <v>76</v>
      </c>
      <c r="D24" s="242"/>
      <c r="E24" s="242"/>
      <c r="F24" s="243" t="s">
        <v>6</v>
      </c>
      <c r="G24" s="232" t="s">
        <v>6</v>
      </c>
      <c r="H24" s="243" t="s">
        <v>6</v>
      </c>
      <c r="I24" s="232" t="s">
        <v>6</v>
      </c>
      <c r="J24" s="244" t="s">
        <v>6</v>
      </c>
      <c r="K24" s="244" t="s">
        <v>6</v>
      </c>
      <c r="L24" s="244" t="s">
        <v>6</v>
      </c>
      <c r="M24" s="244" t="s">
        <v>6</v>
      </c>
      <c r="N24" s="244" t="s">
        <v>6</v>
      </c>
      <c r="O24" s="244" t="s">
        <v>6</v>
      </c>
      <c r="P24" s="244" t="s">
        <v>6</v>
      </c>
      <c r="Q24" s="244" t="s">
        <v>6</v>
      </c>
      <c r="R24" s="244" t="s">
        <v>6</v>
      </c>
      <c r="S24" s="244" t="s">
        <v>6</v>
      </c>
      <c r="T24" s="244" t="s">
        <v>6</v>
      </c>
      <c r="U24" s="244" t="s">
        <v>6</v>
      </c>
      <c r="V24" s="244" t="s">
        <v>6</v>
      </c>
      <c r="W24" s="244" t="s">
        <v>6</v>
      </c>
      <c r="X24" s="244" t="s">
        <v>6</v>
      </c>
      <c r="Y24" s="244" t="s">
        <v>6</v>
      </c>
      <c r="Z24" s="244" t="s">
        <v>6</v>
      </c>
      <c r="AA24" s="244" t="s">
        <v>6</v>
      </c>
      <c r="AB24" s="244" t="s">
        <v>6</v>
      </c>
      <c r="AC24" s="244" t="s">
        <v>6</v>
      </c>
      <c r="AD24" s="244" t="s">
        <v>6</v>
      </c>
      <c r="AE24" s="244" t="s">
        <v>6</v>
      </c>
      <c r="AF24" s="244" t="s">
        <v>6</v>
      </c>
      <c r="AG24" s="244" t="s">
        <v>6</v>
      </c>
      <c r="AH24" s="244" t="s">
        <v>6</v>
      </c>
      <c r="AI24" s="244" t="s">
        <v>6</v>
      </c>
      <c r="AJ24" s="244" t="s">
        <v>6</v>
      </c>
      <c r="AK24" s="244" t="s">
        <v>6</v>
      </c>
      <c r="AL24" s="244" t="s">
        <v>6</v>
      </c>
      <c r="AM24" s="244" t="s">
        <v>6</v>
      </c>
      <c r="AN24" s="244" t="s">
        <v>6</v>
      </c>
      <c r="AO24" s="244" t="s">
        <v>6</v>
      </c>
      <c r="AP24" s="244" t="s">
        <v>6</v>
      </c>
      <c r="AQ24" s="244" t="s">
        <v>6</v>
      </c>
      <c r="AR24" s="244" t="s">
        <v>6</v>
      </c>
      <c r="AS24" s="244" t="s">
        <v>6</v>
      </c>
      <c r="AT24" s="244" t="s">
        <v>6</v>
      </c>
      <c r="AU24" s="244" t="s">
        <v>6</v>
      </c>
      <c r="AV24" s="244" t="s">
        <v>6</v>
      </c>
      <c r="AW24" s="244" t="s">
        <v>6</v>
      </c>
      <c r="AX24" s="244" t="s">
        <v>6</v>
      </c>
      <c r="AY24" s="244" t="s">
        <v>6</v>
      </c>
      <c r="AZ24" s="244" t="s">
        <v>6</v>
      </c>
      <c r="BA24" s="244" t="s">
        <v>6</v>
      </c>
      <c r="BB24" s="244" t="s">
        <v>6</v>
      </c>
      <c r="BC24" s="244" t="s">
        <v>6</v>
      </c>
      <c r="BD24" s="244" t="s">
        <v>6</v>
      </c>
      <c r="BE24" s="244" t="s">
        <v>6</v>
      </c>
      <c r="BF24" s="244" t="s">
        <v>6</v>
      </c>
      <c r="BG24" s="244" t="s">
        <v>6</v>
      </c>
      <c r="BH24" s="244" t="s">
        <v>6</v>
      </c>
      <c r="BI24" s="244" t="s">
        <v>6</v>
      </c>
      <c r="BJ24" s="244" t="s">
        <v>6</v>
      </c>
      <c r="BK24" s="244" t="s">
        <v>6</v>
      </c>
      <c r="BL24" s="244" t="s">
        <v>6</v>
      </c>
      <c r="BM24" s="244" t="s">
        <v>6</v>
      </c>
      <c r="BN24" s="244" t="s">
        <v>6</v>
      </c>
      <c r="BO24" s="244" t="s">
        <v>6</v>
      </c>
      <c r="BP24" s="244" t="s">
        <v>6</v>
      </c>
      <c r="BQ24" s="244" t="s">
        <v>6</v>
      </c>
      <c r="BR24" s="244" t="s">
        <v>6</v>
      </c>
      <c r="BS24" s="244" t="s">
        <v>6</v>
      </c>
      <c r="BT24" s="244" t="s">
        <v>6</v>
      </c>
      <c r="BU24" s="244" t="s">
        <v>6</v>
      </c>
      <c r="BV24" s="244" t="s">
        <v>6</v>
      </c>
      <c r="BW24" s="244" t="s">
        <v>6</v>
      </c>
      <c r="BX24" s="244" t="s">
        <v>6</v>
      </c>
      <c r="BY24" s="244" t="s">
        <v>6</v>
      </c>
      <c r="BZ24" s="244" t="s">
        <v>6</v>
      </c>
      <c r="CA24" s="244" t="s">
        <v>6</v>
      </c>
      <c r="CB24" s="244" t="s">
        <v>6</v>
      </c>
      <c r="CC24" s="244" t="s">
        <v>6</v>
      </c>
      <c r="CD24" s="244" t="s">
        <v>6</v>
      </c>
      <c r="CE24" s="244" t="s">
        <v>6</v>
      </c>
      <c r="CF24" s="244" t="s">
        <v>6</v>
      </c>
      <c r="CG24" s="244" t="s">
        <v>6</v>
      </c>
      <c r="CH24" s="244" t="s">
        <v>6</v>
      </c>
      <c r="CI24" s="244" t="s">
        <v>6</v>
      </c>
      <c r="CJ24" s="244" t="s">
        <v>6</v>
      </c>
      <c r="CK24" s="244" t="s">
        <v>6</v>
      </c>
      <c r="CL24" s="244" t="s">
        <v>6</v>
      </c>
      <c r="CM24" s="244" t="s">
        <v>6</v>
      </c>
      <c r="CN24" s="244" t="s">
        <v>6</v>
      </c>
      <c r="CO24" s="244" t="s">
        <v>6</v>
      </c>
      <c r="CP24" s="244" t="s">
        <v>6</v>
      </c>
      <c r="CQ24" s="244" t="s">
        <v>6</v>
      </c>
      <c r="CR24" s="244" t="s">
        <v>6</v>
      </c>
      <c r="CS24" s="244" t="s">
        <v>6</v>
      </c>
      <c r="CT24" s="244" t="s">
        <v>6</v>
      </c>
      <c r="CU24" s="244" t="s">
        <v>6</v>
      </c>
      <c r="CV24" s="244" t="s">
        <v>6</v>
      </c>
      <c r="CW24" s="244" t="s">
        <v>6</v>
      </c>
      <c r="CX24" s="244" t="s">
        <v>6</v>
      </c>
      <c r="CY24" s="244" t="s">
        <v>6</v>
      </c>
      <c r="CZ24" s="244" t="s">
        <v>6</v>
      </c>
      <c r="DA24" s="244" t="s">
        <v>6</v>
      </c>
      <c r="DB24" s="244" t="s">
        <v>6</v>
      </c>
      <c r="DC24" s="244" t="s">
        <v>6</v>
      </c>
      <c r="DD24" s="244" t="s">
        <v>6</v>
      </c>
      <c r="DE24" s="244" t="s">
        <v>6</v>
      </c>
      <c r="DF24" s="244" t="s">
        <v>6</v>
      </c>
      <c r="DG24" s="244" t="s">
        <v>6</v>
      </c>
      <c r="DH24" s="244" t="s">
        <v>6</v>
      </c>
      <c r="DI24" s="244" t="s">
        <v>6</v>
      </c>
      <c r="DJ24" s="244" t="s">
        <v>6</v>
      </c>
      <c r="DK24" s="244" t="s">
        <v>6</v>
      </c>
      <c r="DL24" s="244" t="s">
        <v>6</v>
      </c>
      <c r="DM24" s="244" t="s">
        <v>6</v>
      </c>
      <c r="DN24" s="244" t="s">
        <v>6</v>
      </c>
      <c r="DO24" s="244" t="s">
        <v>6</v>
      </c>
      <c r="DP24" s="244" t="s">
        <v>6</v>
      </c>
      <c r="DQ24" s="244" t="s">
        <v>6</v>
      </c>
      <c r="DR24" s="244" t="s">
        <v>6</v>
      </c>
      <c r="DS24" s="244" t="s">
        <v>6</v>
      </c>
      <c r="DT24" s="244" t="s">
        <v>6</v>
      </c>
      <c r="DU24" s="244" t="s">
        <v>6</v>
      </c>
      <c r="DV24" s="244" t="s">
        <v>6</v>
      </c>
      <c r="DW24" s="244" t="s">
        <v>6</v>
      </c>
      <c r="DX24" s="244" t="s">
        <v>6</v>
      </c>
      <c r="DY24" s="244" t="s">
        <v>6</v>
      </c>
      <c r="DZ24" s="244" t="s">
        <v>6</v>
      </c>
      <c r="EA24" s="244" t="s">
        <v>6</v>
      </c>
      <c r="EB24" s="244" t="s">
        <v>6</v>
      </c>
      <c r="EC24" s="244" t="s">
        <v>6</v>
      </c>
      <c r="ED24" s="244" t="s">
        <v>6</v>
      </c>
      <c r="EE24" s="244" t="s">
        <v>6</v>
      </c>
      <c r="EF24" s="244" t="s">
        <v>6</v>
      </c>
      <c r="EG24" s="244" t="s">
        <v>6</v>
      </c>
      <c r="EH24" s="244" t="s">
        <v>6</v>
      </c>
      <c r="EI24" s="244" t="s">
        <v>6</v>
      </c>
      <c r="EJ24" s="244" t="s">
        <v>6</v>
      </c>
      <c r="EK24" s="244" t="s">
        <v>6</v>
      </c>
      <c r="EL24" s="244" t="s">
        <v>6</v>
      </c>
      <c r="EM24" s="244" t="s">
        <v>6</v>
      </c>
      <c r="EN24" s="244" t="s">
        <v>6</v>
      </c>
      <c r="EO24" s="244" t="s">
        <v>6</v>
      </c>
      <c r="EP24" s="244" t="s">
        <v>6</v>
      </c>
      <c r="EQ24" s="244" t="s">
        <v>6</v>
      </c>
      <c r="ER24" s="244" t="s">
        <v>6</v>
      </c>
      <c r="ES24" s="244" t="s">
        <v>6</v>
      </c>
      <c r="ET24" s="244" t="s">
        <v>6</v>
      </c>
      <c r="EU24" s="244" t="s">
        <v>6</v>
      </c>
      <c r="EV24" s="244" t="s">
        <v>6</v>
      </c>
      <c r="EW24" s="244" t="s">
        <v>6</v>
      </c>
      <c r="EX24" s="244" t="s">
        <v>6</v>
      </c>
    </row>
    <row r="25" spans="1:154" ht="18">
      <c r="A25" s="240" t="s">
        <v>6</v>
      </c>
      <c r="B25" s="241" t="s">
        <v>6</v>
      </c>
      <c r="C25" s="242" t="s">
        <v>6</v>
      </c>
      <c r="D25" s="244" t="s">
        <v>6</v>
      </c>
      <c r="E25" s="244" t="s">
        <v>6</v>
      </c>
      <c r="F25" s="243" t="s">
        <v>6</v>
      </c>
      <c r="G25" s="232" t="s">
        <v>6</v>
      </c>
      <c r="H25" s="243" t="s">
        <v>6</v>
      </c>
      <c r="I25" s="232" t="s">
        <v>6</v>
      </c>
      <c r="J25" s="244" t="s">
        <v>6</v>
      </c>
      <c r="K25" s="244" t="s">
        <v>6</v>
      </c>
      <c r="L25" s="244" t="s">
        <v>6</v>
      </c>
      <c r="M25" s="244" t="s">
        <v>6</v>
      </c>
      <c r="N25" s="244" t="s">
        <v>6</v>
      </c>
      <c r="O25" s="244" t="s">
        <v>6</v>
      </c>
      <c r="P25" s="244" t="s">
        <v>6</v>
      </c>
      <c r="Q25" s="244" t="s">
        <v>6</v>
      </c>
      <c r="R25" s="244" t="s">
        <v>6</v>
      </c>
      <c r="S25" s="244" t="s">
        <v>6</v>
      </c>
      <c r="T25" s="244" t="s">
        <v>6</v>
      </c>
      <c r="U25" s="244" t="s">
        <v>6</v>
      </c>
      <c r="V25" s="244" t="s">
        <v>6</v>
      </c>
      <c r="W25" s="244" t="s">
        <v>6</v>
      </c>
      <c r="X25" s="244" t="s">
        <v>6</v>
      </c>
      <c r="Y25" s="244" t="s">
        <v>6</v>
      </c>
      <c r="Z25" s="244" t="s">
        <v>6</v>
      </c>
      <c r="AA25" s="244" t="s">
        <v>6</v>
      </c>
      <c r="AB25" s="244" t="s">
        <v>6</v>
      </c>
      <c r="AC25" s="244" t="s">
        <v>6</v>
      </c>
      <c r="AD25" s="244" t="s">
        <v>6</v>
      </c>
      <c r="AE25" s="244" t="s">
        <v>6</v>
      </c>
      <c r="AF25" s="244" t="s">
        <v>6</v>
      </c>
      <c r="AG25" s="244" t="s">
        <v>6</v>
      </c>
      <c r="AH25" s="244" t="s">
        <v>6</v>
      </c>
      <c r="AI25" s="244" t="s">
        <v>6</v>
      </c>
      <c r="AJ25" s="244" t="s">
        <v>6</v>
      </c>
      <c r="AK25" s="244" t="s">
        <v>6</v>
      </c>
      <c r="AL25" s="244" t="s">
        <v>6</v>
      </c>
      <c r="AM25" s="244" t="s">
        <v>6</v>
      </c>
      <c r="AN25" s="244" t="s">
        <v>6</v>
      </c>
      <c r="AO25" s="244" t="s">
        <v>6</v>
      </c>
      <c r="AP25" s="244" t="s">
        <v>6</v>
      </c>
      <c r="AQ25" s="244" t="s">
        <v>6</v>
      </c>
      <c r="AR25" s="244" t="s">
        <v>6</v>
      </c>
      <c r="AS25" s="244" t="s">
        <v>6</v>
      </c>
      <c r="AT25" s="244" t="s">
        <v>6</v>
      </c>
      <c r="AU25" s="244" t="s">
        <v>6</v>
      </c>
      <c r="AV25" s="244" t="s">
        <v>6</v>
      </c>
      <c r="AW25" s="244" t="s">
        <v>6</v>
      </c>
      <c r="AX25" s="244" t="s">
        <v>6</v>
      </c>
      <c r="AY25" s="244" t="s">
        <v>6</v>
      </c>
      <c r="AZ25" s="244" t="s">
        <v>6</v>
      </c>
      <c r="BA25" s="244" t="s">
        <v>6</v>
      </c>
      <c r="BB25" s="244" t="s">
        <v>6</v>
      </c>
      <c r="BC25" s="244" t="s">
        <v>6</v>
      </c>
      <c r="BD25" s="244" t="s">
        <v>6</v>
      </c>
      <c r="BE25" s="244" t="s">
        <v>6</v>
      </c>
      <c r="BF25" s="244" t="s">
        <v>6</v>
      </c>
      <c r="BG25" s="244" t="s">
        <v>6</v>
      </c>
      <c r="BH25" s="244" t="s">
        <v>6</v>
      </c>
      <c r="BI25" s="244" t="s">
        <v>6</v>
      </c>
      <c r="BJ25" s="244" t="s">
        <v>6</v>
      </c>
      <c r="BK25" s="244" t="s">
        <v>6</v>
      </c>
      <c r="BL25" s="244" t="s">
        <v>6</v>
      </c>
      <c r="BM25" s="244" t="s">
        <v>6</v>
      </c>
      <c r="BN25" s="244" t="s">
        <v>6</v>
      </c>
      <c r="BO25" s="244" t="s">
        <v>6</v>
      </c>
      <c r="BP25" s="244" t="s">
        <v>6</v>
      </c>
      <c r="BQ25" s="244" t="s">
        <v>6</v>
      </c>
      <c r="BR25" s="244" t="s">
        <v>6</v>
      </c>
      <c r="BS25" s="244" t="s">
        <v>6</v>
      </c>
      <c r="BT25" s="244" t="s">
        <v>6</v>
      </c>
      <c r="BU25" s="244" t="s">
        <v>6</v>
      </c>
      <c r="BV25" s="244" t="s">
        <v>6</v>
      </c>
      <c r="BW25" s="244" t="s">
        <v>6</v>
      </c>
      <c r="BX25" s="244" t="s">
        <v>6</v>
      </c>
      <c r="BY25" s="244" t="s">
        <v>6</v>
      </c>
      <c r="BZ25" s="244" t="s">
        <v>6</v>
      </c>
      <c r="CA25" s="244" t="s">
        <v>6</v>
      </c>
      <c r="CB25" s="244" t="s">
        <v>6</v>
      </c>
      <c r="CC25" s="244" t="s">
        <v>6</v>
      </c>
      <c r="CD25" s="244" t="s">
        <v>6</v>
      </c>
      <c r="CE25" s="244" t="s">
        <v>6</v>
      </c>
      <c r="CF25" s="244" t="s">
        <v>6</v>
      </c>
      <c r="CG25" s="244" t="s">
        <v>6</v>
      </c>
      <c r="CH25" s="244" t="s">
        <v>6</v>
      </c>
      <c r="CI25" s="244" t="s">
        <v>6</v>
      </c>
      <c r="CJ25" s="244" t="s">
        <v>6</v>
      </c>
      <c r="CK25" s="244" t="s">
        <v>6</v>
      </c>
      <c r="CL25" s="244" t="s">
        <v>6</v>
      </c>
      <c r="CM25" s="244" t="s">
        <v>6</v>
      </c>
      <c r="CN25" s="244" t="s">
        <v>6</v>
      </c>
      <c r="CO25" s="244" t="s">
        <v>6</v>
      </c>
      <c r="CP25" s="244" t="s">
        <v>6</v>
      </c>
      <c r="CQ25" s="244" t="s">
        <v>6</v>
      </c>
      <c r="CR25" s="244" t="s">
        <v>6</v>
      </c>
      <c r="CS25" s="244" t="s">
        <v>6</v>
      </c>
      <c r="CT25" s="244" t="s">
        <v>6</v>
      </c>
      <c r="CU25" s="244" t="s">
        <v>6</v>
      </c>
      <c r="CV25" s="244" t="s">
        <v>6</v>
      </c>
      <c r="CW25" s="244" t="s">
        <v>6</v>
      </c>
      <c r="CX25" s="244" t="s">
        <v>6</v>
      </c>
      <c r="CY25" s="244" t="s">
        <v>6</v>
      </c>
      <c r="CZ25" s="244" t="s">
        <v>6</v>
      </c>
      <c r="DA25" s="244" t="s">
        <v>6</v>
      </c>
      <c r="DB25" s="244" t="s">
        <v>6</v>
      </c>
      <c r="DC25" s="244" t="s">
        <v>6</v>
      </c>
      <c r="DD25" s="244" t="s">
        <v>6</v>
      </c>
      <c r="DE25" s="244" t="s">
        <v>6</v>
      </c>
      <c r="DF25" s="244" t="s">
        <v>6</v>
      </c>
      <c r="DG25" s="244" t="s">
        <v>6</v>
      </c>
      <c r="DH25" s="244" t="s">
        <v>6</v>
      </c>
      <c r="DI25" s="244" t="s">
        <v>6</v>
      </c>
      <c r="DJ25" s="244" t="s">
        <v>6</v>
      </c>
      <c r="DK25" s="244" t="s">
        <v>6</v>
      </c>
      <c r="DL25" s="244" t="s">
        <v>6</v>
      </c>
      <c r="DM25" s="244" t="s">
        <v>6</v>
      </c>
      <c r="DN25" s="244" t="s">
        <v>6</v>
      </c>
      <c r="DO25" s="244" t="s">
        <v>6</v>
      </c>
      <c r="DP25" s="244" t="s">
        <v>6</v>
      </c>
      <c r="DQ25" s="244" t="s">
        <v>6</v>
      </c>
      <c r="DR25" s="244" t="s">
        <v>6</v>
      </c>
      <c r="DS25" s="244" t="s">
        <v>6</v>
      </c>
      <c r="DT25" s="244" t="s">
        <v>6</v>
      </c>
      <c r="DU25" s="244" t="s">
        <v>6</v>
      </c>
      <c r="DV25" s="244" t="s">
        <v>6</v>
      </c>
      <c r="DW25" s="244" t="s">
        <v>6</v>
      </c>
      <c r="DX25" s="244" t="s">
        <v>6</v>
      </c>
      <c r="DY25" s="244" t="s">
        <v>6</v>
      </c>
      <c r="DZ25" s="244" t="s">
        <v>6</v>
      </c>
      <c r="EA25" s="244" t="s">
        <v>6</v>
      </c>
      <c r="EB25" s="244" t="s">
        <v>6</v>
      </c>
      <c r="EC25" s="244" t="s">
        <v>6</v>
      </c>
      <c r="ED25" s="244" t="s">
        <v>6</v>
      </c>
      <c r="EE25" s="244" t="s">
        <v>6</v>
      </c>
      <c r="EF25" s="244" t="s">
        <v>6</v>
      </c>
      <c r="EG25" s="244" t="s">
        <v>6</v>
      </c>
      <c r="EH25" s="244" t="s">
        <v>6</v>
      </c>
      <c r="EI25" s="244" t="s">
        <v>6</v>
      </c>
      <c r="EJ25" s="244" t="s">
        <v>6</v>
      </c>
      <c r="EK25" s="244" t="s">
        <v>6</v>
      </c>
      <c r="EL25" s="244" t="s">
        <v>6</v>
      </c>
      <c r="EM25" s="244" t="s">
        <v>6</v>
      </c>
      <c r="EN25" s="244" t="s">
        <v>6</v>
      </c>
      <c r="EO25" s="244" t="s">
        <v>6</v>
      </c>
      <c r="EP25" s="244" t="s">
        <v>6</v>
      </c>
      <c r="EQ25" s="244" t="s">
        <v>6</v>
      </c>
      <c r="ER25" s="244" t="s">
        <v>6</v>
      </c>
      <c r="ES25" s="244" t="s">
        <v>6</v>
      </c>
      <c r="ET25" s="244" t="s">
        <v>6</v>
      </c>
      <c r="EU25" s="244" t="s">
        <v>6</v>
      </c>
      <c r="EV25" s="244" t="s">
        <v>6</v>
      </c>
      <c r="EW25" s="244" t="s">
        <v>6</v>
      </c>
      <c r="EX25" s="244" t="s">
        <v>6</v>
      </c>
    </row>
    <row r="26" spans="1:154" ht="13.5">
      <c r="A26" s="240" t="s">
        <v>6</v>
      </c>
      <c r="B26" s="241" t="s">
        <v>6</v>
      </c>
      <c r="C26" s="244" t="s">
        <v>6</v>
      </c>
      <c r="D26" s="244" t="s">
        <v>6</v>
      </c>
      <c r="E26" s="244" t="s">
        <v>6</v>
      </c>
      <c r="F26" s="373" t="s">
        <v>35</v>
      </c>
      <c r="G26" s="374"/>
      <c r="H26" s="375" t="s">
        <v>36</v>
      </c>
      <c r="I26" s="374"/>
      <c r="J26" s="245" t="s">
        <v>77</v>
      </c>
      <c r="K26" s="245" t="s">
        <v>6</v>
      </c>
      <c r="L26" s="245" t="s">
        <v>6</v>
      </c>
      <c r="M26" s="244" t="s">
        <v>6</v>
      </c>
      <c r="N26" s="244" t="s">
        <v>6</v>
      </c>
      <c r="O26" s="244" t="s">
        <v>6</v>
      </c>
      <c r="P26" s="244" t="s">
        <v>6</v>
      </c>
      <c r="Q26" s="244" t="s">
        <v>6</v>
      </c>
      <c r="R26" s="244" t="s">
        <v>6</v>
      </c>
      <c r="S26" s="244" t="s">
        <v>6</v>
      </c>
      <c r="T26" s="244" t="s">
        <v>6</v>
      </c>
      <c r="U26" s="244" t="s">
        <v>6</v>
      </c>
      <c r="V26" s="244" t="s">
        <v>6</v>
      </c>
      <c r="W26" s="244" t="s">
        <v>6</v>
      </c>
      <c r="X26" s="244" t="s">
        <v>6</v>
      </c>
      <c r="Y26" s="244" t="s">
        <v>6</v>
      </c>
      <c r="Z26" s="244" t="s">
        <v>6</v>
      </c>
      <c r="AA26" s="244" t="s">
        <v>6</v>
      </c>
      <c r="AB26" s="244" t="s">
        <v>6</v>
      </c>
      <c r="AC26" s="244" t="s">
        <v>6</v>
      </c>
      <c r="AD26" s="244" t="s">
        <v>6</v>
      </c>
      <c r="AE26" s="244" t="s">
        <v>6</v>
      </c>
      <c r="AF26" s="244" t="s">
        <v>6</v>
      </c>
      <c r="AG26" s="244" t="s">
        <v>6</v>
      </c>
      <c r="AH26" s="244" t="s">
        <v>6</v>
      </c>
      <c r="AI26" s="244" t="s">
        <v>6</v>
      </c>
      <c r="AJ26" s="244" t="s">
        <v>6</v>
      </c>
      <c r="AK26" s="244" t="s">
        <v>6</v>
      </c>
      <c r="AL26" s="244" t="s">
        <v>6</v>
      </c>
      <c r="AM26" s="244" t="s">
        <v>6</v>
      </c>
      <c r="AN26" s="244" t="s">
        <v>6</v>
      </c>
      <c r="AO26" s="244" t="s">
        <v>6</v>
      </c>
      <c r="AP26" s="244" t="s">
        <v>6</v>
      </c>
      <c r="AQ26" s="244" t="s">
        <v>6</v>
      </c>
      <c r="AR26" s="244" t="s">
        <v>6</v>
      </c>
      <c r="AS26" s="244" t="s">
        <v>6</v>
      </c>
      <c r="AT26" s="244" t="s">
        <v>6</v>
      </c>
      <c r="AU26" s="244" t="s">
        <v>6</v>
      </c>
      <c r="AV26" s="244" t="s">
        <v>6</v>
      </c>
      <c r="AW26" s="244" t="s">
        <v>6</v>
      </c>
      <c r="AX26" s="244" t="s">
        <v>6</v>
      </c>
      <c r="AY26" s="244" t="s">
        <v>6</v>
      </c>
      <c r="AZ26" s="244" t="s">
        <v>6</v>
      </c>
      <c r="BA26" s="244" t="s">
        <v>6</v>
      </c>
      <c r="BB26" s="244" t="s">
        <v>6</v>
      </c>
      <c r="BC26" s="244" t="s">
        <v>6</v>
      </c>
      <c r="BD26" s="244" t="s">
        <v>6</v>
      </c>
      <c r="BE26" s="244" t="s">
        <v>6</v>
      </c>
      <c r="BF26" s="244" t="s">
        <v>6</v>
      </c>
      <c r="BG26" s="244" t="s">
        <v>6</v>
      </c>
      <c r="BH26" s="244" t="s">
        <v>6</v>
      </c>
      <c r="BI26" s="244" t="s">
        <v>6</v>
      </c>
      <c r="BJ26" s="244" t="s">
        <v>6</v>
      </c>
      <c r="BK26" s="244" t="s">
        <v>6</v>
      </c>
      <c r="BL26" s="244" t="s">
        <v>6</v>
      </c>
      <c r="BM26" s="244" t="s">
        <v>6</v>
      </c>
      <c r="BN26" s="244" t="s">
        <v>6</v>
      </c>
      <c r="BO26" s="244" t="s">
        <v>6</v>
      </c>
      <c r="BP26" s="244" t="s">
        <v>6</v>
      </c>
      <c r="BQ26" s="244" t="s">
        <v>6</v>
      </c>
      <c r="BR26" s="244" t="s">
        <v>6</v>
      </c>
      <c r="BS26" s="244" t="s">
        <v>6</v>
      </c>
      <c r="BT26" s="244" t="s">
        <v>6</v>
      </c>
      <c r="BU26" s="244" t="s">
        <v>6</v>
      </c>
      <c r="BV26" s="244" t="s">
        <v>6</v>
      </c>
      <c r="BW26" s="244" t="s">
        <v>6</v>
      </c>
      <c r="BX26" s="244" t="s">
        <v>6</v>
      </c>
      <c r="BY26" s="244" t="s">
        <v>6</v>
      </c>
      <c r="BZ26" s="244" t="s">
        <v>6</v>
      </c>
      <c r="CA26" s="244" t="s">
        <v>6</v>
      </c>
      <c r="CB26" s="244" t="s">
        <v>6</v>
      </c>
      <c r="CC26" s="244" t="s">
        <v>6</v>
      </c>
      <c r="CD26" s="244" t="s">
        <v>6</v>
      </c>
      <c r="CE26" s="244" t="s">
        <v>6</v>
      </c>
      <c r="CF26" s="244" t="s">
        <v>6</v>
      </c>
      <c r="CG26" s="244" t="s">
        <v>6</v>
      </c>
      <c r="CH26" s="244" t="s">
        <v>6</v>
      </c>
      <c r="CI26" s="244" t="s">
        <v>6</v>
      </c>
      <c r="CJ26" s="244" t="s">
        <v>6</v>
      </c>
      <c r="CK26" s="244" t="s">
        <v>6</v>
      </c>
      <c r="CL26" s="244" t="s">
        <v>6</v>
      </c>
      <c r="CM26" s="244" t="s">
        <v>6</v>
      </c>
      <c r="CN26" s="244" t="s">
        <v>6</v>
      </c>
      <c r="CO26" s="244" t="s">
        <v>6</v>
      </c>
      <c r="CP26" s="244" t="s">
        <v>6</v>
      </c>
      <c r="CQ26" s="244" t="s">
        <v>6</v>
      </c>
      <c r="CR26" s="244" t="s">
        <v>6</v>
      </c>
      <c r="CS26" s="244" t="s">
        <v>6</v>
      </c>
      <c r="CT26" s="244" t="s">
        <v>6</v>
      </c>
      <c r="CU26" s="244" t="s">
        <v>6</v>
      </c>
      <c r="CV26" s="244" t="s">
        <v>6</v>
      </c>
      <c r="CW26" s="244" t="s">
        <v>6</v>
      </c>
      <c r="CX26" s="244" t="s">
        <v>6</v>
      </c>
      <c r="CY26" s="244" t="s">
        <v>6</v>
      </c>
      <c r="CZ26" s="244" t="s">
        <v>6</v>
      </c>
      <c r="DA26" s="244" t="s">
        <v>6</v>
      </c>
      <c r="DB26" s="244" t="s">
        <v>6</v>
      </c>
      <c r="DC26" s="244" t="s">
        <v>6</v>
      </c>
      <c r="DD26" s="244" t="s">
        <v>6</v>
      </c>
      <c r="DE26" s="244" t="s">
        <v>6</v>
      </c>
      <c r="DF26" s="244" t="s">
        <v>6</v>
      </c>
      <c r="DG26" s="244" t="s">
        <v>6</v>
      </c>
      <c r="DH26" s="244" t="s">
        <v>6</v>
      </c>
      <c r="DI26" s="244" t="s">
        <v>6</v>
      </c>
      <c r="DJ26" s="244" t="s">
        <v>6</v>
      </c>
      <c r="DK26" s="244" t="s">
        <v>6</v>
      </c>
      <c r="DL26" s="244" t="s">
        <v>6</v>
      </c>
      <c r="DM26" s="244" t="s">
        <v>6</v>
      </c>
      <c r="DN26" s="244" t="s">
        <v>6</v>
      </c>
      <c r="DO26" s="244" t="s">
        <v>6</v>
      </c>
      <c r="DP26" s="244" t="s">
        <v>6</v>
      </c>
      <c r="DQ26" s="244" t="s">
        <v>6</v>
      </c>
      <c r="DR26" s="244" t="s">
        <v>6</v>
      </c>
      <c r="DS26" s="244" t="s">
        <v>6</v>
      </c>
      <c r="DT26" s="244" t="s">
        <v>6</v>
      </c>
      <c r="DU26" s="244" t="s">
        <v>6</v>
      </c>
      <c r="DV26" s="244" t="s">
        <v>6</v>
      </c>
      <c r="DW26" s="244" t="s">
        <v>6</v>
      </c>
      <c r="DX26" s="244" t="s">
        <v>6</v>
      </c>
      <c r="DY26" s="244" t="s">
        <v>6</v>
      </c>
      <c r="DZ26" s="244" t="s">
        <v>6</v>
      </c>
      <c r="EA26" s="244" t="s">
        <v>6</v>
      </c>
      <c r="EB26" s="244" t="s">
        <v>6</v>
      </c>
      <c r="EC26" s="244" t="s">
        <v>6</v>
      </c>
      <c r="ED26" s="244" t="s">
        <v>6</v>
      </c>
      <c r="EE26" s="244" t="s">
        <v>6</v>
      </c>
      <c r="EF26" s="244" t="s">
        <v>6</v>
      </c>
      <c r="EG26" s="244" t="s">
        <v>6</v>
      </c>
      <c r="EH26" s="244" t="s">
        <v>6</v>
      </c>
      <c r="EI26" s="244" t="s">
        <v>6</v>
      </c>
      <c r="EJ26" s="244" t="s">
        <v>6</v>
      </c>
      <c r="EK26" s="244" t="s">
        <v>6</v>
      </c>
      <c r="EL26" s="244" t="s">
        <v>6</v>
      </c>
      <c r="EM26" s="244" t="s">
        <v>6</v>
      </c>
      <c r="EN26" s="244" t="s">
        <v>6</v>
      </c>
      <c r="EO26" s="244" t="s">
        <v>6</v>
      </c>
      <c r="EP26" s="244" t="s">
        <v>6</v>
      </c>
      <c r="EQ26" s="244" t="s">
        <v>6</v>
      </c>
      <c r="ER26" s="244" t="s">
        <v>6</v>
      </c>
      <c r="ES26" s="244" t="s">
        <v>6</v>
      </c>
      <c r="ET26" s="244" t="s">
        <v>6</v>
      </c>
      <c r="EU26" s="244" t="s">
        <v>6</v>
      </c>
      <c r="EV26" s="244" t="s">
        <v>6</v>
      </c>
      <c r="EW26" s="244" t="s">
        <v>6</v>
      </c>
      <c r="EX26" s="244" t="s">
        <v>6</v>
      </c>
    </row>
    <row r="27" spans="1:154" ht="13.5">
      <c r="A27" s="240" t="s">
        <v>6</v>
      </c>
      <c r="B27" s="241" t="s">
        <v>6</v>
      </c>
      <c r="C27" s="244" t="s">
        <v>78</v>
      </c>
      <c r="D27" s="244"/>
      <c r="E27" s="244" t="s">
        <v>6</v>
      </c>
      <c r="F27" s="260">
        <v>885.81700000000001</v>
      </c>
      <c r="G27" s="232" t="s">
        <v>6</v>
      </c>
      <c r="H27" s="260" t="s">
        <v>79</v>
      </c>
      <c r="I27" s="232" t="s">
        <v>6</v>
      </c>
      <c r="J27" s="245" t="s">
        <v>6</v>
      </c>
      <c r="K27" s="244" t="s">
        <v>6</v>
      </c>
      <c r="L27" s="244" t="s">
        <v>6</v>
      </c>
      <c r="M27" s="244" t="s">
        <v>6</v>
      </c>
      <c r="N27" s="244" t="s">
        <v>6</v>
      </c>
      <c r="O27" s="244" t="s">
        <v>6</v>
      </c>
      <c r="P27" s="244" t="s">
        <v>6</v>
      </c>
      <c r="Q27" s="244" t="s">
        <v>6</v>
      </c>
      <c r="R27" s="244" t="s">
        <v>6</v>
      </c>
      <c r="S27" s="244" t="s">
        <v>6</v>
      </c>
      <c r="T27" s="244" t="s">
        <v>6</v>
      </c>
      <c r="U27" s="244" t="s">
        <v>6</v>
      </c>
      <c r="V27" s="244" t="s">
        <v>6</v>
      </c>
      <c r="W27" s="244" t="s">
        <v>6</v>
      </c>
      <c r="X27" s="244" t="s">
        <v>6</v>
      </c>
      <c r="Y27" s="244" t="s">
        <v>6</v>
      </c>
      <c r="Z27" s="244" t="s">
        <v>6</v>
      </c>
      <c r="AA27" s="244" t="s">
        <v>6</v>
      </c>
      <c r="AB27" s="244" t="s">
        <v>6</v>
      </c>
      <c r="AC27" s="244" t="s">
        <v>6</v>
      </c>
      <c r="AD27" s="244" t="s">
        <v>6</v>
      </c>
      <c r="AE27" s="244" t="s">
        <v>6</v>
      </c>
      <c r="AF27" s="244" t="s">
        <v>6</v>
      </c>
      <c r="AG27" s="244" t="s">
        <v>6</v>
      </c>
      <c r="AH27" s="244" t="s">
        <v>6</v>
      </c>
      <c r="AI27" s="244" t="s">
        <v>6</v>
      </c>
      <c r="AJ27" s="244" t="s">
        <v>6</v>
      </c>
      <c r="AK27" s="244" t="s">
        <v>6</v>
      </c>
      <c r="AL27" s="244" t="s">
        <v>6</v>
      </c>
      <c r="AM27" s="244" t="s">
        <v>6</v>
      </c>
      <c r="AN27" s="244" t="s">
        <v>6</v>
      </c>
      <c r="AO27" s="244" t="s">
        <v>6</v>
      </c>
      <c r="AP27" s="244" t="s">
        <v>6</v>
      </c>
      <c r="AQ27" s="244" t="s">
        <v>6</v>
      </c>
      <c r="AR27" s="244" t="s">
        <v>6</v>
      </c>
      <c r="AS27" s="244" t="s">
        <v>6</v>
      </c>
      <c r="AT27" s="244" t="s">
        <v>6</v>
      </c>
      <c r="AU27" s="244" t="s">
        <v>6</v>
      </c>
      <c r="AV27" s="244" t="s">
        <v>6</v>
      </c>
      <c r="AW27" s="244" t="s">
        <v>6</v>
      </c>
      <c r="AX27" s="244" t="s">
        <v>6</v>
      </c>
      <c r="AY27" s="244" t="s">
        <v>6</v>
      </c>
      <c r="AZ27" s="244" t="s">
        <v>6</v>
      </c>
      <c r="BA27" s="244" t="s">
        <v>6</v>
      </c>
      <c r="BB27" s="244" t="s">
        <v>6</v>
      </c>
      <c r="BC27" s="244" t="s">
        <v>6</v>
      </c>
      <c r="BD27" s="244" t="s">
        <v>6</v>
      </c>
      <c r="BE27" s="244" t="s">
        <v>6</v>
      </c>
      <c r="BF27" s="244" t="s">
        <v>6</v>
      </c>
      <c r="BG27" s="244" t="s">
        <v>6</v>
      </c>
      <c r="BH27" s="244" t="s">
        <v>6</v>
      </c>
      <c r="BI27" s="244" t="s">
        <v>6</v>
      </c>
      <c r="BJ27" s="244" t="s">
        <v>6</v>
      </c>
      <c r="BK27" s="244" t="s">
        <v>6</v>
      </c>
      <c r="BL27" s="244" t="s">
        <v>6</v>
      </c>
      <c r="BM27" s="244" t="s">
        <v>6</v>
      </c>
      <c r="BN27" s="244" t="s">
        <v>6</v>
      </c>
      <c r="BO27" s="244" t="s">
        <v>6</v>
      </c>
      <c r="BP27" s="244" t="s">
        <v>6</v>
      </c>
      <c r="BQ27" s="244" t="s">
        <v>6</v>
      </c>
      <c r="BR27" s="244" t="s">
        <v>6</v>
      </c>
      <c r="BS27" s="244" t="s">
        <v>6</v>
      </c>
      <c r="BT27" s="244" t="s">
        <v>6</v>
      </c>
      <c r="BU27" s="244" t="s">
        <v>6</v>
      </c>
      <c r="BV27" s="244" t="s">
        <v>6</v>
      </c>
      <c r="BW27" s="244" t="s">
        <v>6</v>
      </c>
      <c r="BX27" s="244" t="s">
        <v>6</v>
      </c>
      <c r="BY27" s="244" t="s">
        <v>6</v>
      </c>
      <c r="BZ27" s="244" t="s">
        <v>6</v>
      </c>
      <c r="CA27" s="244" t="s">
        <v>6</v>
      </c>
      <c r="CB27" s="244" t="s">
        <v>6</v>
      </c>
      <c r="CC27" s="244" t="s">
        <v>6</v>
      </c>
      <c r="CD27" s="244" t="s">
        <v>6</v>
      </c>
      <c r="CE27" s="244" t="s">
        <v>6</v>
      </c>
      <c r="CF27" s="244" t="s">
        <v>6</v>
      </c>
      <c r="CG27" s="244" t="s">
        <v>6</v>
      </c>
      <c r="CH27" s="244" t="s">
        <v>6</v>
      </c>
      <c r="CI27" s="244" t="s">
        <v>6</v>
      </c>
      <c r="CJ27" s="244" t="s">
        <v>6</v>
      </c>
      <c r="CK27" s="244" t="s">
        <v>6</v>
      </c>
      <c r="CL27" s="244" t="s">
        <v>6</v>
      </c>
      <c r="CM27" s="244" t="s">
        <v>6</v>
      </c>
      <c r="CN27" s="244" t="s">
        <v>6</v>
      </c>
      <c r="CO27" s="244" t="s">
        <v>6</v>
      </c>
      <c r="CP27" s="244" t="s">
        <v>6</v>
      </c>
      <c r="CQ27" s="244" t="s">
        <v>6</v>
      </c>
      <c r="CR27" s="244" t="s">
        <v>6</v>
      </c>
      <c r="CS27" s="244" t="s">
        <v>6</v>
      </c>
      <c r="CT27" s="244" t="s">
        <v>6</v>
      </c>
      <c r="CU27" s="244" t="s">
        <v>6</v>
      </c>
      <c r="CV27" s="244" t="s">
        <v>6</v>
      </c>
      <c r="CW27" s="244" t="s">
        <v>6</v>
      </c>
      <c r="CX27" s="244" t="s">
        <v>6</v>
      </c>
      <c r="CY27" s="244" t="s">
        <v>6</v>
      </c>
      <c r="CZ27" s="244" t="s">
        <v>6</v>
      </c>
      <c r="DA27" s="244" t="s">
        <v>6</v>
      </c>
      <c r="DB27" s="244" t="s">
        <v>6</v>
      </c>
      <c r="DC27" s="244" t="s">
        <v>6</v>
      </c>
      <c r="DD27" s="244" t="s">
        <v>6</v>
      </c>
      <c r="DE27" s="244" t="s">
        <v>6</v>
      </c>
      <c r="DF27" s="244" t="s">
        <v>6</v>
      </c>
      <c r="DG27" s="244" t="s">
        <v>6</v>
      </c>
      <c r="DH27" s="244" t="s">
        <v>6</v>
      </c>
      <c r="DI27" s="244" t="s">
        <v>6</v>
      </c>
      <c r="DJ27" s="244" t="s">
        <v>6</v>
      </c>
      <c r="DK27" s="244" t="s">
        <v>6</v>
      </c>
      <c r="DL27" s="244" t="s">
        <v>6</v>
      </c>
      <c r="DM27" s="244" t="s">
        <v>6</v>
      </c>
      <c r="DN27" s="244" t="s">
        <v>6</v>
      </c>
      <c r="DO27" s="244" t="s">
        <v>6</v>
      </c>
      <c r="DP27" s="244" t="s">
        <v>6</v>
      </c>
      <c r="DQ27" s="244" t="s">
        <v>6</v>
      </c>
      <c r="DR27" s="244" t="s">
        <v>6</v>
      </c>
      <c r="DS27" s="244" t="s">
        <v>6</v>
      </c>
      <c r="DT27" s="244" t="s">
        <v>6</v>
      </c>
      <c r="DU27" s="244" t="s">
        <v>6</v>
      </c>
      <c r="DV27" s="244" t="s">
        <v>6</v>
      </c>
      <c r="DW27" s="244" t="s">
        <v>6</v>
      </c>
      <c r="DX27" s="244" t="s">
        <v>6</v>
      </c>
      <c r="DY27" s="244" t="s">
        <v>6</v>
      </c>
      <c r="DZ27" s="244" t="s">
        <v>6</v>
      </c>
      <c r="EA27" s="244" t="s">
        <v>6</v>
      </c>
      <c r="EB27" s="244" t="s">
        <v>6</v>
      </c>
      <c r="EC27" s="244" t="s">
        <v>6</v>
      </c>
      <c r="ED27" s="244" t="s">
        <v>6</v>
      </c>
      <c r="EE27" s="244" t="s">
        <v>6</v>
      </c>
      <c r="EF27" s="244" t="s">
        <v>6</v>
      </c>
      <c r="EG27" s="244" t="s">
        <v>6</v>
      </c>
      <c r="EH27" s="244" t="s">
        <v>6</v>
      </c>
      <c r="EI27" s="244" t="s">
        <v>6</v>
      </c>
      <c r="EJ27" s="244" t="s">
        <v>6</v>
      </c>
      <c r="EK27" s="244" t="s">
        <v>6</v>
      </c>
      <c r="EL27" s="244" t="s">
        <v>6</v>
      </c>
      <c r="EM27" s="244" t="s">
        <v>6</v>
      </c>
      <c r="EN27" s="244" t="s">
        <v>6</v>
      </c>
      <c r="EO27" s="244" t="s">
        <v>6</v>
      </c>
      <c r="EP27" s="244" t="s">
        <v>6</v>
      </c>
      <c r="EQ27" s="244" t="s">
        <v>6</v>
      </c>
      <c r="ER27" s="244" t="s">
        <v>6</v>
      </c>
      <c r="ES27" s="244" t="s">
        <v>6</v>
      </c>
      <c r="ET27" s="244" t="s">
        <v>6</v>
      </c>
      <c r="EU27" s="244" t="s">
        <v>6</v>
      </c>
      <c r="EV27" s="244" t="s">
        <v>6</v>
      </c>
      <c r="EW27" s="244" t="s">
        <v>6</v>
      </c>
      <c r="EX27" s="244" t="s">
        <v>6</v>
      </c>
    </row>
    <row r="28" spans="1:154" ht="13.5">
      <c r="A28" s="240" t="s">
        <v>6</v>
      </c>
      <c r="B28" s="241" t="s">
        <v>6</v>
      </c>
      <c r="C28" s="244" t="s">
        <v>80</v>
      </c>
      <c r="D28" s="244"/>
      <c r="E28" s="244"/>
      <c r="F28" s="261" t="s">
        <v>81</v>
      </c>
      <c r="G28" s="232" t="s">
        <v>6</v>
      </c>
      <c r="H28" s="261" t="s">
        <v>82</v>
      </c>
      <c r="I28" s="232" t="s">
        <v>6</v>
      </c>
      <c r="J28" s="262" t="s">
        <v>83</v>
      </c>
      <c r="K28" s="244" t="s">
        <v>6</v>
      </c>
      <c r="L28" s="263" t="s">
        <v>6</v>
      </c>
      <c r="M28" s="264" t="s">
        <v>84</v>
      </c>
      <c r="N28" s="245"/>
      <c r="O28" s="245"/>
      <c r="P28" s="244" t="s">
        <v>6</v>
      </c>
      <c r="Q28" s="244" t="s">
        <v>6</v>
      </c>
      <c r="R28" s="244" t="s">
        <v>6</v>
      </c>
      <c r="S28" s="244" t="s">
        <v>6</v>
      </c>
      <c r="T28" s="244" t="s">
        <v>6</v>
      </c>
      <c r="U28" s="244" t="s">
        <v>6</v>
      </c>
      <c r="V28" s="244" t="s">
        <v>6</v>
      </c>
      <c r="W28" s="244" t="s">
        <v>6</v>
      </c>
      <c r="X28" s="244" t="s">
        <v>6</v>
      </c>
      <c r="Y28" s="244" t="s">
        <v>6</v>
      </c>
      <c r="Z28" s="244" t="s">
        <v>6</v>
      </c>
      <c r="AA28" s="244" t="s">
        <v>6</v>
      </c>
      <c r="AB28" s="244" t="s">
        <v>6</v>
      </c>
      <c r="AC28" s="244" t="s">
        <v>6</v>
      </c>
      <c r="AD28" s="244" t="s">
        <v>6</v>
      </c>
      <c r="AE28" s="244" t="s">
        <v>6</v>
      </c>
      <c r="AF28" s="244" t="s">
        <v>6</v>
      </c>
      <c r="AG28" s="244" t="s">
        <v>6</v>
      </c>
      <c r="AH28" s="244" t="s">
        <v>6</v>
      </c>
      <c r="AI28" s="244" t="s">
        <v>6</v>
      </c>
      <c r="AJ28" s="244" t="s">
        <v>6</v>
      </c>
      <c r="AK28" s="244" t="s">
        <v>6</v>
      </c>
      <c r="AL28" s="244" t="s">
        <v>6</v>
      </c>
      <c r="AM28" s="244" t="s">
        <v>6</v>
      </c>
      <c r="AN28" s="244" t="s">
        <v>6</v>
      </c>
      <c r="AO28" s="244" t="s">
        <v>6</v>
      </c>
      <c r="AP28" s="244" t="s">
        <v>6</v>
      </c>
      <c r="AQ28" s="244" t="s">
        <v>6</v>
      </c>
      <c r="AR28" s="244" t="s">
        <v>6</v>
      </c>
      <c r="AS28" s="244" t="s">
        <v>6</v>
      </c>
      <c r="AT28" s="244" t="s">
        <v>6</v>
      </c>
      <c r="AU28" s="244" t="s">
        <v>6</v>
      </c>
      <c r="AV28" s="244" t="s">
        <v>6</v>
      </c>
      <c r="AW28" s="244" t="s">
        <v>6</v>
      </c>
      <c r="AX28" s="244" t="s">
        <v>6</v>
      </c>
      <c r="AY28" s="244" t="s">
        <v>6</v>
      </c>
      <c r="AZ28" s="244" t="s">
        <v>6</v>
      </c>
      <c r="BA28" s="244" t="s">
        <v>6</v>
      </c>
      <c r="BB28" s="244" t="s">
        <v>6</v>
      </c>
      <c r="BC28" s="244" t="s">
        <v>6</v>
      </c>
      <c r="BD28" s="244" t="s">
        <v>6</v>
      </c>
      <c r="BE28" s="244" t="s">
        <v>6</v>
      </c>
      <c r="BF28" s="244" t="s">
        <v>6</v>
      </c>
      <c r="BG28" s="244" t="s">
        <v>6</v>
      </c>
      <c r="BH28" s="244" t="s">
        <v>6</v>
      </c>
      <c r="BI28" s="244" t="s">
        <v>6</v>
      </c>
      <c r="BJ28" s="244" t="s">
        <v>6</v>
      </c>
      <c r="BK28" s="244" t="s">
        <v>6</v>
      </c>
      <c r="BL28" s="244" t="s">
        <v>6</v>
      </c>
      <c r="BM28" s="244" t="s">
        <v>6</v>
      </c>
      <c r="BN28" s="244" t="s">
        <v>6</v>
      </c>
      <c r="BO28" s="244" t="s">
        <v>6</v>
      </c>
      <c r="BP28" s="244" t="s">
        <v>6</v>
      </c>
      <c r="BQ28" s="244" t="s">
        <v>6</v>
      </c>
      <c r="BR28" s="244" t="s">
        <v>6</v>
      </c>
      <c r="BS28" s="244" t="s">
        <v>6</v>
      </c>
      <c r="BT28" s="244" t="s">
        <v>6</v>
      </c>
      <c r="BU28" s="244" t="s">
        <v>6</v>
      </c>
      <c r="BV28" s="244" t="s">
        <v>6</v>
      </c>
      <c r="BW28" s="244" t="s">
        <v>6</v>
      </c>
      <c r="BX28" s="244" t="s">
        <v>6</v>
      </c>
      <c r="BY28" s="244" t="s">
        <v>6</v>
      </c>
      <c r="BZ28" s="244" t="s">
        <v>6</v>
      </c>
      <c r="CA28" s="244" t="s">
        <v>6</v>
      </c>
      <c r="CB28" s="244" t="s">
        <v>6</v>
      </c>
      <c r="CC28" s="244" t="s">
        <v>6</v>
      </c>
      <c r="CD28" s="244" t="s">
        <v>6</v>
      </c>
      <c r="CE28" s="244" t="s">
        <v>6</v>
      </c>
      <c r="CF28" s="244" t="s">
        <v>6</v>
      </c>
      <c r="CG28" s="244" t="s">
        <v>6</v>
      </c>
      <c r="CH28" s="244" t="s">
        <v>6</v>
      </c>
      <c r="CI28" s="244" t="s">
        <v>6</v>
      </c>
      <c r="CJ28" s="244" t="s">
        <v>6</v>
      </c>
      <c r="CK28" s="244" t="s">
        <v>6</v>
      </c>
      <c r="CL28" s="244" t="s">
        <v>6</v>
      </c>
      <c r="CM28" s="244" t="s">
        <v>6</v>
      </c>
      <c r="CN28" s="244" t="s">
        <v>6</v>
      </c>
      <c r="CO28" s="244" t="s">
        <v>6</v>
      </c>
      <c r="CP28" s="244" t="s">
        <v>6</v>
      </c>
      <c r="CQ28" s="244" t="s">
        <v>6</v>
      </c>
      <c r="CR28" s="244" t="s">
        <v>6</v>
      </c>
      <c r="CS28" s="244" t="s">
        <v>6</v>
      </c>
      <c r="CT28" s="244" t="s">
        <v>6</v>
      </c>
      <c r="CU28" s="244" t="s">
        <v>6</v>
      </c>
      <c r="CV28" s="244" t="s">
        <v>6</v>
      </c>
      <c r="CW28" s="244" t="s">
        <v>6</v>
      </c>
      <c r="CX28" s="244" t="s">
        <v>6</v>
      </c>
      <c r="CY28" s="244" t="s">
        <v>6</v>
      </c>
      <c r="CZ28" s="244" t="s">
        <v>6</v>
      </c>
      <c r="DA28" s="244" t="s">
        <v>6</v>
      </c>
      <c r="DB28" s="244" t="s">
        <v>6</v>
      </c>
      <c r="DC28" s="244" t="s">
        <v>6</v>
      </c>
      <c r="DD28" s="244" t="s">
        <v>6</v>
      </c>
      <c r="DE28" s="244" t="s">
        <v>6</v>
      </c>
      <c r="DF28" s="244" t="s">
        <v>6</v>
      </c>
      <c r="DG28" s="244" t="s">
        <v>6</v>
      </c>
      <c r="DH28" s="244" t="s">
        <v>6</v>
      </c>
      <c r="DI28" s="244" t="s">
        <v>6</v>
      </c>
      <c r="DJ28" s="244" t="s">
        <v>6</v>
      </c>
      <c r="DK28" s="244" t="s">
        <v>6</v>
      </c>
      <c r="DL28" s="244" t="s">
        <v>6</v>
      </c>
      <c r="DM28" s="244" t="s">
        <v>6</v>
      </c>
      <c r="DN28" s="244" t="s">
        <v>6</v>
      </c>
      <c r="DO28" s="244" t="s">
        <v>6</v>
      </c>
      <c r="DP28" s="244" t="s">
        <v>6</v>
      </c>
      <c r="DQ28" s="244" t="s">
        <v>6</v>
      </c>
      <c r="DR28" s="244" t="s">
        <v>6</v>
      </c>
      <c r="DS28" s="244" t="s">
        <v>6</v>
      </c>
      <c r="DT28" s="244" t="s">
        <v>6</v>
      </c>
      <c r="DU28" s="244" t="s">
        <v>6</v>
      </c>
      <c r="DV28" s="244" t="s">
        <v>6</v>
      </c>
      <c r="DW28" s="244" t="s">
        <v>6</v>
      </c>
      <c r="DX28" s="244" t="s">
        <v>6</v>
      </c>
      <c r="DY28" s="244" t="s">
        <v>6</v>
      </c>
      <c r="DZ28" s="244" t="s">
        <v>6</v>
      </c>
      <c r="EA28" s="244" t="s">
        <v>6</v>
      </c>
      <c r="EB28" s="244" t="s">
        <v>6</v>
      </c>
      <c r="EC28" s="244" t="s">
        <v>6</v>
      </c>
      <c r="ED28" s="244" t="s">
        <v>6</v>
      </c>
      <c r="EE28" s="244" t="s">
        <v>6</v>
      </c>
      <c r="EF28" s="244" t="s">
        <v>6</v>
      </c>
      <c r="EG28" s="244" t="s">
        <v>6</v>
      </c>
      <c r="EH28" s="244" t="s">
        <v>6</v>
      </c>
      <c r="EI28" s="244" t="s">
        <v>6</v>
      </c>
      <c r="EJ28" s="244" t="s">
        <v>6</v>
      </c>
      <c r="EK28" s="244" t="s">
        <v>6</v>
      </c>
      <c r="EL28" s="244" t="s">
        <v>6</v>
      </c>
      <c r="EM28" s="244" t="s">
        <v>6</v>
      </c>
      <c r="EN28" s="244" t="s">
        <v>6</v>
      </c>
      <c r="EO28" s="244" t="s">
        <v>6</v>
      </c>
      <c r="EP28" s="244" t="s">
        <v>6</v>
      </c>
      <c r="EQ28" s="244" t="s">
        <v>6</v>
      </c>
      <c r="ER28" s="244" t="s">
        <v>6</v>
      </c>
      <c r="ES28" s="244" t="s">
        <v>6</v>
      </c>
      <c r="ET28" s="244" t="s">
        <v>6</v>
      </c>
      <c r="EU28" s="244" t="s">
        <v>6</v>
      </c>
      <c r="EV28" s="244" t="s">
        <v>6</v>
      </c>
      <c r="EW28" s="244" t="s">
        <v>6</v>
      </c>
      <c r="EX28" s="244" t="s">
        <v>6</v>
      </c>
    </row>
    <row r="29" spans="1:154" ht="13.5">
      <c r="A29" s="240" t="s">
        <v>6</v>
      </c>
      <c r="B29" s="241" t="s">
        <v>6</v>
      </c>
      <c r="C29" s="244" t="s">
        <v>85</v>
      </c>
      <c r="D29" s="244"/>
      <c r="E29" s="244"/>
      <c r="F29" s="261" t="s">
        <v>86</v>
      </c>
      <c r="G29" s="232" t="s">
        <v>6</v>
      </c>
      <c r="H29" s="261" t="s">
        <v>87</v>
      </c>
      <c r="I29" s="232" t="s">
        <v>6</v>
      </c>
      <c r="J29" s="245" t="s">
        <v>88</v>
      </c>
      <c r="K29" s="244" t="s">
        <v>6</v>
      </c>
      <c r="L29" s="265" t="s">
        <v>6</v>
      </c>
      <c r="M29" s="244" t="s">
        <v>6</v>
      </c>
      <c r="N29" s="244" t="s">
        <v>6</v>
      </c>
      <c r="O29" s="266" t="s">
        <v>6</v>
      </c>
      <c r="P29" s="244" t="s">
        <v>6</v>
      </c>
      <c r="Q29" s="244" t="s">
        <v>6</v>
      </c>
      <c r="R29" s="244" t="s">
        <v>6</v>
      </c>
      <c r="S29" s="244" t="s">
        <v>6</v>
      </c>
      <c r="T29" s="244" t="s">
        <v>6</v>
      </c>
      <c r="U29" s="244" t="s">
        <v>6</v>
      </c>
      <c r="V29" s="244" t="s">
        <v>6</v>
      </c>
      <c r="W29" s="244" t="s">
        <v>6</v>
      </c>
      <c r="X29" s="244" t="s">
        <v>6</v>
      </c>
      <c r="Y29" s="244" t="s">
        <v>6</v>
      </c>
      <c r="Z29" s="244" t="s">
        <v>6</v>
      </c>
      <c r="AA29" s="244" t="s">
        <v>6</v>
      </c>
      <c r="AB29" s="244" t="s">
        <v>6</v>
      </c>
      <c r="AC29" s="244" t="s">
        <v>6</v>
      </c>
      <c r="AD29" s="244" t="s">
        <v>6</v>
      </c>
      <c r="AE29" s="244" t="s">
        <v>6</v>
      </c>
      <c r="AF29" s="244" t="s">
        <v>6</v>
      </c>
      <c r="AG29" s="244" t="s">
        <v>6</v>
      </c>
      <c r="AH29" s="244" t="s">
        <v>6</v>
      </c>
      <c r="AI29" s="244" t="s">
        <v>6</v>
      </c>
      <c r="AJ29" s="244" t="s">
        <v>6</v>
      </c>
      <c r="AK29" s="244" t="s">
        <v>6</v>
      </c>
      <c r="AL29" s="244" t="s">
        <v>6</v>
      </c>
      <c r="AM29" s="244" t="s">
        <v>6</v>
      </c>
      <c r="AN29" s="244" t="s">
        <v>6</v>
      </c>
      <c r="AO29" s="244" t="s">
        <v>6</v>
      </c>
      <c r="AP29" s="244" t="s">
        <v>6</v>
      </c>
      <c r="AQ29" s="244" t="s">
        <v>6</v>
      </c>
      <c r="AR29" s="244" t="s">
        <v>6</v>
      </c>
      <c r="AS29" s="244" t="s">
        <v>6</v>
      </c>
      <c r="AT29" s="244" t="s">
        <v>6</v>
      </c>
      <c r="AU29" s="244" t="s">
        <v>6</v>
      </c>
      <c r="AV29" s="244" t="s">
        <v>6</v>
      </c>
      <c r="AW29" s="244" t="s">
        <v>6</v>
      </c>
      <c r="AX29" s="244" t="s">
        <v>6</v>
      </c>
      <c r="AY29" s="244" t="s">
        <v>6</v>
      </c>
      <c r="AZ29" s="244" t="s">
        <v>6</v>
      </c>
      <c r="BA29" s="244" t="s">
        <v>6</v>
      </c>
      <c r="BB29" s="244" t="s">
        <v>6</v>
      </c>
      <c r="BC29" s="244" t="s">
        <v>6</v>
      </c>
      <c r="BD29" s="244" t="s">
        <v>6</v>
      </c>
      <c r="BE29" s="244" t="s">
        <v>6</v>
      </c>
      <c r="BF29" s="244" t="s">
        <v>6</v>
      </c>
      <c r="BG29" s="244" t="s">
        <v>6</v>
      </c>
      <c r="BH29" s="244" t="s">
        <v>6</v>
      </c>
      <c r="BI29" s="244" t="s">
        <v>6</v>
      </c>
      <c r="BJ29" s="244" t="s">
        <v>6</v>
      </c>
      <c r="BK29" s="244" t="s">
        <v>6</v>
      </c>
      <c r="BL29" s="244" t="s">
        <v>6</v>
      </c>
      <c r="BM29" s="244" t="s">
        <v>6</v>
      </c>
      <c r="BN29" s="244" t="s">
        <v>6</v>
      </c>
      <c r="BO29" s="244" t="s">
        <v>6</v>
      </c>
      <c r="BP29" s="244" t="s">
        <v>6</v>
      </c>
      <c r="BQ29" s="244" t="s">
        <v>6</v>
      </c>
      <c r="BR29" s="244" t="s">
        <v>6</v>
      </c>
      <c r="BS29" s="244" t="s">
        <v>6</v>
      </c>
      <c r="BT29" s="244" t="s">
        <v>6</v>
      </c>
      <c r="BU29" s="244" t="s">
        <v>6</v>
      </c>
      <c r="BV29" s="244" t="s">
        <v>6</v>
      </c>
      <c r="BW29" s="244" t="s">
        <v>6</v>
      </c>
      <c r="BX29" s="244" t="s">
        <v>6</v>
      </c>
      <c r="BY29" s="244" t="s">
        <v>6</v>
      </c>
      <c r="BZ29" s="244" t="s">
        <v>6</v>
      </c>
      <c r="CA29" s="244" t="s">
        <v>6</v>
      </c>
      <c r="CB29" s="244" t="s">
        <v>6</v>
      </c>
      <c r="CC29" s="244" t="s">
        <v>6</v>
      </c>
      <c r="CD29" s="244" t="s">
        <v>6</v>
      </c>
      <c r="CE29" s="244" t="s">
        <v>6</v>
      </c>
      <c r="CF29" s="244" t="s">
        <v>6</v>
      </c>
      <c r="CG29" s="244" t="s">
        <v>6</v>
      </c>
      <c r="CH29" s="244" t="s">
        <v>6</v>
      </c>
      <c r="CI29" s="244" t="s">
        <v>6</v>
      </c>
      <c r="CJ29" s="244" t="s">
        <v>6</v>
      </c>
      <c r="CK29" s="244" t="s">
        <v>6</v>
      </c>
      <c r="CL29" s="244" t="s">
        <v>6</v>
      </c>
      <c r="CM29" s="244" t="s">
        <v>6</v>
      </c>
      <c r="CN29" s="244" t="s">
        <v>6</v>
      </c>
      <c r="CO29" s="244" t="s">
        <v>6</v>
      </c>
      <c r="CP29" s="244" t="s">
        <v>6</v>
      </c>
      <c r="CQ29" s="244" t="s">
        <v>6</v>
      </c>
      <c r="CR29" s="244" t="s">
        <v>6</v>
      </c>
      <c r="CS29" s="244" t="s">
        <v>6</v>
      </c>
      <c r="CT29" s="244" t="s">
        <v>6</v>
      </c>
      <c r="CU29" s="244" t="s">
        <v>6</v>
      </c>
      <c r="CV29" s="244" t="s">
        <v>6</v>
      </c>
      <c r="CW29" s="244" t="s">
        <v>6</v>
      </c>
      <c r="CX29" s="244" t="s">
        <v>6</v>
      </c>
      <c r="CY29" s="244" t="s">
        <v>6</v>
      </c>
      <c r="CZ29" s="244" t="s">
        <v>6</v>
      </c>
      <c r="DA29" s="244" t="s">
        <v>6</v>
      </c>
      <c r="DB29" s="244" t="s">
        <v>6</v>
      </c>
      <c r="DC29" s="244" t="s">
        <v>6</v>
      </c>
      <c r="DD29" s="244" t="s">
        <v>6</v>
      </c>
      <c r="DE29" s="244" t="s">
        <v>6</v>
      </c>
      <c r="DF29" s="244" t="s">
        <v>6</v>
      </c>
      <c r="DG29" s="244" t="s">
        <v>6</v>
      </c>
      <c r="DH29" s="244" t="s">
        <v>6</v>
      </c>
      <c r="DI29" s="244" t="s">
        <v>6</v>
      </c>
      <c r="DJ29" s="244" t="s">
        <v>6</v>
      </c>
      <c r="DK29" s="244" t="s">
        <v>6</v>
      </c>
      <c r="DL29" s="244" t="s">
        <v>6</v>
      </c>
      <c r="DM29" s="244" t="s">
        <v>6</v>
      </c>
      <c r="DN29" s="244" t="s">
        <v>6</v>
      </c>
      <c r="DO29" s="244" t="s">
        <v>6</v>
      </c>
      <c r="DP29" s="244" t="s">
        <v>6</v>
      </c>
      <c r="DQ29" s="244" t="s">
        <v>6</v>
      </c>
      <c r="DR29" s="244" t="s">
        <v>6</v>
      </c>
      <c r="DS29" s="244" t="s">
        <v>6</v>
      </c>
      <c r="DT29" s="244" t="s">
        <v>6</v>
      </c>
      <c r="DU29" s="244" t="s">
        <v>6</v>
      </c>
      <c r="DV29" s="244" t="s">
        <v>6</v>
      </c>
      <c r="DW29" s="244" t="s">
        <v>6</v>
      </c>
      <c r="DX29" s="244" t="s">
        <v>6</v>
      </c>
      <c r="DY29" s="244" t="s">
        <v>6</v>
      </c>
      <c r="DZ29" s="244" t="s">
        <v>6</v>
      </c>
      <c r="EA29" s="244" t="s">
        <v>6</v>
      </c>
      <c r="EB29" s="244" t="s">
        <v>6</v>
      </c>
      <c r="EC29" s="244" t="s">
        <v>6</v>
      </c>
      <c r="ED29" s="244" t="s">
        <v>6</v>
      </c>
      <c r="EE29" s="244" t="s">
        <v>6</v>
      </c>
      <c r="EF29" s="244" t="s">
        <v>6</v>
      </c>
      <c r="EG29" s="244" t="s">
        <v>6</v>
      </c>
      <c r="EH29" s="244" t="s">
        <v>6</v>
      </c>
      <c r="EI29" s="244" t="s">
        <v>6</v>
      </c>
      <c r="EJ29" s="244" t="s">
        <v>6</v>
      </c>
      <c r="EK29" s="244" t="s">
        <v>6</v>
      </c>
      <c r="EL29" s="244" t="s">
        <v>6</v>
      </c>
      <c r="EM29" s="244" t="s">
        <v>6</v>
      </c>
      <c r="EN29" s="244" t="s">
        <v>6</v>
      </c>
      <c r="EO29" s="244" t="s">
        <v>6</v>
      </c>
      <c r="EP29" s="244" t="s">
        <v>6</v>
      </c>
      <c r="EQ29" s="244" t="s">
        <v>6</v>
      </c>
      <c r="ER29" s="244" t="s">
        <v>6</v>
      </c>
      <c r="ES29" s="244" t="s">
        <v>6</v>
      </c>
      <c r="ET29" s="244" t="s">
        <v>6</v>
      </c>
      <c r="EU29" s="244" t="s">
        <v>6</v>
      </c>
      <c r="EV29" s="244" t="s">
        <v>6</v>
      </c>
      <c r="EW29" s="244" t="s">
        <v>6</v>
      </c>
      <c r="EX29" s="244" t="s">
        <v>6</v>
      </c>
    </row>
    <row r="30" spans="1:154" ht="13.5">
      <c r="A30" s="240" t="s">
        <v>6</v>
      </c>
      <c r="B30" s="241" t="s">
        <v>6</v>
      </c>
      <c r="C30" s="244" t="s">
        <v>89</v>
      </c>
      <c r="D30" s="244"/>
      <c r="E30" s="244"/>
      <c r="F30" s="267">
        <v>808.57799999999997</v>
      </c>
      <c r="G30" s="253" t="s">
        <v>6</v>
      </c>
      <c r="H30" s="267" t="s">
        <v>90</v>
      </c>
      <c r="I30" s="232" t="s">
        <v>6</v>
      </c>
      <c r="J30" s="245" t="s">
        <v>6</v>
      </c>
      <c r="K30" s="244" t="s">
        <v>6</v>
      </c>
      <c r="L30" s="265" t="s">
        <v>6</v>
      </c>
      <c r="M30" s="244" t="s">
        <v>91</v>
      </c>
      <c r="N30" s="268" t="s">
        <v>92</v>
      </c>
      <c r="O30" s="266" t="s">
        <v>6</v>
      </c>
      <c r="P30" s="244" t="s">
        <v>6</v>
      </c>
      <c r="Q30" s="244" t="s">
        <v>6</v>
      </c>
      <c r="R30" s="244" t="s">
        <v>6</v>
      </c>
      <c r="S30" s="244" t="s">
        <v>6</v>
      </c>
      <c r="T30" s="244" t="s">
        <v>6</v>
      </c>
      <c r="U30" s="244" t="s">
        <v>6</v>
      </c>
      <c r="V30" s="244" t="s">
        <v>6</v>
      </c>
      <c r="W30" s="244" t="s">
        <v>6</v>
      </c>
      <c r="X30" s="244" t="s">
        <v>6</v>
      </c>
      <c r="Y30" s="244" t="s">
        <v>6</v>
      </c>
      <c r="Z30" s="244" t="s">
        <v>6</v>
      </c>
      <c r="AA30" s="244" t="s">
        <v>6</v>
      </c>
      <c r="AB30" s="244" t="s">
        <v>6</v>
      </c>
      <c r="AC30" s="244" t="s">
        <v>6</v>
      </c>
      <c r="AD30" s="244" t="s">
        <v>6</v>
      </c>
      <c r="AE30" s="244" t="s">
        <v>6</v>
      </c>
      <c r="AF30" s="244" t="s">
        <v>6</v>
      </c>
      <c r="AG30" s="244" t="s">
        <v>6</v>
      </c>
      <c r="AH30" s="244" t="s">
        <v>6</v>
      </c>
      <c r="AI30" s="244" t="s">
        <v>6</v>
      </c>
      <c r="AJ30" s="244" t="s">
        <v>6</v>
      </c>
      <c r="AK30" s="244" t="s">
        <v>6</v>
      </c>
      <c r="AL30" s="244" t="s">
        <v>6</v>
      </c>
      <c r="AM30" s="244" t="s">
        <v>6</v>
      </c>
      <c r="AN30" s="244" t="s">
        <v>6</v>
      </c>
      <c r="AO30" s="244" t="s">
        <v>6</v>
      </c>
      <c r="AP30" s="244" t="s">
        <v>6</v>
      </c>
      <c r="AQ30" s="244" t="s">
        <v>6</v>
      </c>
      <c r="AR30" s="244" t="s">
        <v>6</v>
      </c>
      <c r="AS30" s="244" t="s">
        <v>6</v>
      </c>
      <c r="AT30" s="244" t="s">
        <v>6</v>
      </c>
      <c r="AU30" s="244" t="s">
        <v>6</v>
      </c>
      <c r="AV30" s="244" t="s">
        <v>6</v>
      </c>
      <c r="AW30" s="244" t="s">
        <v>6</v>
      </c>
      <c r="AX30" s="244" t="s">
        <v>6</v>
      </c>
      <c r="AY30" s="244" t="s">
        <v>6</v>
      </c>
      <c r="AZ30" s="244" t="s">
        <v>6</v>
      </c>
      <c r="BA30" s="244" t="s">
        <v>6</v>
      </c>
      <c r="BB30" s="244" t="s">
        <v>6</v>
      </c>
      <c r="BC30" s="244" t="s">
        <v>6</v>
      </c>
      <c r="BD30" s="244" t="s">
        <v>6</v>
      </c>
      <c r="BE30" s="244" t="s">
        <v>6</v>
      </c>
      <c r="BF30" s="244" t="s">
        <v>6</v>
      </c>
      <c r="BG30" s="244" t="s">
        <v>6</v>
      </c>
      <c r="BH30" s="244" t="s">
        <v>6</v>
      </c>
      <c r="BI30" s="244" t="s">
        <v>6</v>
      </c>
      <c r="BJ30" s="244" t="s">
        <v>6</v>
      </c>
      <c r="BK30" s="244" t="s">
        <v>6</v>
      </c>
      <c r="BL30" s="244" t="s">
        <v>6</v>
      </c>
      <c r="BM30" s="244" t="s">
        <v>6</v>
      </c>
      <c r="BN30" s="244" t="s">
        <v>6</v>
      </c>
      <c r="BO30" s="244" t="s">
        <v>6</v>
      </c>
      <c r="BP30" s="244" t="s">
        <v>6</v>
      </c>
      <c r="BQ30" s="244" t="s">
        <v>6</v>
      </c>
      <c r="BR30" s="244" t="s">
        <v>6</v>
      </c>
      <c r="BS30" s="244" t="s">
        <v>6</v>
      </c>
      <c r="BT30" s="244" t="s">
        <v>6</v>
      </c>
      <c r="BU30" s="244" t="s">
        <v>6</v>
      </c>
      <c r="BV30" s="244" t="s">
        <v>6</v>
      </c>
      <c r="BW30" s="244" t="s">
        <v>6</v>
      </c>
      <c r="BX30" s="244" t="s">
        <v>6</v>
      </c>
      <c r="BY30" s="244" t="s">
        <v>6</v>
      </c>
      <c r="BZ30" s="244" t="s">
        <v>6</v>
      </c>
      <c r="CA30" s="244" t="s">
        <v>6</v>
      </c>
      <c r="CB30" s="244" t="s">
        <v>6</v>
      </c>
      <c r="CC30" s="244" t="s">
        <v>6</v>
      </c>
      <c r="CD30" s="244" t="s">
        <v>6</v>
      </c>
      <c r="CE30" s="244" t="s">
        <v>6</v>
      </c>
      <c r="CF30" s="244" t="s">
        <v>6</v>
      </c>
      <c r="CG30" s="244" t="s">
        <v>6</v>
      </c>
      <c r="CH30" s="244" t="s">
        <v>6</v>
      </c>
      <c r="CI30" s="244" t="s">
        <v>6</v>
      </c>
      <c r="CJ30" s="244" t="s">
        <v>6</v>
      </c>
      <c r="CK30" s="244" t="s">
        <v>6</v>
      </c>
      <c r="CL30" s="244" t="s">
        <v>6</v>
      </c>
      <c r="CM30" s="244" t="s">
        <v>6</v>
      </c>
      <c r="CN30" s="244" t="s">
        <v>6</v>
      </c>
      <c r="CO30" s="244" t="s">
        <v>6</v>
      </c>
      <c r="CP30" s="244" t="s">
        <v>6</v>
      </c>
      <c r="CQ30" s="244" t="s">
        <v>6</v>
      </c>
      <c r="CR30" s="244" t="s">
        <v>6</v>
      </c>
      <c r="CS30" s="244" t="s">
        <v>6</v>
      </c>
      <c r="CT30" s="244" t="s">
        <v>6</v>
      </c>
      <c r="CU30" s="244" t="s">
        <v>6</v>
      </c>
      <c r="CV30" s="244" t="s">
        <v>6</v>
      </c>
      <c r="CW30" s="244" t="s">
        <v>6</v>
      </c>
      <c r="CX30" s="244" t="s">
        <v>6</v>
      </c>
      <c r="CY30" s="244" t="s">
        <v>6</v>
      </c>
      <c r="CZ30" s="244" t="s">
        <v>6</v>
      </c>
      <c r="DA30" s="244" t="s">
        <v>6</v>
      </c>
      <c r="DB30" s="244" t="s">
        <v>6</v>
      </c>
      <c r="DC30" s="244" t="s">
        <v>6</v>
      </c>
      <c r="DD30" s="244" t="s">
        <v>6</v>
      </c>
      <c r="DE30" s="244" t="s">
        <v>6</v>
      </c>
      <c r="DF30" s="244" t="s">
        <v>6</v>
      </c>
      <c r="DG30" s="244" t="s">
        <v>6</v>
      </c>
      <c r="DH30" s="244" t="s">
        <v>6</v>
      </c>
      <c r="DI30" s="244" t="s">
        <v>6</v>
      </c>
      <c r="DJ30" s="244" t="s">
        <v>6</v>
      </c>
      <c r="DK30" s="244" t="s">
        <v>6</v>
      </c>
      <c r="DL30" s="244" t="s">
        <v>6</v>
      </c>
      <c r="DM30" s="244" t="s">
        <v>6</v>
      </c>
      <c r="DN30" s="244" t="s">
        <v>6</v>
      </c>
      <c r="DO30" s="244" t="s">
        <v>6</v>
      </c>
      <c r="DP30" s="244" t="s">
        <v>6</v>
      </c>
      <c r="DQ30" s="244" t="s">
        <v>6</v>
      </c>
      <c r="DR30" s="244" t="s">
        <v>6</v>
      </c>
      <c r="DS30" s="244" t="s">
        <v>6</v>
      </c>
      <c r="DT30" s="244" t="s">
        <v>6</v>
      </c>
      <c r="DU30" s="244" t="s">
        <v>6</v>
      </c>
      <c r="DV30" s="244" t="s">
        <v>6</v>
      </c>
      <c r="DW30" s="244" t="s">
        <v>6</v>
      </c>
      <c r="DX30" s="244" t="s">
        <v>6</v>
      </c>
      <c r="DY30" s="244" t="s">
        <v>6</v>
      </c>
      <c r="DZ30" s="244" t="s">
        <v>6</v>
      </c>
      <c r="EA30" s="244" t="s">
        <v>6</v>
      </c>
      <c r="EB30" s="244" t="s">
        <v>6</v>
      </c>
      <c r="EC30" s="244" t="s">
        <v>6</v>
      </c>
      <c r="ED30" s="244" t="s">
        <v>6</v>
      </c>
      <c r="EE30" s="244" t="s">
        <v>6</v>
      </c>
      <c r="EF30" s="244" t="s">
        <v>6</v>
      </c>
      <c r="EG30" s="244" t="s">
        <v>6</v>
      </c>
      <c r="EH30" s="244" t="s">
        <v>6</v>
      </c>
      <c r="EI30" s="244" t="s">
        <v>6</v>
      </c>
      <c r="EJ30" s="244" t="s">
        <v>6</v>
      </c>
      <c r="EK30" s="244" t="s">
        <v>6</v>
      </c>
      <c r="EL30" s="244" t="s">
        <v>6</v>
      </c>
      <c r="EM30" s="244" t="s">
        <v>6</v>
      </c>
      <c r="EN30" s="244" t="s">
        <v>6</v>
      </c>
      <c r="EO30" s="244" t="s">
        <v>6</v>
      </c>
      <c r="EP30" s="244" t="s">
        <v>6</v>
      </c>
      <c r="EQ30" s="244" t="s">
        <v>6</v>
      </c>
      <c r="ER30" s="244" t="s">
        <v>6</v>
      </c>
      <c r="ES30" s="244" t="s">
        <v>6</v>
      </c>
      <c r="ET30" s="244" t="s">
        <v>6</v>
      </c>
      <c r="EU30" s="244" t="s">
        <v>6</v>
      </c>
      <c r="EV30" s="244" t="s">
        <v>6</v>
      </c>
      <c r="EW30" s="244" t="s">
        <v>6</v>
      </c>
      <c r="EX30" s="244" t="s">
        <v>6</v>
      </c>
    </row>
    <row r="31" spans="1:154" ht="13.5">
      <c r="A31" s="240" t="s">
        <v>6</v>
      </c>
      <c r="B31" s="241" t="s">
        <v>6</v>
      </c>
      <c r="C31" s="245" t="s">
        <v>93</v>
      </c>
      <c r="D31" s="245"/>
      <c r="E31" s="245"/>
      <c r="F31" s="247" t="s">
        <v>94</v>
      </c>
      <c r="G31" s="247" t="s">
        <v>6</v>
      </c>
      <c r="H31" s="247" t="s">
        <v>95</v>
      </c>
      <c r="I31" s="232" t="s">
        <v>6</v>
      </c>
      <c r="J31" s="245" t="s">
        <v>6</v>
      </c>
      <c r="K31" s="244" t="s">
        <v>6</v>
      </c>
      <c r="L31" s="265" t="s">
        <v>6</v>
      </c>
      <c r="M31" s="244" t="s">
        <v>96</v>
      </c>
      <c r="N31" s="269" t="s">
        <v>97</v>
      </c>
      <c r="O31" s="266" t="s">
        <v>6</v>
      </c>
      <c r="P31" s="244" t="s">
        <v>6</v>
      </c>
      <c r="Q31" s="244" t="s">
        <v>6</v>
      </c>
      <c r="R31" s="244" t="s">
        <v>6</v>
      </c>
      <c r="S31" s="244" t="s">
        <v>6</v>
      </c>
      <c r="T31" s="244" t="s">
        <v>6</v>
      </c>
      <c r="U31" s="244" t="s">
        <v>6</v>
      </c>
      <c r="V31" s="244" t="s">
        <v>6</v>
      </c>
      <c r="W31" s="244" t="s">
        <v>6</v>
      </c>
      <c r="X31" s="244" t="s">
        <v>6</v>
      </c>
      <c r="Y31" s="244" t="s">
        <v>6</v>
      </c>
      <c r="Z31" s="244" t="s">
        <v>6</v>
      </c>
      <c r="AA31" s="244" t="s">
        <v>6</v>
      </c>
      <c r="AB31" s="244" t="s">
        <v>6</v>
      </c>
      <c r="AC31" s="244" t="s">
        <v>6</v>
      </c>
      <c r="AD31" s="244" t="s">
        <v>6</v>
      </c>
      <c r="AE31" s="244" t="s">
        <v>6</v>
      </c>
      <c r="AF31" s="244" t="s">
        <v>6</v>
      </c>
      <c r="AG31" s="244" t="s">
        <v>6</v>
      </c>
      <c r="AH31" s="244" t="s">
        <v>6</v>
      </c>
      <c r="AI31" s="244" t="s">
        <v>6</v>
      </c>
      <c r="AJ31" s="244" t="s">
        <v>6</v>
      </c>
      <c r="AK31" s="244" t="s">
        <v>6</v>
      </c>
      <c r="AL31" s="244" t="s">
        <v>6</v>
      </c>
      <c r="AM31" s="244" t="s">
        <v>6</v>
      </c>
      <c r="AN31" s="244" t="s">
        <v>6</v>
      </c>
      <c r="AO31" s="244" t="s">
        <v>6</v>
      </c>
      <c r="AP31" s="244" t="s">
        <v>6</v>
      </c>
      <c r="AQ31" s="244" t="s">
        <v>6</v>
      </c>
      <c r="AR31" s="244" t="s">
        <v>6</v>
      </c>
      <c r="AS31" s="244" t="s">
        <v>6</v>
      </c>
      <c r="AT31" s="244" t="s">
        <v>6</v>
      </c>
      <c r="AU31" s="244" t="s">
        <v>6</v>
      </c>
      <c r="AV31" s="244" t="s">
        <v>6</v>
      </c>
      <c r="AW31" s="244" t="s">
        <v>6</v>
      </c>
      <c r="AX31" s="244" t="s">
        <v>6</v>
      </c>
      <c r="AY31" s="244" t="s">
        <v>6</v>
      </c>
      <c r="AZ31" s="244" t="s">
        <v>6</v>
      </c>
      <c r="BA31" s="244" t="s">
        <v>6</v>
      </c>
      <c r="BB31" s="244" t="s">
        <v>6</v>
      </c>
      <c r="BC31" s="244" t="s">
        <v>6</v>
      </c>
      <c r="BD31" s="244" t="s">
        <v>6</v>
      </c>
      <c r="BE31" s="244" t="s">
        <v>6</v>
      </c>
      <c r="BF31" s="244" t="s">
        <v>6</v>
      </c>
      <c r="BG31" s="244" t="s">
        <v>6</v>
      </c>
      <c r="BH31" s="244" t="s">
        <v>6</v>
      </c>
      <c r="BI31" s="244" t="s">
        <v>6</v>
      </c>
      <c r="BJ31" s="244" t="s">
        <v>6</v>
      </c>
      <c r="BK31" s="244" t="s">
        <v>6</v>
      </c>
      <c r="BL31" s="244" t="s">
        <v>6</v>
      </c>
      <c r="BM31" s="244" t="s">
        <v>6</v>
      </c>
      <c r="BN31" s="244" t="s">
        <v>6</v>
      </c>
      <c r="BO31" s="244" t="s">
        <v>6</v>
      </c>
      <c r="BP31" s="244" t="s">
        <v>6</v>
      </c>
      <c r="BQ31" s="244" t="s">
        <v>6</v>
      </c>
      <c r="BR31" s="244" t="s">
        <v>6</v>
      </c>
      <c r="BS31" s="244" t="s">
        <v>6</v>
      </c>
      <c r="BT31" s="244" t="s">
        <v>6</v>
      </c>
      <c r="BU31" s="244" t="s">
        <v>6</v>
      </c>
      <c r="BV31" s="244" t="s">
        <v>6</v>
      </c>
      <c r="BW31" s="244" t="s">
        <v>6</v>
      </c>
      <c r="BX31" s="244" t="s">
        <v>6</v>
      </c>
      <c r="BY31" s="244" t="s">
        <v>6</v>
      </c>
      <c r="BZ31" s="244" t="s">
        <v>6</v>
      </c>
      <c r="CA31" s="244" t="s">
        <v>6</v>
      </c>
      <c r="CB31" s="244" t="s">
        <v>6</v>
      </c>
      <c r="CC31" s="244" t="s">
        <v>6</v>
      </c>
      <c r="CD31" s="244" t="s">
        <v>6</v>
      </c>
      <c r="CE31" s="244" t="s">
        <v>6</v>
      </c>
      <c r="CF31" s="244" t="s">
        <v>6</v>
      </c>
      <c r="CG31" s="244" t="s">
        <v>6</v>
      </c>
      <c r="CH31" s="244" t="s">
        <v>6</v>
      </c>
      <c r="CI31" s="244" t="s">
        <v>6</v>
      </c>
      <c r="CJ31" s="244" t="s">
        <v>6</v>
      </c>
      <c r="CK31" s="244" t="s">
        <v>6</v>
      </c>
      <c r="CL31" s="244" t="s">
        <v>6</v>
      </c>
      <c r="CM31" s="244" t="s">
        <v>6</v>
      </c>
      <c r="CN31" s="244" t="s">
        <v>6</v>
      </c>
      <c r="CO31" s="244" t="s">
        <v>6</v>
      </c>
      <c r="CP31" s="244" t="s">
        <v>6</v>
      </c>
      <c r="CQ31" s="244" t="s">
        <v>6</v>
      </c>
      <c r="CR31" s="244" t="s">
        <v>6</v>
      </c>
      <c r="CS31" s="244" t="s">
        <v>6</v>
      </c>
      <c r="CT31" s="244" t="s">
        <v>6</v>
      </c>
      <c r="CU31" s="244" t="s">
        <v>6</v>
      </c>
      <c r="CV31" s="244" t="s">
        <v>6</v>
      </c>
      <c r="CW31" s="244" t="s">
        <v>6</v>
      </c>
      <c r="CX31" s="244" t="s">
        <v>6</v>
      </c>
      <c r="CY31" s="244" t="s">
        <v>6</v>
      </c>
      <c r="CZ31" s="244" t="s">
        <v>6</v>
      </c>
      <c r="DA31" s="244" t="s">
        <v>6</v>
      </c>
      <c r="DB31" s="244" t="s">
        <v>6</v>
      </c>
      <c r="DC31" s="244" t="s">
        <v>6</v>
      </c>
      <c r="DD31" s="244" t="s">
        <v>6</v>
      </c>
      <c r="DE31" s="244" t="s">
        <v>6</v>
      </c>
      <c r="DF31" s="244" t="s">
        <v>6</v>
      </c>
      <c r="DG31" s="244" t="s">
        <v>6</v>
      </c>
      <c r="DH31" s="244" t="s">
        <v>6</v>
      </c>
      <c r="DI31" s="244" t="s">
        <v>6</v>
      </c>
      <c r="DJ31" s="244" t="s">
        <v>6</v>
      </c>
      <c r="DK31" s="244" t="s">
        <v>6</v>
      </c>
      <c r="DL31" s="244" t="s">
        <v>6</v>
      </c>
      <c r="DM31" s="244" t="s">
        <v>6</v>
      </c>
      <c r="DN31" s="244" t="s">
        <v>6</v>
      </c>
      <c r="DO31" s="244" t="s">
        <v>6</v>
      </c>
      <c r="DP31" s="244" t="s">
        <v>6</v>
      </c>
      <c r="DQ31" s="244" t="s">
        <v>6</v>
      </c>
      <c r="DR31" s="244" t="s">
        <v>6</v>
      </c>
      <c r="DS31" s="244" t="s">
        <v>6</v>
      </c>
      <c r="DT31" s="244" t="s">
        <v>6</v>
      </c>
      <c r="DU31" s="244" t="s">
        <v>6</v>
      </c>
      <c r="DV31" s="244" t="s">
        <v>6</v>
      </c>
      <c r="DW31" s="244" t="s">
        <v>6</v>
      </c>
      <c r="DX31" s="244" t="s">
        <v>6</v>
      </c>
      <c r="DY31" s="244" t="s">
        <v>6</v>
      </c>
      <c r="DZ31" s="244" t="s">
        <v>6</v>
      </c>
      <c r="EA31" s="244" t="s">
        <v>6</v>
      </c>
      <c r="EB31" s="244" t="s">
        <v>6</v>
      </c>
      <c r="EC31" s="244" t="s">
        <v>6</v>
      </c>
      <c r="ED31" s="244" t="s">
        <v>6</v>
      </c>
      <c r="EE31" s="244" t="s">
        <v>6</v>
      </c>
      <c r="EF31" s="244" t="s">
        <v>6</v>
      </c>
      <c r="EG31" s="244" t="s">
        <v>6</v>
      </c>
      <c r="EH31" s="244" t="s">
        <v>6</v>
      </c>
      <c r="EI31" s="244" t="s">
        <v>6</v>
      </c>
      <c r="EJ31" s="244" t="s">
        <v>6</v>
      </c>
      <c r="EK31" s="244" t="s">
        <v>6</v>
      </c>
      <c r="EL31" s="244" t="s">
        <v>6</v>
      </c>
      <c r="EM31" s="244" t="s">
        <v>6</v>
      </c>
      <c r="EN31" s="244" t="s">
        <v>6</v>
      </c>
      <c r="EO31" s="244" t="s">
        <v>6</v>
      </c>
      <c r="EP31" s="244" t="s">
        <v>6</v>
      </c>
      <c r="EQ31" s="244" t="s">
        <v>6</v>
      </c>
      <c r="ER31" s="244" t="s">
        <v>6</v>
      </c>
      <c r="ES31" s="244" t="s">
        <v>6</v>
      </c>
      <c r="ET31" s="244" t="s">
        <v>6</v>
      </c>
      <c r="EU31" s="244" t="s">
        <v>6</v>
      </c>
      <c r="EV31" s="244" t="s">
        <v>6</v>
      </c>
      <c r="EW31" s="244" t="s">
        <v>6</v>
      </c>
      <c r="EX31" s="244" t="s">
        <v>6</v>
      </c>
    </row>
    <row r="32" spans="1:154" ht="13.5">
      <c r="A32" s="240" t="s">
        <v>6</v>
      </c>
      <c r="B32" s="241" t="s">
        <v>6</v>
      </c>
      <c r="C32" s="244" t="s">
        <v>98</v>
      </c>
      <c r="D32" s="244"/>
      <c r="E32" s="244"/>
      <c r="F32" s="260" t="s">
        <v>99</v>
      </c>
      <c r="G32" s="232" t="s">
        <v>6</v>
      </c>
      <c r="H32" s="260" t="s">
        <v>100</v>
      </c>
      <c r="I32" s="232" t="s">
        <v>6</v>
      </c>
      <c r="J32" s="245">
        <v>-502.584</v>
      </c>
      <c r="K32" s="244" t="s">
        <v>6</v>
      </c>
      <c r="L32" s="265" t="s">
        <v>6</v>
      </c>
      <c r="M32" s="244" t="s">
        <v>6</v>
      </c>
      <c r="N32" s="244" t="s">
        <v>6</v>
      </c>
      <c r="O32" s="266" t="s">
        <v>6</v>
      </c>
      <c r="P32" s="244" t="s">
        <v>6</v>
      </c>
      <c r="Q32" s="244" t="s">
        <v>6</v>
      </c>
      <c r="R32" s="244" t="s">
        <v>6</v>
      </c>
      <c r="S32" s="244" t="s">
        <v>6</v>
      </c>
      <c r="T32" s="244" t="s">
        <v>6</v>
      </c>
      <c r="U32" s="244" t="s">
        <v>6</v>
      </c>
      <c r="V32" s="244" t="s">
        <v>6</v>
      </c>
      <c r="W32" s="244" t="s">
        <v>6</v>
      </c>
      <c r="X32" s="244" t="s">
        <v>6</v>
      </c>
      <c r="Y32" s="244" t="s">
        <v>6</v>
      </c>
      <c r="Z32" s="244" t="s">
        <v>6</v>
      </c>
      <c r="AA32" s="244" t="s">
        <v>6</v>
      </c>
      <c r="AB32" s="244" t="s">
        <v>6</v>
      </c>
      <c r="AC32" s="244" t="s">
        <v>6</v>
      </c>
      <c r="AD32" s="244" t="s">
        <v>6</v>
      </c>
      <c r="AE32" s="244" t="s">
        <v>6</v>
      </c>
      <c r="AF32" s="244" t="s">
        <v>6</v>
      </c>
      <c r="AG32" s="244" t="s">
        <v>6</v>
      </c>
      <c r="AH32" s="244" t="s">
        <v>6</v>
      </c>
      <c r="AI32" s="244" t="s">
        <v>6</v>
      </c>
      <c r="AJ32" s="244" t="s">
        <v>6</v>
      </c>
      <c r="AK32" s="244" t="s">
        <v>6</v>
      </c>
      <c r="AL32" s="244" t="s">
        <v>6</v>
      </c>
      <c r="AM32" s="244" t="s">
        <v>6</v>
      </c>
      <c r="AN32" s="244" t="s">
        <v>6</v>
      </c>
      <c r="AO32" s="244" t="s">
        <v>6</v>
      </c>
      <c r="AP32" s="244" t="s">
        <v>6</v>
      </c>
      <c r="AQ32" s="244" t="s">
        <v>6</v>
      </c>
      <c r="AR32" s="244" t="s">
        <v>6</v>
      </c>
      <c r="AS32" s="244" t="s">
        <v>6</v>
      </c>
      <c r="AT32" s="244" t="s">
        <v>6</v>
      </c>
      <c r="AU32" s="244" t="s">
        <v>6</v>
      </c>
      <c r="AV32" s="244" t="s">
        <v>6</v>
      </c>
      <c r="AW32" s="244" t="s">
        <v>6</v>
      </c>
      <c r="AX32" s="244" t="s">
        <v>6</v>
      </c>
      <c r="AY32" s="244" t="s">
        <v>6</v>
      </c>
      <c r="AZ32" s="244" t="s">
        <v>6</v>
      </c>
      <c r="BA32" s="244" t="s">
        <v>6</v>
      </c>
      <c r="BB32" s="244" t="s">
        <v>6</v>
      </c>
      <c r="BC32" s="244" t="s">
        <v>6</v>
      </c>
      <c r="BD32" s="244" t="s">
        <v>6</v>
      </c>
      <c r="BE32" s="244" t="s">
        <v>6</v>
      </c>
      <c r="BF32" s="244" t="s">
        <v>6</v>
      </c>
      <c r="BG32" s="244" t="s">
        <v>6</v>
      </c>
      <c r="BH32" s="244" t="s">
        <v>6</v>
      </c>
      <c r="BI32" s="244" t="s">
        <v>6</v>
      </c>
      <c r="BJ32" s="244" t="s">
        <v>6</v>
      </c>
      <c r="BK32" s="244" t="s">
        <v>6</v>
      </c>
      <c r="BL32" s="244" t="s">
        <v>6</v>
      </c>
      <c r="BM32" s="244" t="s">
        <v>6</v>
      </c>
      <c r="BN32" s="244" t="s">
        <v>6</v>
      </c>
      <c r="BO32" s="244" t="s">
        <v>6</v>
      </c>
      <c r="BP32" s="244" t="s">
        <v>6</v>
      </c>
      <c r="BQ32" s="244" t="s">
        <v>6</v>
      </c>
      <c r="BR32" s="244" t="s">
        <v>6</v>
      </c>
      <c r="BS32" s="244" t="s">
        <v>6</v>
      </c>
      <c r="BT32" s="244" t="s">
        <v>6</v>
      </c>
      <c r="BU32" s="244" t="s">
        <v>6</v>
      </c>
      <c r="BV32" s="244" t="s">
        <v>6</v>
      </c>
      <c r="BW32" s="244" t="s">
        <v>6</v>
      </c>
      <c r="BX32" s="244" t="s">
        <v>6</v>
      </c>
      <c r="BY32" s="244" t="s">
        <v>6</v>
      </c>
      <c r="BZ32" s="244" t="s">
        <v>6</v>
      </c>
      <c r="CA32" s="244" t="s">
        <v>6</v>
      </c>
      <c r="CB32" s="244" t="s">
        <v>6</v>
      </c>
      <c r="CC32" s="244" t="s">
        <v>6</v>
      </c>
      <c r="CD32" s="244" t="s">
        <v>6</v>
      </c>
      <c r="CE32" s="244" t="s">
        <v>6</v>
      </c>
      <c r="CF32" s="244" t="s">
        <v>6</v>
      </c>
      <c r="CG32" s="244" t="s">
        <v>6</v>
      </c>
      <c r="CH32" s="244" t="s">
        <v>6</v>
      </c>
      <c r="CI32" s="244" t="s">
        <v>6</v>
      </c>
      <c r="CJ32" s="244" t="s">
        <v>6</v>
      </c>
      <c r="CK32" s="244" t="s">
        <v>6</v>
      </c>
      <c r="CL32" s="244" t="s">
        <v>6</v>
      </c>
      <c r="CM32" s="244" t="s">
        <v>6</v>
      </c>
      <c r="CN32" s="244" t="s">
        <v>6</v>
      </c>
      <c r="CO32" s="244" t="s">
        <v>6</v>
      </c>
      <c r="CP32" s="244" t="s">
        <v>6</v>
      </c>
      <c r="CQ32" s="244" t="s">
        <v>6</v>
      </c>
      <c r="CR32" s="244" t="s">
        <v>6</v>
      </c>
      <c r="CS32" s="244" t="s">
        <v>6</v>
      </c>
      <c r="CT32" s="244" t="s">
        <v>6</v>
      </c>
      <c r="CU32" s="244" t="s">
        <v>6</v>
      </c>
      <c r="CV32" s="244" t="s">
        <v>6</v>
      </c>
      <c r="CW32" s="244" t="s">
        <v>6</v>
      </c>
      <c r="CX32" s="244" t="s">
        <v>6</v>
      </c>
      <c r="CY32" s="244" t="s">
        <v>6</v>
      </c>
      <c r="CZ32" s="244" t="s">
        <v>6</v>
      </c>
      <c r="DA32" s="244" t="s">
        <v>6</v>
      </c>
      <c r="DB32" s="244" t="s">
        <v>6</v>
      </c>
      <c r="DC32" s="244" t="s">
        <v>6</v>
      </c>
      <c r="DD32" s="244" t="s">
        <v>6</v>
      </c>
      <c r="DE32" s="244" t="s">
        <v>6</v>
      </c>
      <c r="DF32" s="244" t="s">
        <v>6</v>
      </c>
      <c r="DG32" s="244" t="s">
        <v>6</v>
      </c>
      <c r="DH32" s="244" t="s">
        <v>6</v>
      </c>
      <c r="DI32" s="244" t="s">
        <v>6</v>
      </c>
      <c r="DJ32" s="244" t="s">
        <v>6</v>
      </c>
      <c r="DK32" s="244" t="s">
        <v>6</v>
      </c>
      <c r="DL32" s="244" t="s">
        <v>6</v>
      </c>
      <c r="DM32" s="244" t="s">
        <v>6</v>
      </c>
      <c r="DN32" s="244" t="s">
        <v>6</v>
      </c>
      <c r="DO32" s="244" t="s">
        <v>6</v>
      </c>
      <c r="DP32" s="244" t="s">
        <v>6</v>
      </c>
      <c r="DQ32" s="244" t="s">
        <v>6</v>
      </c>
      <c r="DR32" s="244" t="s">
        <v>6</v>
      </c>
      <c r="DS32" s="244" t="s">
        <v>6</v>
      </c>
      <c r="DT32" s="244" t="s">
        <v>6</v>
      </c>
      <c r="DU32" s="244" t="s">
        <v>6</v>
      </c>
      <c r="DV32" s="244" t="s">
        <v>6</v>
      </c>
      <c r="DW32" s="244" t="s">
        <v>6</v>
      </c>
      <c r="DX32" s="244" t="s">
        <v>6</v>
      </c>
      <c r="DY32" s="244" t="s">
        <v>6</v>
      </c>
      <c r="DZ32" s="244" t="s">
        <v>6</v>
      </c>
      <c r="EA32" s="244" t="s">
        <v>6</v>
      </c>
      <c r="EB32" s="244" t="s">
        <v>6</v>
      </c>
      <c r="EC32" s="244" t="s">
        <v>6</v>
      </c>
      <c r="ED32" s="244" t="s">
        <v>6</v>
      </c>
      <c r="EE32" s="244" t="s">
        <v>6</v>
      </c>
      <c r="EF32" s="244" t="s">
        <v>6</v>
      </c>
      <c r="EG32" s="244" t="s">
        <v>6</v>
      </c>
      <c r="EH32" s="244" t="s">
        <v>6</v>
      </c>
      <c r="EI32" s="244" t="s">
        <v>6</v>
      </c>
      <c r="EJ32" s="244" t="s">
        <v>6</v>
      </c>
      <c r="EK32" s="244" t="s">
        <v>6</v>
      </c>
      <c r="EL32" s="244" t="s">
        <v>6</v>
      </c>
      <c r="EM32" s="244" t="s">
        <v>6</v>
      </c>
      <c r="EN32" s="244" t="s">
        <v>6</v>
      </c>
      <c r="EO32" s="244" t="s">
        <v>6</v>
      </c>
      <c r="EP32" s="244" t="s">
        <v>6</v>
      </c>
      <c r="EQ32" s="244" t="s">
        <v>6</v>
      </c>
      <c r="ER32" s="244" t="s">
        <v>6</v>
      </c>
      <c r="ES32" s="244" t="s">
        <v>6</v>
      </c>
      <c r="ET32" s="244" t="s">
        <v>6</v>
      </c>
      <c r="EU32" s="244" t="s">
        <v>6</v>
      </c>
      <c r="EV32" s="244" t="s">
        <v>6</v>
      </c>
      <c r="EW32" s="244" t="s">
        <v>6</v>
      </c>
      <c r="EX32" s="244" t="s">
        <v>6</v>
      </c>
    </row>
    <row r="33" spans="1:154" ht="13.5">
      <c r="A33" s="240" t="s">
        <v>6</v>
      </c>
      <c r="B33" s="241" t="s">
        <v>6</v>
      </c>
      <c r="C33" s="244" t="s">
        <v>101</v>
      </c>
      <c r="D33" s="244"/>
      <c r="E33" s="244"/>
      <c r="F33" s="267" t="s">
        <v>102</v>
      </c>
      <c r="G33" s="253" t="s">
        <v>6</v>
      </c>
      <c r="H33" s="267" t="s">
        <v>103</v>
      </c>
      <c r="I33" s="232" t="s">
        <v>6</v>
      </c>
      <c r="J33" s="245" t="s">
        <v>6</v>
      </c>
      <c r="K33" s="244" t="s">
        <v>6</v>
      </c>
      <c r="L33" s="265" t="s">
        <v>6</v>
      </c>
      <c r="M33" s="244" t="s">
        <v>91</v>
      </c>
      <c r="N33" s="268" t="s">
        <v>92</v>
      </c>
      <c r="O33" s="266" t="s">
        <v>6</v>
      </c>
      <c r="P33" s="244" t="s">
        <v>6</v>
      </c>
      <c r="Q33" s="244" t="s">
        <v>6</v>
      </c>
      <c r="R33" s="244" t="s">
        <v>6</v>
      </c>
      <c r="S33" s="244" t="s">
        <v>6</v>
      </c>
      <c r="T33" s="244" t="s">
        <v>6</v>
      </c>
      <c r="U33" s="244" t="s">
        <v>6</v>
      </c>
      <c r="V33" s="244" t="s">
        <v>6</v>
      </c>
      <c r="W33" s="244" t="s">
        <v>6</v>
      </c>
      <c r="X33" s="244" t="s">
        <v>6</v>
      </c>
      <c r="Y33" s="244" t="s">
        <v>6</v>
      </c>
      <c r="Z33" s="244" t="s">
        <v>6</v>
      </c>
      <c r="AA33" s="244" t="s">
        <v>6</v>
      </c>
      <c r="AB33" s="244" t="s">
        <v>6</v>
      </c>
      <c r="AC33" s="244" t="s">
        <v>6</v>
      </c>
      <c r="AD33" s="244" t="s">
        <v>6</v>
      </c>
      <c r="AE33" s="244" t="s">
        <v>6</v>
      </c>
      <c r="AF33" s="244" t="s">
        <v>6</v>
      </c>
      <c r="AG33" s="244" t="s">
        <v>6</v>
      </c>
      <c r="AH33" s="244" t="s">
        <v>6</v>
      </c>
      <c r="AI33" s="244" t="s">
        <v>6</v>
      </c>
      <c r="AJ33" s="244" t="s">
        <v>6</v>
      </c>
      <c r="AK33" s="244" t="s">
        <v>6</v>
      </c>
      <c r="AL33" s="244" t="s">
        <v>6</v>
      </c>
      <c r="AM33" s="244" t="s">
        <v>6</v>
      </c>
      <c r="AN33" s="244" t="s">
        <v>6</v>
      </c>
      <c r="AO33" s="244" t="s">
        <v>6</v>
      </c>
      <c r="AP33" s="244" t="s">
        <v>6</v>
      </c>
      <c r="AQ33" s="244" t="s">
        <v>6</v>
      </c>
      <c r="AR33" s="244" t="s">
        <v>6</v>
      </c>
      <c r="AS33" s="244" t="s">
        <v>6</v>
      </c>
      <c r="AT33" s="244" t="s">
        <v>6</v>
      </c>
      <c r="AU33" s="244" t="s">
        <v>6</v>
      </c>
      <c r="AV33" s="244" t="s">
        <v>6</v>
      </c>
      <c r="AW33" s="244" t="s">
        <v>6</v>
      </c>
      <c r="AX33" s="244" t="s">
        <v>6</v>
      </c>
      <c r="AY33" s="244" t="s">
        <v>6</v>
      </c>
      <c r="AZ33" s="244" t="s">
        <v>6</v>
      </c>
      <c r="BA33" s="244" t="s">
        <v>6</v>
      </c>
      <c r="BB33" s="244" t="s">
        <v>6</v>
      </c>
      <c r="BC33" s="244" t="s">
        <v>6</v>
      </c>
      <c r="BD33" s="244" t="s">
        <v>6</v>
      </c>
      <c r="BE33" s="244" t="s">
        <v>6</v>
      </c>
      <c r="BF33" s="244" t="s">
        <v>6</v>
      </c>
      <c r="BG33" s="244" t="s">
        <v>6</v>
      </c>
      <c r="BH33" s="244" t="s">
        <v>6</v>
      </c>
      <c r="BI33" s="244" t="s">
        <v>6</v>
      </c>
      <c r="BJ33" s="244" t="s">
        <v>6</v>
      </c>
      <c r="BK33" s="244" t="s">
        <v>6</v>
      </c>
      <c r="BL33" s="244" t="s">
        <v>6</v>
      </c>
      <c r="BM33" s="244" t="s">
        <v>6</v>
      </c>
      <c r="BN33" s="244" t="s">
        <v>6</v>
      </c>
      <c r="BO33" s="244" t="s">
        <v>6</v>
      </c>
      <c r="BP33" s="244" t="s">
        <v>6</v>
      </c>
      <c r="BQ33" s="244" t="s">
        <v>6</v>
      </c>
      <c r="BR33" s="244" t="s">
        <v>6</v>
      </c>
      <c r="BS33" s="244" t="s">
        <v>6</v>
      </c>
      <c r="BT33" s="244" t="s">
        <v>6</v>
      </c>
      <c r="BU33" s="244" t="s">
        <v>6</v>
      </c>
      <c r="BV33" s="244" t="s">
        <v>6</v>
      </c>
      <c r="BW33" s="244" t="s">
        <v>6</v>
      </c>
      <c r="BX33" s="244" t="s">
        <v>6</v>
      </c>
      <c r="BY33" s="244" t="s">
        <v>6</v>
      </c>
      <c r="BZ33" s="244" t="s">
        <v>6</v>
      </c>
      <c r="CA33" s="244" t="s">
        <v>6</v>
      </c>
      <c r="CB33" s="244" t="s">
        <v>6</v>
      </c>
      <c r="CC33" s="244" t="s">
        <v>6</v>
      </c>
      <c r="CD33" s="244" t="s">
        <v>6</v>
      </c>
      <c r="CE33" s="244" t="s">
        <v>6</v>
      </c>
      <c r="CF33" s="244" t="s">
        <v>6</v>
      </c>
      <c r="CG33" s="244" t="s">
        <v>6</v>
      </c>
      <c r="CH33" s="244" t="s">
        <v>6</v>
      </c>
      <c r="CI33" s="244" t="s">
        <v>6</v>
      </c>
      <c r="CJ33" s="244" t="s">
        <v>6</v>
      </c>
      <c r="CK33" s="244" t="s">
        <v>6</v>
      </c>
      <c r="CL33" s="244" t="s">
        <v>6</v>
      </c>
      <c r="CM33" s="244" t="s">
        <v>6</v>
      </c>
      <c r="CN33" s="244" t="s">
        <v>6</v>
      </c>
      <c r="CO33" s="244" t="s">
        <v>6</v>
      </c>
      <c r="CP33" s="244" t="s">
        <v>6</v>
      </c>
      <c r="CQ33" s="244" t="s">
        <v>6</v>
      </c>
      <c r="CR33" s="244" t="s">
        <v>6</v>
      </c>
      <c r="CS33" s="244" t="s">
        <v>6</v>
      </c>
      <c r="CT33" s="244" t="s">
        <v>6</v>
      </c>
      <c r="CU33" s="244" t="s">
        <v>6</v>
      </c>
      <c r="CV33" s="244" t="s">
        <v>6</v>
      </c>
      <c r="CW33" s="244" t="s">
        <v>6</v>
      </c>
      <c r="CX33" s="244" t="s">
        <v>6</v>
      </c>
      <c r="CY33" s="244" t="s">
        <v>6</v>
      </c>
      <c r="CZ33" s="244" t="s">
        <v>6</v>
      </c>
      <c r="DA33" s="244" t="s">
        <v>6</v>
      </c>
      <c r="DB33" s="244" t="s">
        <v>6</v>
      </c>
      <c r="DC33" s="244" t="s">
        <v>6</v>
      </c>
      <c r="DD33" s="244" t="s">
        <v>6</v>
      </c>
      <c r="DE33" s="244" t="s">
        <v>6</v>
      </c>
      <c r="DF33" s="244" t="s">
        <v>6</v>
      </c>
      <c r="DG33" s="244" t="s">
        <v>6</v>
      </c>
      <c r="DH33" s="244" t="s">
        <v>6</v>
      </c>
      <c r="DI33" s="244" t="s">
        <v>6</v>
      </c>
      <c r="DJ33" s="244" t="s">
        <v>6</v>
      </c>
      <c r="DK33" s="244" t="s">
        <v>6</v>
      </c>
      <c r="DL33" s="244" t="s">
        <v>6</v>
      </c>
      <c r="DM33" s="244" t="s">
        <v>6</v>
      </c>
      <c r="DN33" s="244" t="s">
        <v>6</v>
      </c>
      <c r="DO33" s="244" t="s">
        <v>6</v>
      </c>
      <c r="DP33" s="244" t="s">
        <v>6</v>
      </c>
      <c r="DQ33" s="244" t="s">
        <v>6</v>
      </c>
      <c r="DR33" s="244" t="s">
        <v>6</v>
      </c>
      <c r="DS33" s="244" t="s">
        <v>6</v>
      </c>
      <c r="DT33" s="244" t="s">
        <v>6</v>
      </c>
      <c r="DU33" s="244" t="s">
        <v>6</v>
      </c>
      <c r="DV33" s="244" t="s">
        <v>6</v>
      </c>
      <c r="DW33" s="244" t="s">
        <v>6</v>
      </c>
      <c r="DX33" s="244" t="s">
        <v>6</v>
      </c>
      <c r="DY33" s="244" t="s">
        <v>6</v>
      </c>
      <c r="DZ33" s="244" t="s">
        <v>6</v>
      </c>
      <c r="EA33" s="244" t="s">
        <v>6</v>
      </c>
      <c r="EB33" s="244" t="s">
        <v>6</v>
      </c>
      <c r="EC33" s="244" t="s">
        <v>6</v>
      </c>
      <c r="ED33" s="244" t="s">
        <v>6</v>
      </c>
      <c r="EE33" s="244" t="s">
        <v>6</v>
      </c>
      <c r="EF33" s="244" t="s">
        <v>6</v>
      </c>
      <c r="EG33" s="244" t="s">
        <v>6</v>
      </c>
      <c r="EH33" s="244" t="s">
        <v>6</v>
      </c>
      <c r="EI33" s="244" t="s">
        <v>6</v>
      </c>
      <c r="EJ33" s="244" t="s">
        <v>6</v>
      </c>
      <c r="EK33" s="244" t="s">
        <v>6</v>
      </c>
      <c r="EL33" s="244" t="s">
        <v>6</v>
      </c>
      <c r="EM33" s="244" t="s">
        <v>6</v>
      </c>
      <c r="EN33" s="244" t="s">
        <v>6</v>
      </c>
      <c r="EO33" s="244" t="s">
        <v>6</v>
      </c>
      <c r="EP33" s="244" t="s">
        <v>6</v>
      </c>
      <c r="EQ33" s="244" t="s">
        <v>6</v>
      </c>
      <c r="ER33" s="244" t="s">
        <v>6</v>
      </c>
      <c r="ES33" s="244" t="s">
        <v>6</v>
      </c>
      <c r="ET33" s="244" t="s">
        <v>6</v>
      </c>
      <c r="EU33" s="244" t="s">
        <v>6</v>
      </c>
      <c r="EV33" s="244" t="s">
        <v>6</v>
      </c>
      <c r="EW33" s="244" t="s">
        <v>6</v>
      </c>
      <c r="EX33" s="244" t="s">
        <v>6</v>
      </c>
    </row>
    <row r="34" spans="1:154" ht="6.6" customHeight="1">
      <c r="A34" s="240" t="s">
        <v>6</v>
      </c>
      <c r="B34" s="241" t="s">
        <v>6</v>
      </c>
      <c r="C34" s="245" t="s">
        <v>104</v>
      </c>
      <c r="D34" s="245"/>
      <c r="E34" s="245"/>
      <c r="F34" s="256" t="s">
        <v>105</v>
      </c>
      <c r="G34" s="270" t="s">
        <v>6</v>
      </c>
      <c r="H34" s="256" t="s">
        <v>106</v>
      </c>
      <c r="I34" s="232" t="s">
        <v>6</v>
      </c>
      <c r="J34" s="245" t="s">
        <v>6</v>
      </c>
      <c r="K34" s="244" t="s">
        <v>6</v>
      </c>
      <c r="L34" s="265" t="s">
        <v>6</v>
      </c>
      <c r="M34" s="244" t="s">
        <v>96</v>
      </c>
      <c r="N34" s="269" t="s">
        <v>97</v>
      </c>
      <c r="O34" s="266" t="s">
        <v>6</v>
      </c>
      <c r="P34" s="244" t="s">
        <v>6</v>
      </c>
      <c r="Q34" s="244" t="s">
        <v>6</v>
      </c>
      <c r="R34" s="244" t="s">
        <v>6</v>
      </c>
      <c r="S34" s="244" t="s">
        <v>6</v>
      </c>
      <c r="T34" s="244" t="s">
        <v>6</v>
      </c>
      <c r="U34" s="244" t="s">
        <v>6</v>
      </c>
      <c r="V34" s="244" t="s">
        <v>6</v>
      </c>
      <c r="W34" s="244" t="s">
        <v>6</v>
      </c>
      <c r="X34" s="244" t="s">
        <v>6</v>
      </c>
      <c r="Y34" s="244" t="s">
        <v>6</v>
      </c>
      <c r="Z34" s="244" t="s">
        <v>6</v>
      </c>
      <c r="AA34" s="244" t="s">
        <v>6</v>
      </c>
      <c r="AB34" s="244" t="s">
        <v>6</v>
      </c>
      <c r="AC34" s="244" t="s">
        <v>6</v>
      </c>
      <c r="AD34" s="244" t="s">
        <v>6</v>
      </c>
      <c r="AE34" s="244" t="s">
        <v>6</v>
      </c>
      <c r="AF34" s="244" t="s">
        <v>6</v>
      </c>
      <c r="AG34" s="244" t="s">
        <v>6</v>
      </c>
      <c r="AH34" s="244" t="s">
        <v>6</v>
      </c>
      <c r="AI34" s="244" t="s">
        <v>6</v>
      </c>
      <c r="AJ34" s="244" t="s">
        <v>6</v>
      </c>
      <c r="AK34" s="244" t="s">
        <v>6</v>
      </c>
      <c r="AL34" s="244" t="s">
        <v>6</v>
      </c>
      <c r="AM34" s="244" t="s">
        <v>6</v>
      </c>
      <c r="AN34" s="244" t="s">
        <v>6</v>
      </c>
      <c r="AO34" s="244" t="s">
        <v>6</v>
      </c>
      <c r="AP34" s="244" t="s">
        <v>6</v>
      </c>
      <c r="AQ34" s="244" t="s">
        <v>6</v>
      </c>
      <c r="AR34" s="244" t="s">
        <v>6</v>
      </c>
      <c r="AS34" s="244" t="s">
        <v>6</v>
      </c>
      <c r="AT34" s="244" t="s">
        <v>6</v>
      </c>
      <c r="AU34" s="244" t="s">
        <v>6</v>
      </c>
      <c r="AV34" s="244" t="s">
        <v>6</v>
      </c>
      <c r="AW34" s="244" t="s">
        <v>6</v>
      </c>
      <c r="AX34" s="244" t="s">
        <v>6</v>
      </c>
      <c r="AY34" s="244" t="s">
        <v>6</v>
      </c>
      <c r="AZ34" s="244" t="s">
        <v>6</v>
      </c>
      <c r="BA34" s="244" t="s">
        <v>6</v>
      </c>
      <c r="BB34" s="244" t="s">
        <v>6</v>
      </c>
      <c r="BC34" s="244" t="s">
        <v>6</v>
      </c>
      <c r="BD34" s="244" t="s">
        <v>6</v>
      </c>
      <c r="BE34" s="244" t="s">
        <v>6</v>
      </c>
      <c r="BF34" s="244" t="s">
        <v>6</v>
      </c>
      <c r="BG34" s="244" t="s">
        <v>6</v>
      </c>
      <c r="BH34" s="244" t="s">
        <v>6</v>
      </c>
      <c r="BI34" s="244" t="s">
        <v>6</v>
      </c>
      <c r="BJ34" s="244" t="s">
        <v>6</v>
      </c>
      <c r="BK34" s="244" t="s">
        <v>6</v>
      </c>
      <c r="BL34" s="244" t="s">
        <v>6</v>
      </c>
      <c r="BM34" s="244" t="s">
        <v>6</v>
      </c>
      <c r="BN34" s="244" t="s">
        <v>6</v>
      </c>
      <c r="BO34" s="244" t="s">
        <v>6</v>
      </c>
      <c r="BP34" s="244" t="s">
        <v>6</v>
      </c>
      <c r="BQ34" s="244" t="s">
        <v>6</v>
      </c>
      <c r="BR34" s="244" t="s">
        <v>6</v>
      </c>
      <c r="BS34" s="244" t="s">
        <v>6</v>
      </c>
      <c r="BT34" s="244" t="s">
        <v>6</v>
      </c>
      <c r="BU34" s="244" t="s">
        <v>6</v>
      </c>
      <c r="BV34" s="244" t="s">
        <v>6</v>
      </c>
      <c r="BW34" s="244" t="s">
        <v>6</v>
      </c>
      <c r="BX34" s="244" t="s">
        <v>6</v>
      </c>
      <c r="BY34" s="244" t="s">
        <v>6</v>
      </c>
      <c r="BZ34" s="244" t="s">
        <v>6</v>
      </c>
      <c r="CA34" s="244" t="s">
        <v>6</v>
      </c>
      <c r="CB34" s="244" t="s">
        <v>6</v>
      </c>
      <c r="CC34" s="244" t="s">
        <v>6</v>
      </c>
      <c r="CD34" s="244" t="s">
        <v>6</v>
      </c>
      <c r="CE34" s="244" t="s">
        <v>6</v>
      </c>
      <c r="CF34" s="244" t="s">
        <v>6</v>
      </c>
      <c r="CG34" s="244" t="s">
        <v>6</v>
      </c>
      <c r="CH34" s="244" t="s">
        <v>6</v>
      </c>
      <c r="CI34" s="244" t="s">
        <v>6</v>
      </c>
      <c r="CJ34" s="244" t="s">
        <v>6</v>
      </c>
      <c r="CK34" s="244" t="s">
        <v>6</v>
      </c>
      <c r="CL34" s="244" t="s">
        <v>6</v>
      </c>
      <c r="CM34" s="244" t="s">
        <v>6</v>
      </c>
      <c r="CN34" s="244" t="s">
        <v>6</v>
      </c>
      <c r="CO34" s="244" t="s">
        <v>6</v>
      </c>
      <c r="CP34" s="244" t="s">
        <v>6</v>
      </c>
      <c r="CQ34" s="244" t="s">
        <v>6</v>
      </c>
      <c r="CR34" s="244" t="s">
        <v>6</v>
      </c>
      <c r="CS34" s="244" t="s">
        <v>6</v>
      </c>
      <c r="CT34" s="244" t="s">
        <v>6</v>
      </c>
      <c r="CU34" s="244" t="s">
        <v>6</v>
      </c>
      <c r="CV34" s="244" t="s">
        <v>6</v>
      </c>
      <c r="CW34" s="244" t="s">
        <v>6</v>
      </c>
      <c r="CX34" s="244" t="s">
        <v>6</v>
      </c>
      <c r="CY34" s="244" t="s">
        <v>6</v>
      </c>
      <c r="CZ34" s="244" t="s">
        <v>6</v>
      </c>
      <c r="DA34" s="244" t="s">
        <v>6</v>
      </c>
      <c r="DB34" s="244" t="s">
        <v>6</v>
      </c>
      <c r="DC34" s="244" t="s">
        <v>6</v>
      </c>
      <c r="DD34" s="244" t="s">
        <v>6</v>
      </c>
      <c r="DE34" s="244" t="s">
        <v>6</v>
      </c>
      <c r="DF34" s="244" t="s">
        <v>6</v>
      </c>
      <c r="DG34" s="244" t="s">
        <v>6</v>
      </c>
      <c r="DH34" s="244" t="s">
        <v>6</v>
      </c>
      <c r="DI34" s="244" t="s">
        <v>6</v>
      </c>
      <c r="DJ34" s="244" t="s">
        <v>6</v>
      </c>
      <c r="DK34" s="244" t="s">
        <v>6</v>
      </c>
      <c r="DL34" s="244" t="s">
        <v>6</v>
      </c>
      <c r="DM34" s="244" t="s">
        <v>6</v>
      </c>
      <c r="DN34" s="244" t="s">
        <v>6</v>
      </c>
      <c r="DO34" s="244" t="s">
        <v>6</v>
      </c>
      <c r="DP34" s="244" t="s">
        <v>6</v>
      </c>
      <c r="DQ34" s="244" t="s">
        <v>6</v>
      </c>
      <c r="DR34" s="244" t="s">
        <v>6</v>
      </c>
      <c r="DS34" s="244" t="s">
        <v>6</v>
      </c>
      <c r="DT34" s="244" t="s">
        <v>6</v>
      </c>
      <c r="DU34" s="244" t="s">
        <v>6</v>
      </c>
      <c r="DV34" s="244" t="s">
        <v>6</v>
      </c>
      <c r="DW34" s="244" t="s">
        <v>6</v>
      </c>
      <c r="DX34" s="244" t="s">
        <v>6</v>
      </c>
      <c r="DY34" s="244" t="s">
        <v>6</v>
      </c>
      <c r="DZ34" s="244" t="s">
        <v>6</v>
      </c>
      <c r="EA34" s="244" t="s">
        <v>6</v>
      </c>
      <c r="EB34" s="244" t="s">
        <v>6</v>
      </c>
      <c r="EC34" s="244" t="s">
        <v>6</v>
      </c>
      <c r="ED34" s="244" t="s">
        <v>6</v>
      </c>
      <c r="EE34" s="244" t="s">
        <v>6</v>
      </c>
      <c r="EF34" s="244" t="s">
        <v>6</v>
      </c>
      <c r="EG34" s="244" t="s">
        <v>6</v>
      </c>
      <c r="EH34" s="244" t="s">
        <v>6</v>
      </c>
      <c r="EI34" s="244" t="s">
        <v>6</v>
      </c>
      <c r="EJ34" s="244" t="s">
        <v>6</v>
      </c>
      <c r="EK34" s="244" t="s">
        <v>6</v>
      </c>
      <c r="EL34" s="244" t="s">
        <v>6</v>
      </c>
      <c r="EM34" s="244" t="s">
        <v>6</v>
      </c>
      <c r="EN34" s="244" t="s">
        <v>6</v>
      </c>
      <c r="EO34" s="244" t="s">
        <v>6</v>
      </c>
      <c r="EP34" s="244" t="s">
        <v>6</v>
      </c>
      <c r="EQ34" s="244" t="s">
        <v>6</v>
      </c>
      <c r="ER34" s="244" t="s">
        <v>6</v>
      </c>
      <c r="ES34" s="244" t="s">
        <v>6</v>
      </c>
      <c r="ET34" s="244" t="s">
        <v>6</v>
      </c>
      <c r="EU34" s="244" t="s">
        <v>6</v>
      </c>
      <c r="EV34" s="244" t="s">
        <v>6</v>
      </c>
      <c r="EW34" s="244" t="s">
        <v>6</v>
      </c>
      <c r="EX34" s="244" t="s">
        <v>6</v>
      </c>
    </row>
    <row r="35" spans="1:154" ht="13.5">
      <c r="A35" s="240" t="s">
        <v>6</v>
      </c>
      <c r="B35" s="241" t="s">
        <v>6</v>
      </c>
      <c r="C35" s="244" t="s">
        <v>6</v>
      </c>
      <c r="D35" s="244" t="s">
        <v>6</v>
      </c>
      <c r="E35" s="244" t="s">
        <v>6</v>
      </c>
      <c r="F35" s="241" t="s">
        <v>6</v>
      </c>
      <c r="G35" s="232" t="s">
        <v>6</v>
      </c>
      <c r="H35" s="241" t="s">
        <v>6</v>
      </c>
      <c r="I35" s="232" t="s">
        <v>6</v>
      </c>
      <c r="J35" s="245" t="s">
        <v>6</v>
      </c>
      <c r="K35" s="244" t="s">
        <v>6</v>
      </c>
      <c r="L35" s="265" t="s">
        <v>6</v>
      </c>
      <c r="M35" s="244" t="s">
        <v>107</v>
      </c>
      <c r="N35" s="269" t="s">
        <v>108</v>
      </c>
      <c r="O35" s="266" t="s">
        <v>6</v>
      </c>
      <c r="P35" s="244" t="s">
        <v>6</v>
      </c>
      <c r="Q35" s="244" t="s">
        <v>6</v>
      </c>
      <c r="R35" s="244" t="s">
        <v>6</v>
      </c>
      <c r="S35" s="244" t="s">
        <v>6</v>
      </c>
      <c r="T35" s="244" t="s">
        <v>6</v>
      </c>
      <c r="U35" s="244" t="s">
        <v>6</v>
      </c>
      <c r="V35" s="244" t="s">
        <v>6</v>
      </c>
      <c r="W35" s="244" t="s">
        <v>6</v>
      </c>
      <c r="X35" s="244" t="s">
        <v>6</v>
      </c>
      <c r="Y35" s="244" t="s">
        <v>6</v>
      </c>
      <c r="Z35" s="244" t="s">
        <v>6</v>
      </c>
      <c r="AA35" s="244" t="s">
        <v>6</v>
      </c>
      <c r="AB35" s="244" t="s">
        <v>6</v>
      </c>
      <c r="AC35" s="244" t="s">
        <v>6</v>
      </c>
      <c r="AD35" s="244" t="s">
        <v>6</v>
      </c>
      <c r="AE35" s="244" t="s">
        <v>6</v>
      </c>
      <c r="AF35" s="244" t="s">
        <v>6</v>
      </c>
      <c r="AG35" s="244" t="s">
        <v>6</v>
      </c>
      <c r="AH35" s="244" t="s">
        <v>6</v>
      </c>
      <c r="AI35" s="244" t="s">
        <v>6</v>
      </c>
      <c r="AJ35" s="244" t="s">
        <v>6</v>
      </c>
      <c r="AK35" s="244" t="s">
        <v>6</v>
      </c>
      <c r="AL35" s="244" t="s">
        <v>6</v>
      </c>
      <c r="AM35" s="244" t="s">
        <v>6</v>
      </c>
      <c r="AN35" s="244" t="s">
        <v>6</v>
      </c>
      <c r="AO35" s="244" t="s">
        <v>6</v>
      </c>
      <c r="AP35" s="244" t="s">
        <v>6</v>
      </c>
      <c r="AQ35" s="244" t="s">
        <v>6</v>
      </c>
      <c r="AR35" s="244" t="s">
        <v>6</v>
      </c>
      <c r="AS35" s="244" t="s">
        <v>6</v>
      </c>
      <c r="AT35" s="244" t="s">
        <v>6</v>
      </c>
      <c r="AU35" s="244" t="s">
        <v>6</v>
      </c>
      <c r="AV35" s="244" t="s">
        <v>6</v>
      </c>
      <c r="AW35" s="244" t="s">
        <v>6</v>
      </c>
      <c r="AX35" s="244" t="s">
        <v>6</v>
      </c>
      <c r="AY35" s="244" t="s">
        <v>6</v>
      </c>
      <c r="AZ35" s="244" t="s">
        <v>6</v>
      </c>
      <c r="BA35" s="244" t="s">
        <v>6</v>
      </c>
      <c r="BB35" s="244" t="s">
        <v>6</v>
      </c>
      <c r="BC35" s="244" t="s">
        <v>6</v>
      </c>
      <c r="BD35" s="244" t="s">
        <v>6</v>
      </c>
      <c r="BE35" s="244" t="s">
        <v>6</v>
      </c>
      <c r="BF35" s="244" t="s">
        <v>6</v>
      </c>
      <c r="BG35" s="244" t="s">
        <v>6</v>
      </c>
      <c r="BH35" s="244" t="s">
        <v>6</v>
      </c>
      <c r="BI35" s="244" t="s">
        <v>6</v>
      </c>
      <c r="BJ35" s="244" t="s">
        <v>6</v>
      </c>
      <c r="BK35" s="244" t="s">
        <v>6</v>
      </c>
      <c r="BL35" s="244" t="s">
        <v>6</v>
      </c>
      <c r="BM35" s="244" t="s">
        <v>6</v>
      </c>
      <c r="BN35" s="244" t="s">
        <v>6</v>
      </c>
      <c r="BO35" s="244" t="s">
        <v>6</v>
      </c>
      <c r="BP35" s="244" t="s">
        <v>6</v>
      </c>
      <c r="BQ35" s="244" t="s">
        <v>6</v>
      </c>
      <c r="BR35" s="244" t="s">
        <v>6</v>
      </c>
      <c r="BS35" s="244" t="s">
        <v>6</v>
      </c>
      <c r="BT35" s="244" t="s">
        <v>6</v>
      </c>
      <c r="BU35" s="244" t="s">
        <v>6</v>
      </c>
      <c r="BV35" s="244" t="s">
        <v>6</v>
      </c>
      <c r="BW35" s="244" t="s">
        <v>6</v>
      </c>
      <c r="BX35" s="244" t="s">
        <v>6</v>
      </c>
      <c r="BY35" s="244" t="s">
        <v>6</v>
      </c>
      <c r="BZ35" s="244" t="s">
        <v>6</v>
      </c>
      <c r="CA35" s="244" t="s">
        <v>6</v>
      </c>
      <c r="CB35" s="244" t="s">
        <v>6</v>
      </c>
      <c r="CC35" s="244" t="s">
        <v>6</v>
      </c>
      <c r="CD35" s="244" t="s">
        <v>6</v>
      </c>
      <c r="CE35" s="244" t="s">
        <v>6</v>
      </c>
      <c r="CF35" s="244" t="s">
        <v>6</v>
      </c>
      <c r="CG35" s="244" t="s">
        <v>6</v>
      </c>
      <c r="CH35" s="244" t="s">
        <v>6</v>
      </c>
      <c r="CI35" s="244" t="s">
        <v>6</v>
      </c>
      <c r="CJ35" s="244" t="s">
        <v>6</v>
      </c>
      <c r="CK35" s="244" t="s">
        <v>6</v>
      </c>
      <c r="CL35" s="244" t="s">
        <v>6</v>
      </c>
      <c r="CM35" s="244" t="s">
        <v>6</v>
      </c>
      <c r="CN35" s="244" t="s">
        <v>6</v>
      </c>
      <c r="CO35" s="244" t="s">
        <v>6</v>
      </c>
      <c r="CP35" s="244" t="s">
        <v>6</v>
      </c>
      <c r="CQ35" s="244" t="s">
        <v>6</v>
      </c>
      <c r="CR35" s="244" t="s">
        <v>6</v>
      </c>
      <c r="CS35" s="244" t="s">
        <v>6</v>
      </c>
      <c r="CT35" s="244" t="s">
        <v>6</v>
      </c>
      <c r="CU35" s="244" t="s">
        <v>6</v>
      </c>
      <c r="CV35" s="244" t="s">
        <v>6</v>
      </c>
      <c r="CW35" s="244" t="s">
        <v>6</v>
      </c>
      <c r="CX35" s="244" t="s">
        <v>6</v>
      </c>
      <c r="CY35" s="244" t="s">
        <v>6</v>
      </c>
      <c r="CZ35" s="244" t="s">
        <v>6</v>
      </c>
      <c r="DA35" s="244" t="s">
        <v>6</v>
      </c>
      <c r="DB35" s="244" t="s">
        <v>6</v>
      </c>
      <c r="DC35" s="244" t="s">
        <v>6</v>
      </c>
      <c r="DD35" s="244" t="s">
        <v>6</v>
      </c>
      <c r="DE35" s="244" t="s">
        <v>6</v>
      </c>
      <c r="DF35" s="244" t="s">
        <v>6</v>
      </c>
      <c r="DG35" s="244" t="s">
        <v>6</v>
      </c>
      <c r="DH35" s="244" t="s">
        <v>6</v>
      </c>
      <c r="DI35" s="244" t="s">
        <v>6</v>
      </c>
      <c r="DJ35" s="244" t="s">
        <v>6</v>
      </c>
      <c r="DK35" s="244" t="s">
        <v>6</v>
      </c>
      <c r="DL35" s="244" t="s">
        <v>6</v>
      </c>
      <c r="DM35" s="244" t="s">
        <v>6</v>
      </c>
      <c r="DN35" s="244" t="s">
        <v>6</v>
      </c>
      <c r="DO35" s="244" t="s">
        <v>6</v>
      </c>
      <c r="DP35" s="244" t="s">
        <v>6</v>
      </c>
      <c r="DQ35" s="244" t="s">
        <v>6</v>
      </c>
      <c r="DR35" s="244" t="s">
        <v>6</v>
      </c>
      <c r="DS35" s="244" t="s">
        <v>6</v>
      </c>
      <c r="DT35" s="244" t="s">
        <v>6</v>
      </c>
      <c r="DU35" s="244" t="s">
        <v>6</v>
      </c>
      <c r="DV35" s="244" t="s">
        <v>6</v>
      </c>
      <c r="DW35" s="244" t="s">
        <v>6</v>
      </c>
      <c r="DX35" s="244" t="s">
        <v>6</v>
      </c>
      <c r="DY35" s="244" t="s">
        <v>6</v>
      </c>
      <c r="DZ35" s="244" t="s">
        <v>6</v>
      </c>
      <c r="EA35" s="244" t="s">
        <v>6</v>
      </c>
      <c r="EB35" s="244" t="s">
        <v>6</v>
      </c>
      <c r="EC35" s="244" t="s">
        <v>6</v>
      </c>
      <c r="ED35" s="244" t="s">
        <v>6</v>
      </c>
      <c r="EE35" s="244" t="s">
        <v>6</v>
      </c>
      <c r="EF35" s="244" t="s">
        <v>6</v>
      </c>
      <c r="EG35" s="244" t="s">
        <v>6</v>
      </c>
      <c r="EH35" s="244" t="s">
        <v>6</v>
      </c>
      <c r="EI35" s="244" t="s">
        <v>6</v>
      </c>
      <c r="EJ35" s="244" t="s">
        <v>6</v>
      </c>
      <c r="EK35" s="244" t="s">
        <v>6</v>
      </c>
      <c r="EL35" s="244" t="s">
        <v>6</v>
      </c>
      <c r="EM35" s="244" t="s">
        <v>6</v>
      </c>
      <c r="EN35" s="244" t="s">
        <v>6</v>
      </c>
      <c r="EO35" s="244" t="s">
        <v>6</v>
      </c>
      <c r="EP35" s="244" t="s">
        <v>6</v>
      </c>
      <c r="EQ35" s="244" t="s">
        <v>6</v>
      </c>
      <c r="ER35" s="244" t="s">
        <v>6</v>
      </c>
      <c r="ES35" s="244" t="s">
        <v>6</v>
      </c>
      <c r="ET35" s="244" t="s">
        <v>6</v>
      </c>
      <c r="EU35" s="244" t="s">
        <v>6</v>
      </c>
      <c r="EV35" s="244" t="s">
        <v>6</v>
      </c>
      <c r="EW35" s="244" t="s">
        <v>6</v>
      </c>
      <c r="EX35" s="244" t="s">
        <v>6</v>
      </c>
    </row>
    <row r="36" spans="1:154" ht="13.5">
      <c r="A36" s="240" t="s">
        <v>6</v>
      </c>
      <c r="B36" s="241" t="s">
        <v>6</v>
      </c>
      <c r="C36" s="244" t="s">
        <v>109</v>
      </c>
      <c r="D36" s="244"/>
      <c r="E36" s="244"/>
      <c r="F36" s="271" t="s">
        <v>110</v>
      </c>
      <c r="G36" s="232" t="s">
        <v>6</v>
      </c>
      <c r="H36" s="271" t="s">
        <v>111</v>
      </c>
      <c r="I36" s="232" t="s">
        <v>6</v>
      </c>
      <c r="J36" s="245" t="s">
        <v>112</v>
      </c>
      <c r="K36" s="244" t="s">
        <v>6</v>
      </c>
      <c r="L36" s="265" t="s">
        <v>6</v>
      </c>
      <c r="M36" s="244" t="s">
        <v>113</v>
      </c>
      <c r="N36" s="269" t="s">
        <v>114</v>
      </c>
      <c r="O36" s="266" t="s">
        <v>6</v>
      </c>
      <c r="P36" s="244" t="s">
        <v>6</v>
      </c>
      <c r="Q36" s="244" t="s">
        <v>6</v>
      </c>
      <c r="R36" s="244" t="s">
        <v>6</v>
      </c>
      <c r="S36" s="244" t="s">
        <v>6</v>
      </c>
      <c r="T36" s="244" t="s">
        <v>6</v>
      </c>
      <c r="U36" s="244" t="s">
        <v>6</v>
      </c>
      <c r="V36" s="244" t="s">
        <v>6</v>
      </c>
      <c r="W36" s="244" t="s">
        <v>6</v>
      </c>
      <c r="X36" s="244" t="s">
        <v>6</v>
      </c>
      <c r="Y36" s="244" t="s">
        <v>6</v>
      </c>
      <c r="Z36" s="244" t="s">
        <v>6</v>
      </c>
      <c r="AA36" s="244" t="s">
        <v>6</v>
      </c>
      <c r="AB36" s="244" t="s">
        <v>6</v>
      </c>
      <c r="AC36" s="244" t="s">
        <v>6</v>
      </c>
      <c r="AD36" s="244" t="s">
        <v>6</v>
      </c>
      <c r="AE36" s="244" t="s">
        <v>6</v>
      </c>
      <c r="AF36" s="244" t="s">
        <v>6</v>
      </c>
      <c r="AG36" s="244" t="s">
        <v>6</v>
      </c>
      <c r="AH36" s="244" t="s">
        <v>6</v>
      </c>
      <c r="AI36" s="244" t="s">
        <v>6</v>
      </c>
      <c r="AJ36" s="244" t="s">
        <v>6</v>
      </c>
      <c r="AK36" s="244" t="s">
        <v>6</v>
      </c>
      <c r="AL36" s="244" t="s">
        <v>6</v>
      </c>
      <c r="AM36" s="244" t="s">
        <v>6</v>
      </c>
      <c r="AN36" s="244" t="s">
        <v>6</v>
      </c>
      <c r="AO36" s="244" t="s">
        <v>6</v>
      </c>
      <c r="AP36" s="244" t="s">
        <v>6</v>
      </c>
      <c r="AQ36" s="244" t="s">
        <v>6</v>
      </c>
      <c r="AR36" s="244" t="s">
        <v>6</v>
      </c>
      <c r="AS36" s="244" t="s">
        <v>6</v>
      </c>
      <c r="AT36" s="244" t="s">
        <v>6</v>
      </c>
      <c r="AU36" s="244" t="s">
        <v>6</v>
      </c>
      <c r="AV36" s="244" t="s">
        <v>6</v>
      </c>
      <c r="AW36" s="244" t="s">
        <v>6</v>
      </c>
      <c r="AX36" s="244" t="s">
        <v>6</v>
      </c>
      <c r="AY36" s="244" t="s">
        <v>6</v>
      </c>
      <c r="AZ36" s="244" t="s">
        <v>6</v>
      </c>
      <c r="BA36" s="244" t="s">
        <v>6</v>
      </c>
      <c r="BB36" s="244" t="s">
        <v>6</v>
      </c>
      <c r="BC36" s="244" t="s">
        <v>6</v>
      </c>
      <c r="BD36" s="244" t="s">
        <v>6</v>
      </c>
      <c r="BE36" s="244" t="s">
        <v>6</v>
      </c>
      <c r="BF36" s="244" t="s">
        <v>6</v>
      </c>
      <c r="BG36" s="244" t="s">
        <v>6</v>
      </c>
      <c r="BH36" s="244" t="s">
        <v>6</v>
      </c>
      <c r="BI36" s="244" t="s">
        <v>6</v>
      </c>
      <c r="BJ36" s="244" t="s">
        <v>6</v>
      </c>
      <c r="BK36" s="244" t="s">
        <v>6</v>
      </c>
      <c r="BL36" s="244" t="s">
        <v>6</v>
      </c>
      <c r="BM36" s="244" t="s">
        <v>6</v>
      </c>
      <c r="BN36" s="244" t="s">
        <v>6</v>
      </c>
      <c r="BO36" s="244" t="s">
        <v>6</v>
      </c>
      <c r="BP36" s="244" t="s">
        <v>6</v>
      </c>
      <c r="BQ36" s="244" t="s">
        <v>6</v>
      </c>
      <c r="BR36" s="244" t="s">
        <v>6</v>
      </c>
      <c r="BS36" s="244" t="s">
        <v>6</v>
      </c>
      <c r="BT36" s="244" t="s">
        <v>6</v>
      </c>
      <c r="BU36" s="244" t="s">
        <v>6</v>
      </c>
      <c r="BV36" s="244" t="s">
        <v>6</v>
      </c>
      <c r="BW36" s="244" t="s">
        <v>6</v>
      </c>
      <c r="BX36" s="244" t="s">
        <v>6</v>
      </c>
      <c r="BY36" s="244" t="s">
        <v>6</v>
      </c>
      <c r="BZ36" s="244" t="s">
        <v>6</v>
      </c>
      <c r="CA36" s="244" t="s">
        <v>6</v>
      </c>
      <c r="CB36" s="244" t="s">
        <v>6</v>
      </c>
      <c r="CC36" s="244" t="s">
        <v>6</v>
      </c>
      <c r="CD36" s="244" t="s">
        <v>6</v>
      </c>
      <c r="CE36" s="244" t="s">
        <v>6</v>
      </c>
      <c r="CF36" s="244" t="s">
        <v>6</v>
      </c>
      <c r="CG36" s="244" t="s">
        <v>6</v>
      </c>
      <c r="CH36" s="244" t="s">
        <v>6</v>
      </c>
      <c r="CI36" s="244" t="s">
        <v>6</v>
      </c>
      <c r="CJ36" s="244" t="s">
        <v>6</v>
      </c>
      <c r="CK36" s="244" t="s">
        <v>6</v>
      </c>
      <c r="CL36" s="244" t="s">
        <v>6</v>
      </c>
      <c r="CM36" s="244" t="s">
        <v>6</v>
      </c>
      <c r="CN36" s="244" t="s">
        <v>6</v>
      </c>
      <c r="CO36" s="244" t="s">
        <v>6</v>
      </c>
      <c r="CP36" s="244" t="s">
        <v>6</v>
      </c>
      <c r="CQ36" s="244" t="s">
        <v>6</v>
      </c>
      <c r="CR36" s="244" t="s">
        <v>6</v>
      </c>
      <c r="CS36" s="244" t="s">
        <v>6</v>
      </c>
      <c r="CT36" s="244" t="s">
        <v>6</v>
      </c>
      <c r="CU36" s="244" t="s">
        <v>6</v>
      </c>
      <c r="CV36" s="244" t="s">
        <v>6</v>
      </c>
      <c r="CW36" s="244" t="s">
        <v>6</v>
      </c>
      <c r="CX36" s="244" t="s">
        <v>6</v>
      </c>
      <c r="CY36" s="244" t="s">
        <v>6</v>
      </c>
      <c r="CZ36" s="244" t="s">
        <v>6</v>
      </c>
      <c r="DA36" s="244" t="s">
        <v>6</v>
      </c>
      <c r="DB36" s="244" t="s">
        <v>6</v>
      </c>
      <c r="DC36" s="244" t="s">
        <v>6</v>
      </c>
      <c r="DD36" s="244" t="s">
        <v>6</v>
      </c>
      <c r="DE36" s="244" t="s">
        <v>6</v>
      </c>
      <c r="DF36" s="244" t="s">
        <v>6</v>
      </c>
      <c r="DG36" s="244" t="s">
        <v>6</v>
      </c>
      <c r="DH36" s="244" t="s">
        <v>6</v>
      </c>
      <c r="DI36" s="244" t="s">
        <v>6</v>
      </c>
      <c r="DJ36" s="244" t="s">
        <v>6</v>
      </c>
      <c r="DK36" s="244" t="s">
        <v>6</v>
      </c>
      <c r="DL36" s="244" t="s">
        <v>6</v>
      </c>
      <c r="DM36" s="244" t="s">
        <v>6</v>
      </c>
      <c r="DN36" s="244" t="s">
        <v>6</v>
      </c>
      <c r="DO36" s="244" t="s">
        <v>6</v>
      </c>
      <c r="DP36" s="244" t="s">
        <v>6</v>
      </c>
      <c r="DQ36" s="244" t="s">
        <v>6</v>
      </c>
      <c r="DR36" s="244" t="s">
        <v>6</v>
      </c>
      <c r="DS36" s="244" t="s">
        <v>6</v>
      </c>
      <c r="DT36" s="244" t="s">
        <v>6</v>
      </c>
      <c r="DU36" s="244" t="s">
        <v>6</v>
      </c>
      <c r="DV36" s="244" t="s">
        <v>6</v>
      </c>
      <c r="DW36" s="244" t="s">
        <v>6</v>
      </c>
      <c r="DX36" s="244" t="s">
        <v>6</v>
      </c>
      <c r="DY36" s="244" t="s">
        <v>6</v>
      </c>
      <c r="DZ36" s="244" t="s">
        <v>6</v>
      </c>
      <c r="EA36" s="244" t="s">
        <v>6</v>
      </c>
      <c r="EB36" s="244" t="s">
        <v>6</v>
      </c>
      <c r="EC36" s="244" t="s">
        <v>6</v>
      </c>
      <c r="ED36" s="244" t="s">
        <v>6</v>
      </c>
      <c r="EE36" s="244" t="s">
        <v>6</v>
      </c>
      <c r="EF36" s="244" t="s">
        <v>6</v>
      </c>
      <c r="EG36" s="244" t="s">
        <v>6</v>
      </c>
      <c r="EH36" s="244" t="s">
        <v>6</v>
      </c>
      <c r="EI36" s="244" t="s">
        <v>6</v>
      </c>
      <c r="EJ36" s="244" t="s">
        <v>6</v>
      </c>
      <c r="EK36" s="244" t="s">
        <v>6</v>
      </c>
      <c r="EL36" s="244" t="s">
        <v>6</v>
      </c>
      <c r="EM36" s="244" t="s">
        <v>6</v>
      </c>
      <c r="EN36" s="244" t="s">
        <v>6</v>
      </c>
      <c r="EO36" s="244" t="s">
        <v>6</v>
      </c>
      <c r="EP36" s="244" t="s">
        <v>6</v>
      </c>
      <c r="EQ36" s="244" t="s">
        <v>6</v>
      </c>
      <c r="ER36" s="244" t="s">
        <v>6</v>
      </c>
      <c r="ES36" s="244" t="s">
        <v>6</v>
      </c>
      <c r="ET36" s="244" t="s">
        <v>6</v>
      </c>
      <c r="EU36" s="244" t="s">
        <v>6</v>
      </c>
      <c r="EV36" s="244" t="s">
        <v>6</v>
      </c>
      <c r="EW36" s="244" t="s">
        <v>6</v>
      </c>
      <c r="EX36" s="244" t="s">
        <v>6</v>
      </c>
    </row>
    <row r="37" spans="1:154" ht="13.5">
      <c r="A37" s="240" t="s">
        <v>6</v>
      </c>
      <c r="B37" s="241" t="s">
        <v>6</v>
      </c>
      <c r="C37" s="244" t="s">
        <v>115</v>
      </c>
      <c r="D37" s="244"/>
      <c r="E37" s="244"/>
      <c r="F37" s="260" t="s">
        <v>116</v>
      </c>
      <c r="G37" s="232" t="s">
        <v>6</v>
      </c>
      <c r="H37" s="260" t="s">
        <v>117</v>
      </c>
      <c r="I37" s="232" t="s">
        <v>6</v>
      </c>
      <c r="J37" s="262" t="s">
        <v>118</v>
      </c>
      <c r="K37" s="244" t="s">
        <v>6</v>
      </c>
      <c r="L37" s="265" t="s">
        <v>6</v>
      </c>
      <c r="M37" s="244" t="s">
        <v>119</v>
      </c>
      <c r="N37" s="269" t="s">
        <v>120</v>
      </c>
      <c r="O37" s="266" t="s">
        <v>6</v>
      </c>
      <c r="P37" s="244" t="s">
        <v>6</v>
      </c>
      <c r="Q37" s="244" t="s">
        <v>6</v>
      </c>
      <c r="R37" s="244" t="s">
        <v>6</v>
      </c>
      <c r="S37" s="244" t="s">
        <v>6</v>
      </c>
      <c r="T37" s="244" t="s">
        <v>6</v>
      </c>
      <c r="U37" s="244" t="s">
        <v>6</v>
      </c>
      <c r="V37" s="244" t="s">
        <v>6</v>
      </c>
      <c r="W37" s="244" t="s">
        <v>6</v>
      </c>
      <c r="X37" s="244" t="s">
        <v>6</v>
      </c>
      <c r="Y37" s="244" t="s">
        <v>6</v>
      </c>
      <c r="Z37" s="244" t="s">
        <v>6</v>
      </c>
      <c r="AA37" s="244" t="s">
        <v>6</v>
      </c>
      <c r="AB37" s="244" t="s">
        <v>6</v>
      </c>
      <c r="AC37" s="244" t="s">
        <v>6</v>
      </c>
      <c r="AD37" s="244" t="s">
        <v>6</v>
      </c>
      <c r="AE37" s="244" t="s">
        <v>6</v>
      </c>
      <c r="AF37" s="244" t="s">
        <v>6</v>
      </c>
      <c r="AG37" s="244" t="s">
        <v>6</v>
      </c>
      <c r="AH37" s="244" t="s">
        <v>6</v>
      </c>
      <c r="AI37" s="244" t="s">
        <v>6</v>
      </c>
      <c r="AJ37" s="244" t="s">
        <v>6</v>
      </c>
      <c r="AK37" s="244" t="s">
        <v>6</v>
      </c>
      <c r="AL37" s="244" t="s">
        <v>6</v>
      </c>
      <c r="AM37" s="244" t="s">
        <v>6</v>
      </c>
      <c r="AN37" s="244" t="s">
        <v>6</v>
      </c>
      <c r="AO37" s="244" t="s">
        <v>6</v>
      </c>
      <c r="AP37" s="244" t="s">
        <v>6</v>
      </c>
      <c r="AQ37" s="244" t="s">
        <v>6</v>
      </c>
      <c r="AR37" s="244" t="s">
        <v>6</v>
      </c>
      <c r="AS37" s="244" t="s">
        <v>6</v>
      </c>
      <c r="AT37" s="244" t="s">
        <v>6</v>
      </c>
      <c r="AU37" s="244" t="s">
        <v>6</v>
      </c>
      <c r="AV37" s="244" t="s">
        <v>6</v>
      </c>
      <c r="AW37" s="244" t="s">
        <v>6</v>
      </c>
      <c r="AX37" s="244" t="s">
        <v>6</v>
      </c>
      <c r="AY37" s="244" t="s">
        <v>6</v>
      </c>
      <c r="AZ37" s="244" t="s">
        <v>6</v>
      </c>
      <c r="BA37" s="244" t="s">
        <v>6</v>
      </c>
      <c r="BB37" s="244" t="s">
        <v>6</v>
      </c>
      <c r="BC37" s="244" t="s">
        <v>6</v>
      </c>
      <c r="BD37" s="244" t="s">
        <v>6</v>
      </c>
      <c r="BE37" s="244" t="s">
        <v>6</v>
      </c>
      <c r="BF37" s="244" t="s">
        <v>6</v>
      </c>
      <c r="BG37" s="244" t="s">
        <v>6</v>
      </c>
      <c r="BH37" s="244" t="s">
        <v>6</v>
      </c>
      <c r="BI37" s="244" t="s">
        <v>6</v>
      </c>
      <c r="BJ37" s="244" t="s">
        <v>6</v>
      </c>
      <c r="BK37" s="244" t="s">
        <v>6</v>
      </c>
      <c r="BL37" s="244" t="s">
        <v>6</v>
      </c>
      <c r="BM37" s="244" t="s">
        <v>6</v>
      </c>
      <c r="BN37" s="244" t="s">
        <v>6</v>
      </c>
      <c r="BO37" s="244" t="s">
        <v>6</v>
      </c>
      <c r="BP37" s="244" t="s">
        <v>6</v>
      </c>
      <c r="BQ37" s="244" t="s">
        <v>6</v>
      </c>
      <c r="BR37" s="244" t="s">
        <v>6</v>
      </c>
      <c r="BS37" s="244" t="s">
        <v>6</v>
      </c>
      <c r="BT37" s="244" t="s">
        <v>6</v>
      </c>
      <c r="BU37" s="244" t="s">
        <v>6</v>
      </c>
      <c r="BV37" s="244" t="s">
        <v>6</v>
      </c>
      <c r="BW37" s="244" t="s">
        <v>6</v>
      </c>
      <c r="BX37" s="244" t="s">
        <v>6</v>
      </c>
      <c r="BY37" s="244" t="s">
        <v>6</v>
      </c>
      <c r="BZ37" s="244" t="s">
        <v>6</v>
      </c>
      <c r="CA37" s="244" t="s">
        <v>6</v>
      </c>
      <c r="CB37" s="244" t="s">
        <v>6</v>
      </c>
      <c r="CC37" s="244" t="s">
        <v>6</v>
      </c>
      <c r="CD37" s="244" t="s">
        <v>6</v>
      </c>
      <c r="CE37" s="244" t="s">
        <v>6</v>
      </c>
      <c r="CF37" s="244" t="s">
        <v>6</v>
      </c>
      <c r="CG37" s="244" t="s">
        <v>6</v>
      </c>
      <c r="CH37" s="244" t="s">
        <v>6</v>
      </c>
      <c r="CI37" s="244" t="s">
        <v>6</v>
      </c>
      <c r="CJ37" s="244" t="s">
        <v>6</v>
      </c>
      <c r="CK37" s="244" t="s">
        <v>6</v>
      </c>
      <c r="CL37" s="244" t="s">
        <v>6</v>
      </c>
      <c r="CM37" s="244" t="s">
        <v>6</v>
      </c>
      <c r="CN37" s="244" t="s">
        <v>6</v>
      </c>
      <c r="CO37" s="244" t="s">
        <v>6</v>
      </c>
      <c r="CP37" s="244" t="s">
        <v>6</v>
      </c>
      <c r="CQ37" s="244" t="s">
        <v>6</v>
      </c>
      <c r="CR37" s="244" t="s">
        <v>6</v>
      </c>
      <c r="CS37" s="244" t="s">
        <v>6</v>
      </c>
      <c r="CT37" s="244" t="s">
        <v>6</v>
      </c>
      <c r="CU37" s="244" t="s">
        <v>6</v>
      </c>
      <c r="CV37" s="244" t="s">
        <v>6</v>
      </c>
      <c r="CW37" s="244" t="s">
        <v>6</v>
      </c>
      <c r="CX37" s="244" t="s">
        <v>6</v>
      </c>
      <c r="CY37" s="244" t="s">
        <v>6</v>
      </c>
      <c r="CZ37" s="244" t="s">
        <v>6</v>
      </c>
      <c r="DA37" s="244" t="s">
        <v>6</v>
      </c>
      <c r="DB37" s="244" t="s">
        <v>6</v>
      </c>
      <c r="DC37" s="244" t="s">
        <v>6</v>
      </c>
      <c r="DD37" s="244" t="s">
        <v>6</v>
      </c>
      <c r="DE37" s="244" t="s">
        <v>6</v>
      </c>
      <c r="DF37" s="244" t="s">
        <v>6</v>
      </c>
      <c r="DG37" s="244" t="s">
        <v>6</v>
      </c>
      <c r="DH37" s="244" t="s">
        <v>6</v>
      </c>
      <c r="DI37" s="244" t="s">
        <v>6</v>
      </c>
      <c r="DJ37" s="244" t="s">
        <v>6</v>
      </c>
      <c r="DK37" s="244" t="s">
        <v>6</v>
      </c>
      <c r="DL37" s="244" t="s">
        <v>6</v>
      </c>
      <c r="DM37" s="244" t="s">
        <v>6</v>
      </c>
      <c r="DN37" s="244" t="s">
        <v>6</v>
      </c>
      <c r="DO37" s="244" t="s">
        <v>6</v>
      </c>
      <c r="DP37" s="244" t="s">
        <v>6</v>
      </c>
      <c r="DQ37" s="244" t="s">
        <v>6</v>
      </c>
      <c r="DR37" s="244" t="s">
        <v>6</v>
      </c>
      <c r="DS37" s="244" t="s">
        <v>6</v>
      </c>
      <c r="DT37" s="244" t="s">
        <v>6</v>
      </c>
      <c r="DU37" s="244" t="s">
        <v>6</v>
      </c>
      <c r="DV37" s="244" t="s">
        <v>6</v>
      </c>
      <c r="DW37" s="244" t="s">
        <v>6</v>
      </c>
      <c r="DX37" s="244" t="s">
        <v>6</v>
      </c>
      <c r="DY37" s="244" t="s">
        <v>6</v>
      </c>
      <c r="DZ37" s="244" t="s">
        <v>6</v>
      </c>
      <c r="EA37" s="244" t="s">
        <v>6</v>
      </c>
      <c r="EB37" s="244" t="s">
        <v>6</v>
      </c>
      <c r="EC37" s="244" t="s">
        <v>6</v>
      </c>
      <c r="ED37" s="244" t="s">
        <v>6</v>
      </c>
      <c r="EE37" s="244" t="s">
        <v>6</v>
      </c>
      <c r="EF37" s="244" t="s">
        <v>6</v>
      </c>
      <c r="EG37" s="244" t="s">
        <v>6</v>
      </c>
      <c r="EH37" s="244" t="s">
        <v>6</v>
      </c>
      <c r="EI37" s="244" t="s">
        <v>6</v>
      </c>
      <c r="EJ37" s="244" t="s">
        <v>6</v>
      </c>
      <c r="EK37" s="244" t="s">
        <v>6</v>
      </c>
      <c r="EL37" s="244" t="s">
        <v>6</v>
      </c>
      <c r="EM37" s="244" t="s">
        <v>6</v>
      </c>
      <c r="EN37" s="244" t="s">
        <v>6</v>
      </c>
      <c r="EO37" s="244" t="s">
        <v>6</v>
      </c>
      <c r="EP37" s="244" t="s">
        <v>6</v>
      </c>
      <c r="EQ37" s="244" t="s">
        <v>6</v>
      </c>
      <c r="ER37" s="244" t="s">
        <v>6</v>
      </c>
      <c r="ES37" s="244" t="s">
        <v>6</v>
      </c>
      <c r="ET37" s="244" t="s">
        <v>6</v>
      </c>
      <c r="EU37" s="244" t="s">
        <v>6</v>
      </c>
      <c r="EV37" s="244" t="s">
        <v>6</v>
      </c>
      <c r="EW37" s="244" t="s">
        <v>6</v>
      </c>
      <c r="EX37" s="244" t="s">
        <v>6</v>
      </c>
    </row>
    <row r="38" spans="1:154" ht="13.5">
      <c r="A38" s="240" t="s">
        <v>6</v>
      </c>
      <c r="B38" s="241" t="s">
        <v>6</v>
      </c>
      <c r="C38" s="244" t="s">
        <v>121</v>
      </c>
      <c r="D38" s="244"/>
      <c r="E38" s="244"/>
      <c r="F38" s="267" t="s">
        <v>122</v>
      </c>
      <c r="G38" s="253" t="s">
        <v>6</v>
      </c>
      <c r="H38" s="267" t="s">
        <v>123</v>
      </c>
      <c r="I38" s="232" t="s">
        <v>6</v>
      </c>
      <c r="J38" s="245" t="s">
        <v>6</v>
      </c>
      <c r="K38" s="244" t="s">
        <v>6</v>
      </c>
      <c r="L38" s="265" t="s">
        <v>6</v>
      </c>
      <c r="M38" s="244" t="s">
        <v>6</v>
      </c>
      <c r="N38" s="244" t="s">
        <v>6</v>
      </c>
      <c r="O38" s="266" t="s">
        <v>6</v>
      </c>
      <c r="P38" s="244" t="s">
        <v>6</v>
      </c>
      <c r="Q38" s="244" t="s">
        <v>6</v>
      </c>
      <c r="R38" s="244" t="s">
        <v>6</v>
      </c>
      <c r="S38" s="244" t="s">
        <v>6</v>
      </c>
      <c r="T38" s="244" t="s">
        <v>6</v>
      </c>
      <c r="U38" s="244" t="s">
        <v>6</v>
      </c>
      <c r="V38" s="244" t="s">
        <v>6</v>
      </c>
      <c r="W38" s="244" t="s">
        <v>6</v>
      </c>
      <c r="X38" s="244" t="s">
        <v>6</v>
      </c>
      <c r="Y38" s="244" t="s">
        <v>6</v>
      </c>
      <c r="Z38" s="244" t="s">
        <v>6</v>
      </c>
      <c r="AA38" s="244" t="s">
        <v>6</v>
      </c>
      <c r="AB38" s="244" t="s">
        <v>6</v>
      </c>
      <c r="AC38" s="244" t="s">
        <v>6</v>
      </c>
      <c r="AD38" s="244" t="s">
        <v>6</v>
      </c>
      <c r="AE38" s="244" t="s">
        <v>6</v>
      </c>
      <c r="AF38" s="244" t="s">
        <v>6</v>
      </c>
      <c r="AG38" s="244" t="s">
        <v>6</v>
      </c>
      <c r="AH38" s="244" t="s">
        <v>6</v>
      </c>
      <c r="AI38" s="244" t="s">
        <v>6</v>
      </c>
      <c r="AJ38" s="244" t="s">
        <v>6</v>
      </c>
      <c r="AK38" s="244" t="s">
        <v>6</v>
      </c>
      <c r="AL38" s="244" t="s">
        <v>6</v>
      </c>
      <c r="AM38" s="244" t="s">
        <v>6</v>
      </c>
      <c r="AN38" s="244" t="s">
        <v>6</v>
      </c>
      <c r="AO38" s="244" t="s">
        <v>6</v>
      </c>
      <c r="AP38" s="244" t="s">
        <v>6</v>
      </c>
      <c r="AQ38" s="244" t="s">
        <v>6</v>
      </c>
      <c r="AR38" s="244" t="s">
        <v>6</v>
      </c>
      <c r="AS38" s="244" t="s">
        <v>6</v>
      </c>
      <c r="AT38" s="244" t="s">
        <v>6</v>
      </c>
      <c r="AU38" s="244" t="s">
        <v>6</v>
      </c>
      <c r="AV38" s="244" t="s">
        <v>6</v>
      </c>
      <c r="AW38" s="244" t="s">
        <v>6</v>
      </c>
      <c r="AX38" s="244" t="s">
        <v>6</v>
      </c>
      <c r="AY38" s="244" t="s">
        <v>6</v>
      </c>
      <c r="AZ38" s="244" t="s">
        <v>6</v>
      </c>
      <c r="BA38" s="244" t="s">
        <v>6</v>
      </c>
      <c r="BB38" s="244" t="s">
        <v>6</v>
      </c>
      <c r="BC38" s="244" t="s">
        <v>6</v>
      </c>
      <c r="BD38" s="244" t="s">
        <v>6</v>
      </c>
      <c r="BE38" s="244" t="s">
        <v>6</v>
      </c>
      <c r="BF38" s="244" t="s">
        <v>6</v>
      </c>
      <c r="BG38" s="244" t="s">
        <v>6</v>
      </c>
      <c r="BH38" s="244" t="s">
        <v>6</v>
      </c>
      <c r="BI38" s="244" t="s">
        <v>6</v>
      </c>
      <c r="BJ38" s="244" t="s">
        <v>6</v>
      </c>
      <c r="BK38" s="244" t="s">
        <v>6</v>
      </c>
      <c r="BL38" s="244" t="s">
        <v>6</v>
      </c>
      <c r="BM38" s="244" t="s">
        <v>6</v>
      </c>
      <c r="BN38" s="244" t="s">
        <v>6</v>
      </c>
      <c r="BO38" s="244" t="s">
        <v>6</v>
      </c>
      <c r="BP38" s="244" t="s">
        <v>6</v>
      </c>
      <c r="BQ38" s="244" t="s">
        <v>6</v>
      </c>
      <c r="BR38" s="244" t="s">
        <v>6</v>
      </c>
      <c r="BS38" s="244" t="s">
        <v>6</v>
      </c>
      <c r="BT38" s="244" t="s">
        <v>6</v>
      </c>
      <c r="BU38" s="244" t="s">
        <v>6</v>
      </c>
      <c r="BV38" s="244" t="s">
        <v>6</v>
      </c>
      <c r="BW38" s="244" t="s">
        <v>6</v>
      </c>
      <c r="BX38" s="244" t="s">
        <v>6</v>
      </c>
      <c r="BY38" s="244" t="s">
        <v>6</v>
      </c>
      <c r="BZ38" s="244" t="s">
        <v>6</v>
      </c>
      <c r="CA38" s="244" t="s">
        <v>6</v>
      </c>
      <c r="CB38" s="244" t="s">
        <v>6</v>
      </c>
      <c r="CC38" s="244" t="s">
        <v>6</v>
      </c>
      <c r="CD38" s="244" t="s">
        <v>6</v>
      </c>
      <c r="CE38" s="244" t="s">
        <v>6</v>
      </c>
      <c r="CF38" s="244" t="s">
        <v>6</v>
      </c>
      <c r="CG38" s="244" t="s">
        <v>6</v>
      </c>
      <c r="CH38" s="244" t="s">
        <v>6</v>
      </c>
      <c r="CI38" s="244" t="s">
        <v>6</v>
      </c>
      <c r="CJ38" s="244" t="s">
        <v>6</v>
      </c>
      <c r="CK38" s="244" t="s">
        <v>6</v>
      </c>
      <c r="CL38" s="244" t="s">
        <v>6</v>
      </c>
      <c r="CM38" s="244" t="s">
        <v>6</v>
      </c>
      <c r="CN38" s="244" t="s">
        <v>6</v>
      </c>
      <c r="CO38" s="244" t="s">
        <v>6</v>
      </c>
      <c r="CP38" s="244" t="s">
        <v>6</v>
      </c>
      <c r="CQ38" s="244" t="s">
        <v>6</v>
      </c>
      <c r="CR38" s="244" t="s">
        <v>6</v>
      </c>
      <c r="CS38" s="244" t="s">
        <v>6</v>
      </c>
      <c r="CT38" s="244" t="s">
        <v>6</v>
      </c>
      <c r="CU38" s="244" t="s">
        <v>6</v>
      </c>
      <c r="CV38" s="244" t="s">
        <v>6</v>
      </c>
      <c r="CW38" s="244" t="s">
        <v>6</v>
      </c>
      <c r="CX38" s="244" t="s">
        <v>6</v>
      </c>
      <c r="CY38" s="244" t="s">
        <v>6</v>
      </c>
      <c r="CZ38" s="244" t="s">
        <v>6</v>
      </c>
      <c r="DA38" s="244" t="s">
        <v>6</v>
      </c>
      <c r="DB38" s="244" t="s">
        <v>6</v>
      </c>
      <c r="DC38" s="244" t="s">
        <v>6</v>
      </c>
      <c r="DD38" s="244" t="s">
        <v>6</v>
      </c>
      <c r="DE38" s="244" t="s">
        <v>6</v>
      </c>
      <c r="DF38" s="244" t="s">
        <v>6</v>
      </c>
      <c r="DG38" s="244" t="s">
        <v>6</v>
      </c>
      <c r="DH38" s="244" t="s">
        <v>6</v>
      </c>
      <c r="DI38" s="244" t="s">
        <v>6</v>
      </c>
      <c r="DJ38" s="244" t="s">
        <v>6</v>
      </c>
      <c r="DK38" s="244" t="s">
        <v>6</v>
      </c>
      <c r="DL38" s="244" t="s">
        <v>6</v>
      </c>
      <c r="DM38" s="244" t="s">
        <v>6</v>
      </c>
      <c r="DN38" s="244" t="s">
        <v>6</v>
      </c>
      <c r="DO38" s="244" t="s">
        <v>6</v>
      </c>
      <c r="DP38" s="244" t="s">
        <v>6</v>
      </c>
      <c r="DQ38" s="244" t="s">
        <v>6</v>
      </c>
      <c r="DR38" s="244" t="s">
        <v>6</v>
      </c>
      <c r="DS38" s="244" t="s">
        <v>6</v>
      </c>
      <c r="DT38" s="244" t="s">
        <v>6</v>
      </c>
      <c r="DU38" s="244" t="s">
        <v>6</v>
      </c>
      <c r="DV38" s="244" t="s">
        <v>6</v>
      </c>
      <c r="DW38" s="244" t="s">
        <v>6</v>
      </c>
      <c r="DX38" s="244" t="s">
        <v>6</v>
      </c>
      <c r="DY38" s="244" t="s">
        <v>6</v>
      </c>
      <c r="DZ38" s="244" t="s">
        <v>6</v>
      </c>
      <c r="EA38" s="244" t="s">
        <v>6</v>
      </c>
      <c r="EB38" s="244" t="s">
        <v>6</v>
      </c>
      <c r="EC38" s="244" t="s">
        <v>6</v>
      </c>
      <c r="ED38" s="244" t="s">
        <v>6</v>
      </c>
      <c r="EE38" s="244" t="s">
        <v>6</v>
      </c>
      <c r="EF38" s="244" t="s">
        <v>6</v>
      </c>
      <c r="EG38" s="244" t="s">
        <v>6</v>
      </c>
      <c r="EH38" s="244" t="s">
        <v>6</v>
      </c>
      <c r="EI38" s="244" t="s">
        <v>6</v>
      </c>
      <c r="EJ38" s="244" t="s">
        <v>6</v>
      </c>
      <c r="EK38" s="244" t="s">
        <v>6</v>
      </c>
      <c r="EL38" s="244" t="s">
        <v>6</v>
      </c>
      <c r="EM38" s="244" t="s">
        <v>6</v>
      </c>
      <c r="EN38" s="244" t="s">
        <v>6</v>
      </c>
      <c r="EO38" s="244" t="s">
        <v>6</v>
      </c>
      <c r="EP38" s="244" t="s">
        <v>6</v>
      </c>
      <c r="EQ38" s="244" t="s">
        <v>6</v>
      </c>
      <c r="ER38" s="244" t="s">
        <v>6</v>
      </c>
      <c r="ES38" s="244" t="s">
        <v>6</v>
      </c>
      <c r="ET38" s="244" t="s">
        <v>6</v>
      </c>
      <c r="EU38" s="244" t="s">
        <v>6</v>
      </c>
      <c r="EV38" s="244" t="s">
        <v>6</v>
      </c>
      <c r="EW38" s="244" t="s">
        <v>6</v>
      </c>
      <c r="EX38" s="244" t="s">
        <v>6</v>
      </c>
    </row>
    <row r="39" spans="1:154" ht="13.5">
      <c r="A39" s="240" t="s">
        <v>6</v>
      </c>
      <c r="B39" s="241" t="s">
        <v>6</v>
      </c>
      <c r="C39" s="245" t="s">
        <v>124</v>
      </c>
      <c r="D39" s="245"/>
      <c r="E39" s="245"/>
      <c r="F39" s="247" t="s">
        <v>125</v>
      </c>
      <c r="G39" s="247" t="s">
        <v>6</v>
      </c>
      <c r="H39" s="247" t="s">
        <v>126</v>
      </c>
      <c r="I39" s="232" t="s">
        <v>6</v>
      </c>
      <c r="J39" s="245" t="s">
        <v>6</v>
      </c>
      <c r="K39" s="244" t="s">
        <v>6</v>
      </c>
      <c r="L39" s="265" t="s">
        <v>6</v>
      </c>
      <c r="M39" s="244" t="s">
        <v>107</v>
      </c>
      <c r="N39" s="268" t="s">
        <v>127</v>
      </c>
      <c r="O39" s="266" t="s">
        <v>6</v>
      </c>
      <c r="P39" s="244" t="s">
        <v>6</v>
      </c>
      <c r="Q39" s="244" t="s">
        <v>6</v>
      </c>
      <c r="R39" s="244" t="s">
        <v>6</v>
      </c>
      <c r="S39" s="244" t="s">
        <v>6</v>
      </c>
      <c r="T39" s="244" t="s">
        <v>6</v>
      </c>
      <c r="U39" s="244" t="s">
        <v>6</v>
      </c>
      <c r="V39" s="244" t="s">
        <v>6</v>
      </c>
      <c r="W39" s="244" t="s">
        <v>6</v>
      </c>
      <c r="X39" s="244" t="s">
        <v>6</v>
      </c>
      <c r="Y39" s="244" t="s">
        <v>6</v>
      </c>
      <c r="Z39" s="244" t="s">
        <v>6</v>
      </c>
      <c r="AA39" s="244" t="s">
        <v>6</v>
      </c>
      <c r="AB39" s="244" t="s">
        <v>6</v>
      </c>
      <c r="AC39" s="244" t="s">
        <v>6</v>
      </c>
      <c r="AD39" s="244" t="s">
        <v>6</v>
      </c>
      <c r="AE39" s="244" t="s">
        <v>6</v>
      </c>
      <c r="AF39" s="244" t="s">
        <v>6</v>
      </c>
      <c r="AG39" s="244" t="s">
        <v>6</v>
      </c>
      <c r="AH39" s="244" t="s">
        <v>6</v>
      </c>
      <c r="AI39" s="244" t="s">
        <v>6</v>
      </c>
      <c r="AJ39" s="244" t="s">
        <v>6</v>
      </c>
      <c r="AK39" s="244" t="s">
        <v>6</v>
      </c>
      <c r="AL39" s="244" t="s">
        <v>6</v>
      </c>
      <c r="AM39" s="244" t="s">
        <v>6</v>
      </c>
      <c r="AN39" s="244" t="s">
        <v>6</v>
      </c>
      <c r="AO39" s="244" t="s">
        <v>6</v>
      </c>
      <c r="AP39" s="244" t="s">
        <v>6</v>
      </c>
      <c r="AQ39" s="244" t="s">
        <v>6</v>
      </c>
      <c r="AR39" s="244" t="s">
        <v>6</v>
      </c>
      <c r="AS39" s="244" t="s">
        <v>6</v>
      </c>
      <c r="AT39" s="244" t="s">
        <v>6</v>
      </c>
      <c r="AU39" s="244" t="s">
        <v>6</v>
      </c>
      <c r="AV39" s="244" t="s">
        <v>6</v>
      </c>
      <c r="AW39" s="244" t="s">
        <v>6</v>
      </c>
      <c r="AX39" s="244" t="s">
        <v>6</v>
      </c>
      <c r="AY39" s="244" t="s">
        <v>6</v>
      </c>
      <c r="AZ39" s="244" t="s">
        <v>6</v>
      </c>
      <c r="BA39" s="244" t="s">
        <v>6</v>
      </c>
      <c r="BB39" s="244" t="s">
        <v>6</v>
      </c>
      <c r="BC39" s="244" t="s">
        <v>6</v>
      </c>
      <c r="BD39" s="244" t="s">
        <v>6</v>
      </c>
      <c r="BE39" s="244" t="s">
        <v>6</v>
      </c>
      <c r="BF39" s="244" t="s">
        <v>6</v>
      </c>
      <c r="BG39" s="244" t="s">
        <v>6</v>
      </c>
      <c r="BH39" s="244" t="s">
        <v>6</v>
      </c>
      <c r="BI39" s="244" t="s">
        <v>6</v>
      </c>
      <c r="BJ39" s="244" t="s">
        <v>6</v>
      </c>
      <c r="BK39" s="244" t="s">
        <v>6</v>
      </c>
      <c r="BL39" s="244" t="s">
        <v>6</v>
      </c>
      <c r="BM39" s="244" t="s">
        <v>6</v>
      </c>
      <c r="BN39" s="244" t="s">
        <v>6</v>
      </c>
      <c r="BO39" s="244" t="s">
        <v>6</v>
      </c>
      <c r="BP39" s="244" t="s">
        <v>6</v>
      </c>
      <c r="BQ39" s="244" t="s">
        <v>6</v>
      </c>
      <c r="BR39" s="244" t="s">
        <v>6</v>
      </c>
      <c r="BS39" s="244" t="s">
        <v>6</v>
      </c>
      <c r="BT39" s="244" t="s">
        <v>6</v>
      </c>
      <c r="BU39" s="244" t="s">
        <v>6</v>
      </c>
      <c r="BV39" s="244" t="s">
        <v>6</v>
      </c>
      <c r="BW39" s="244" t="s">
        <v>6</v>
      </c>
      <c r="BX39" s="244" t="s">
        <v>6</v>
      </c>
      <c r="BY39" s="244" t="s">
        <v>6</v>
      </c>
      <c r="BZ39" s="244" t="s">
        <v>6</v>
      </c>
      <c r="CA39" s="244" t="s">
        <v>6</v>
      </c>
      <c r="CB39" s="244" t="s">
        <v>6</v>
      </c>
      <c r="CC39" s="244" t="s">
        <v>6</v>
      </c>
      <c r="CD39" s="244" t="s">
        <v>6</v>
      </c>
      <c r="CE39" s="244" t="s">
        <v>6</v>
      </c>
      <c r="CF39" s="244" t="s">
        <v>6</v>
      </c>
      <c r="CG39" s="244" t="s">
        <v>6</v>
      </c>
      <c r="CH39" s="244" t="s">
        <v>6</v>
      </c>
      <c r="CI39" s="244" t="s">
        <v>6</v>
      </c>
      <c r="CJ39" s="244" t="s">
        <v>6</v>
      </c>
      <c r="CK39" s="244" t="s">
        <v>6</v>
      </c>
      <c r="CL39" s="244" t="s">
        <v>6</v>
      </c>
      <c r="CM39" s="244" t="s">
        <v>6</v>
      </c>
      <c r="CN39" s="244" t="s">
        <v>6</v>
      </c>
      <c r="CO39" s="244" t="s">
        <v>6</v>
      </c>
      <c r="CP39" s="244" t="s">
        <v>6</v>
      </c>
      <c r="CQ39" s="244" t="s">
        <v>6</v>
      </c>
      <c r="CR39" s="244" t="s">
        <v>6</v>
      </c>
      <c r="CS39" s="244" t="s">
        <v>6</v>
      </c>
      <c r="CT39" s="244" t="s">
        <v>6</v>
      </c>
      <c r="CU39" s="244" t="s">
        <v>6</v>
      </c>
      <c r="CV39" s="244" t="s">
        <v>6</v>
      </c>
      <c r="CW39" s="244" t="s">
        <v>6</v>
      </c>
      <c r="CX39" s="244" t="s">
        <v>6</v>
      </c>
      <c r="CY39" s="244" t="s">
        <v>6</v>
      </c>
      <c r="CZ39" s="244" t="s">
        <v>6</v>
      </c>
      <c r="DA39" s="244" t="s">
        <v>6</v>
      </c>
      <c r="DB39" s="244" t="s">
        <v>6</v>
      </c>
      <c r="DC39" s="244" t="s">
        <v>6</v>
      </c>
      <c r="DD39" s="244" t="s">
        <v>6</v>
      </c>
      <c r="DE39" s="244" t="s">
        <v>6</v>
      </c>
      <c r="DF39" s="244" t="s">
        <v>6</v>
      </c>
      <c r="DG39" s="244" t="s">
        <v>6</v>
      </c>
      <c r="DH39" s="244" t="s">
        <v>6</v>
      </c>
      <c r="DI39" s="244" t="s">
        <v>6</v>
      </c>
      <c r="DJ39" s="244" t="s">
        <v>6</v>
      </c>
      <c r="DK39" s="244" t="s">
        <v>6</v>
      </c>
      <c r="DL39" s="244" t="s">
        <v>6</v>
      </c>
      <c r="DM39" s="244" t="s">
        <v>6</v>
      </c>
      <c r="DN39" s="244" t="s">
        <v>6</v>
      </c>
      <c r="DO39" s="244" t="s">
        <v>6</v>
      </c>
      <c r="DP39" s="244" t="s">
        <v>6</v>
      </c>
      <c r="DQ39" s="244" t="s">
        <v>6</v>
      </c>
      <c r="DR39" s="244" t="s">
        <v>6</v>
      </c>
      <c r="DS39" s="244" t="s">
        <v>6</v>
      </c>
      <c r="DT39" s="244" t="s">
        <v>6</v>
      </c>
      <c r="DU39" s="244" t="s">
        <v>6</v>
      </c>
      <c r="DV39" s="244" t="s">
        <v>6</v>
      </c>
      <c r="DW39" s="244" t="s">
        <v>6</v>
      </c>
      <c r="DX39" s="244" t="s">
        <v>6</v>
      </c>
      <c r="DY39" s="244" t="s">
        <v>6</v>
      </c>
      <c r="DZ39" s="244" t="s">
        <v>6</v>
      </c>
      <c r="EA39" s="244" t="s">
        <v>6</v>
      </c>
      <c r="EB39" s="244" t="s">
        <v>6</v>
      </c>
      <c r="EC39" s="244" t="s">
        <v>6</v>
      </c>
      <c r="ED39" s="244" t="s">
        <v>6</v>
      </c>
      <c r="EE39" s="244" t="s">
        <v>6</v>
      </c>
      <c r="EF39" s="244" t="s">
        <v>6</v>
      </c>
      <c r="EG39" s="244" t="s">
        <v>6</v>
      </c>
      <c r="EH39" s="244" t="s">
        <v>6</v>
      </c>
      <c r="EI39" s="244" t="s">
        <v>6</v>
      </c>
      <c r="EJ39" s="244" t="s">
        <v>6</v>
      </c>
      <c r="EK39" s="244" t="s">
        <v>6</v>
      </c>
      <c r="EL39" s="244" t="s">
        <v>6</v>
      </c>
      <c r="EM39" s="244" t="s">
        <v>6</v>
      </c>
      <c r="EN39" s="244" t="s">
        <v>6</v>
      </c>
      <c r="EO39" s="244" t="s">
        <v>6</v>
      </c>
      <c r="EP39" s="244" t="s">
        <v>6</v>
      </c>
      <c r="EQ39" s="244" t="s">
        <v>6</v>
      </c>
      <c r="ER39" s="244" t="s">
        <v>6</v>
      </c>
      <c r="ES39" s="244" t="s">
        <v>6</v>
      </c>
      <c r="ET39" s="244" t="s">
        <v>6</v>
      </c>
      <c r="EU39" s="244" t="s">
        <v>6</v>
      </c>
      <c r="EV39" s="244" t="s">
        <v>6</v>
      </c>
      <c r="EW39" s="244" t="s">
        <v>6</v>
      </c>
      <c r="EX39" s="244" t="s">
        <v>6</v>
      </c>
    </row>
    <row r="40" spans="1:154" ht="13.5">
      <c r="A40" s="240" t="s">
        <v>6</v>
      </c>
      <c r="B40" s="241" t="s">
        <v>6</v>
      </c>
      <c r="C40" s="244" t="s">
        <v>128</v>
      </c>
      <c r="D40" s="244"/>
      <c r="E40" s="244"/>
      <c r="F40" s="260" t="s">
        <v>102</v>
      </c>
      <c r="G40" s="232" t="s">
        <v>6</v>
      </c>
      <c r="H40" s="260" t="s">
        <v>103</v>
      </c>
      <c r="I40" s="232" t="s">
        <v>6</v>
      </c>
      <c r="J40" s="245" t="s">
        <v>129</v>
      </c>
      <c r="K40" s="244" t="s">
        <v>6</v>
      </c>
      <c r="L40" s="265" t="s">
        <v>6</v>
      </c>
      <c r="M40" s="244" t="s">
        <v>113</v>
      </c>
      <c r="N40" s="269" t="s">
        <v>130</v>
      </c>
      <c r="O40" s="266" t="s">
        <v>6</v>
      </c>
      <c r="P40" s="244">
        <v>-385.69900000000001</v>
      </c>
      <c r="Q40" s="244" t="s">
        <v>6</v>
      </c>
      <c r="R40" s="244" t="s">
        <v>6</v>
      </c>
      <c r="S40" s="244" t="s">
        <v>6</v>
      </c>
      <c r="T40" s="244" t="s">
        <v>6</v>
      </c>
      <c r="U40" s="244" t="s">
        <v>6</v>
      </c>
      <c r="V40" s="244" t="s">
        <v>6</v>
      </c>
      <c r="W40" s="244" t="s">
        <v>6</v>
      </c>
      <c r="X40" s="244" t="s">
        <v>6</v>
      </c>
      <c r="Y40" s="244" t="s">
        <v>6</v>
      </c>
      <c r="Z40" s="244" t="s">
        <v>6</v>
      </c>
      <c r="AA40" s="244" t="s">
        <v>6</v>
      </c>
      <c r="AB40" s="244" t="s">
        <v>6</v>
      </c>
      <c r="AC40" s="244" t="s">
        <v>6</v>
      </c>
      <c r="AD40" s="244" t="s">
        <v>6</v>
      </c>
      <c r="AE40" s="244" t="s">
        <v>6</v>
      </c>
      <c r="AF40" s="244" t="s">
        <v>6</v>
      </c>
      <c r="AG40" s="244" t="s">
        <v>6</v>
      </c>
      <c r="AH40" s="244" t="s">
        <v>6</v>
      </c>
      <c r="AI40" s="244" t="s">
        <v>6</v>
      </c>
      <c r="AJ40" s="244" t="s">
        <v>6</v>
      </c>
      <c r="AK40" s="244" t="s">
        <v>6</v>
      </c>
      <c r="AL40" s="244" t="s">
        <v>6</v>
      </c>
      <c r="AM40" s="244" t="s">
        <v>6</v>
      </c>
      <c r="AN40" s="244" t="s">
        <v>6</v>
      </c>
      <c r="AO40" s="244" t="s">
        <v>6</v>
      </c>
      <c r="AP40" s="244" t="s">
        <v>6</v>
      </c>
      <c r="AQ40" s="244" t="s">
        <v>6</v>
      </c>
      <c r="AR40" s="244" t="s">
        <v>6</v>
      </c>
      <c r="AS40" s="244" t="s">
        <v>6</v>
      </c>
      <c r="AT40" s="244" t="s">
        <v>6</v>
      </c>
      <c r="AU40" s="244" t="s">
        <v>6</v>
      </c>
      <c r="AV40" s="244" t="s">
        <v>6</v>
      </c>
      <c r="AW40" s="244" t="s">
        <v>6</v>
      </c>
      <c r="AX40" s="244" t="s">
        <v>6</v>
      </c>
      <c r="AY40" s="244" t="s">
        <v>6</v>
      </c>
      <c r="AZ40" s="244" t="s">
        <v>6</v>
      </c>
      <c r="BA40" s="244" t="s">
        <v>6</v>
      </c>
      <c r="BB40" s="244" t="s">
        <v>6</v>
      </c>
      <c r="BC40" s="244" t="s">
        <v>6</v>
      </c>
      <c r="BD40" s="244" t="s">
        <v>6</v>
      </c>
      <c r="BE40" s="244" t="s">
        <v>6</v>
      </c>
      <c r="BF40" s="244" t="s">
        <v>6</v>
      </c>
      <c r="BG40" s="244" t="s">
        <v>6</v>
      </c>
      <c r="BH40" s="244" t="s">
        <v>6</v>
      </c>
      <c r="BI40" s="244" t="s">
        <v>6</v>
      </c>
      <c r="BJ40" s="244" t="s">
        <v>6</v>
      </c>
      <c r="BK40" s="244" t="s">
        <v>6</v>
      </c>
      <c r="BL40" s="244" t="s">
        <v>6</v>
      </c>
      <c r="BM40" s="244" t="s">
        <v>6</v>
      </c>
      <c r="BN40" s="244" t="s">
        <v>6</v>
      </c>
      <c r="BO40" s="244" t="s">
        <v>6</v>
      </c>
      <c r="BP40" s="244" t="s">
        <v>6</v>
      </c>
      <c r="BQ40" s="244" t="s">
        <v>6</v>
      </c>
      <c r="BR40" s="244" t="s">
        <v>6</v>
      </c>
      <c r="BS40" s="244" t="s">
        <v>6</v>
      </c>
      <c r="BT40" s="244" t="s">
        <v>6</v>
      </c>
      <c r="BU40" s="244" t="s">
        <v>6</v>
      </c>
      <c r="BV40" s="244" t="s">
        <v>6</v>
      </c>
      <c r="BW40" s="244" t="s">
        <v>6</v>
      </c>
      <c r="BX40" s="244" t="s">
        <v>6</v>
      </c>
      <c r="BY40" s="244" t="s">
        <v>6</v>
      </c>
      <c r="BZ40" s="244" t="s">
        <v>6</v>
      </c>
      <c r="CA40" s="244" t="s">
        <v>6</v>
      </c>
      <c r="CB40" s="244" t="s">
        <v>6</v>
      </c>
      <c r="CC40" s="244" t="s">
        <v>6</v>
      </c>
      <c r="CD40" s="244" t="s">
        <v>6</v>
      </c>
      <c r="CE40" s="244" t="s">
        <v>6</v>
      </c>
      <c r="CF40" s="244" t="s">
        <v>6</v>
      </c>
      <c r="CG40" s="244" t="s">
        <v>6</v>
      </c>
      <c r="CH40" s="244" t="s">
        <v>6</v>
      </c>
      <c r="CI40" s="244" t="s">
        <v>6</v>
      </c>
      <c r="CJ40" s="244" t="s">
        <v>6</v>
      </c>
      <c r="CK40" s="244" t="s">
        <v>6</v>
      </c>
      <c r="CL40" s="244" t="s">
        <v>6</v>
      </c>
      <c r="CM40" s="244" t="s">
        <v>6</v>
      </c>
      <c r="CN40" s="244" t="s">
        <v>6</v>
      </c>
      <c r="CO40" s="244" t="s">
        <v>6</v>
      </c>
      <c r="CP40" s="244" t="s">
        <v>6</v>
      </c>
      <c r="CQ40" s="244" t="s">
        <v>6</v>
      </c>
      <c r="CR40" s="244" t="s">
        <v>6</v>
      </c>
      <c r="CS40" s="244" t="s">
        <v>6</v>
      </c>
      <c r="CT40" s="244" t="s">
        <v>6</v>
      </c>
      <c r="CU40" s="244" t="s">
        <v>6</v>
      </c>
      <c r="CV40" s="244" t="s">
        <v>6</v>
      </c>
      <c r="CW40" s="244" t="s">
        <v>6</v>
      </c>
      <c r="CX40" s="244" t="s">
        <v>6</v>
      </c>
      <c r="CY40" s="244" t="s">
        <v>6</v>
      </c>
      <c r="CZ40" s="244" t="s">
        <v>6</v>
      </c>
      <c r="DA40" s="244" t="s">
        <v>6</v>
      </c>
      <c r="DB40" s="244" t="s">
        <v>6</v>
      </c>
      <c r="DC40" s="244" t="s">
        <v>6</v>
      </c>
      <c r="DD40" s="244" t="s">
        <v>6</v>
      </c>
      <c r="DE40" s="244" t="s">
        <v>6</v>
      </c>
      <c r="DF40" s="244" t="s">
        <v>6</v>
      </c>
      <c r="DG40" s="244" t="s">
        <v>6</v>
      </c>
      <c r="DH40" s="244" t="s">
        <v>6</v>
      </c>
      <c r="DI40" s="244" t="s">
        <v>6</v>
      </c>
      <c r="DJ40" s="244" t="s">
        <v>6</v>
      </c>
      <c r="DK40" s="244" t="s">
        <v>6</v>
      </c>
      <c r="DL40" s="244" t="s">
        <v>6</v>
      </c>
      <c r="DM40" s="244" t="s">
        <v>6</v>
      </c>
      <c r="DN40" s="244" t="s">
        <v>6</v>
      </c>
      <c r="DO40" s="244" t="s">
        <v>6</v>
      </c>
      <c r="DP40" s="244" t="s">
        <v>6</v>
      </c>
      <c r="DQ40" s="244" t="s">
        <v>6</v>
      </c>
      <c r="DR40" s="244" t="s">
        <v>6</v>
      </c>
      <c r="DS40" s="244" t="s">
        <v>6</v>
      </c>
      <c r="DT40" s="244" t="s">
        <v>6</v>
      </c>
      <c r="DU40" s="244" t="s">
        <v>6</v>
      </c>
      <c r="DV40" s="244" t="s">
        <v>6</v>
      </c>
      <c r="DW40" s="244" t="s">
        <v>6</v>
      </c>
      <c r="DX40" s="244" t="s">
        <v>6</v>
      </c>
      <c r="DY40" s="244" t="s">
        <v>6</v>
      </c>
      <c r="DZ40" s="244" t="s">
        <v>6</v>
      </c>
      <c r="EA40" s="244" t="s">
        <v>6</v>
      </c>
      <c r="EB40" s="244" t="s">
        <v>6</v>
      </c>
      <c r="EC40" s="244" t="s">
        <v>6</v>
      </c>
      <c r="ED40" s="244" t="s">
        <v>6</v>
      </c>
      <c r="EE40" s="244" t="s">
        <v>6</v>
      </c>
      <c r="EF40" s="244" t="s">
        <v>6</v>
      </c>
      <c r="EG40" s="244" t="s">
        <v>6</v>
      </c>
      <c r="EH40" s="244" t="s">
        <v>6</v>
      </c>
      <c r="EI40" s="244" t="s">
        <v>6</v>
      </c>
      <c r="EJ40" s="244" t="s">
        <v>6</v>
      </c>
      <c r="EK40" s="244" t="s">
        <v>6</v>
      </c>
      <c r="EL40" s="244" t="s">
        <v>6</v>
      </c>
      <c r="EM40" s="244" t="s">
        <v>6</v>
      </c>
      <c r="EN40" s="244" t="s">
        <v>6</v>
      </c>
      <c r="EO40" s="244" t="s">
        <v>6</v>
      </c>
      <c r="EP40" s="244" t="s">
        <v>6</v>
      </c>
      <c r="EQ40" s="244" t="s">
        <v>6</v>
      </c>
      <c r="ER40" s="244" t="s">
        <v>6</v>
      </c>
      <c r="ES40" s="244" t="s">
        <v>6</v>
      </c>
      <c r="ET40" s="244" t="s">
        <v>6</v>
      </c>
      <c r="EU40" s="244" t="s">
        <v>6</v>
      </c>
      <c r="EV40" s="244" t="s">
        <v>6</v>
      </c>
      <c r="EW40" s="244" t="s">
        <v>6</v>
      </c>
      <c r="EX40" s="244" t="s">
        <v>6</v>
      </c>
    </row>
    <row r="41" spans="1:154" ht="13.5">
      <c r="A41" s="240" t="s">
        <v>6</v>
      </c>
      <c r="B41" s="241" t="s">
        <v>6</v>
      </c>
      <c r="C41" s="244" t="s">
        <v>131</v>
      </c>
      <c r="D41" s="244"/>
      <c r="E41" s="244"/>
      <c r="F41" s="267" t="s">
        <v>102</v>
      </c>
      <c r="G41" s="253" t="s">
        <v>6</v>
      </c>
      <c r="H41" s="267" t="s">
        <v>103</v>
      </c>
      <c r="I41" s="232" t="s">
        <v>6</v>
      </c>
      <c r="J41" s="245" t="s">
        <v>6</v>
      </c>
      <c r="K41" s="244" t="s">
        <v>6</v>
      </c>
      <c r="L41" s="265" t="s">
        <v>6</v>
      </c>
      <c r="M41" s="244" t="s">
        <v>119</v>
      </c>
      <c r="N41" s="269" t="s">
        <v>132</v>
      </c>
      <c r="O41" s="266" t="s">
        <v>6</v>
      </c>
      <c r="P41" s="244">
        <v>536.072</v>
      </c>
      <c r="Q41" s="244" t="s">
        <v>6</v>
      </c>
      <c r="R41" s="244" t="s">
        <v>6</v>
      </c>
      <c r="S41" s="245" t="s">
        <v>6</v>
      </c>
      <c r="T41" s="244" t="s">
        <v>6</v>
      </c>
      <c r="U41" s="244" t="s">
        <v>6</v>
      </c>
      <c r="V41" s="244" t="s">
        <v>6</v>
      </c>
      <c r="W41" s="244" t="s">
        <v>6</v>
      </c>
      <c r="X41" s="244" t="s">
        <v>6</v>
      </c>
      <c r="Y41" s="244" t="s">
        <v>6</v>
      </c>
      <c r="Z41" s="244" t="s">
        <v>6</v>
      </c>
      <c r="AA41" s="244" t="s">
        <v>6</v>
      </c>
      <c r="AB41" s="244" t="s">
        <v>6</v>
      </c>
      <c r="AC41" s="244" t="s">
        <v>6</v>
      </c>
      <c r="AD41" s="244" t="s">
        <v>6</v>
      </c>
      <c r="AE41" s="244" t="s">
        <v>6</v>
      </c>
      <c r="AF41" s="244" t="s">
        <v>6</v>
      </c>
      <c r="AG41" s="244" t="s">
        <v>6</v>
      </c>
      <c r="AH41" s="244" t="s">
        <v>6</v>
      </c>
      <c r="AI41" s="244" t="s">
        <v>6</v>
      </c>
      <c r="AJ41" s="244" t="s">
        <v>6</v>
      </c>
      <c r="AK41" s="244" t="s">
        <v>6</v>
      </c>
      <c r="AL41" s="244" t="s">
        <v>6</v>
      </c>
      <c r="AM41" s="244" t="s">
        <v>6</v>
      </c>
      <c r="AN41" s="244" t="s">
        <v>6</v>
      </c>
      <c r="AO41" s="244" t="s">
        <v>6</v>
      </c>
      <c r="AP41" s="244" t="s">
        <v>6</v>
      </c>
      <c r="AQ41" s="244" t="s">
        <v>6</v>
      </c>
      <c r="AR41" s="244" t="s">
        <v>6</v>
      </c>
      <c r="AS41" s="244" t="s">
        <v>6</v>
      </c>
      <c r="AT41" s="244" t="s">
        <v>6</v>
      </c>
      <c r="AU41" s="244" t="s">
        <v>6</v>
      </c>
      <c r="AV41" s="244" t="s">
        <v>6</v>
      </c>
      <c r="AW41" s="244" t="s">
        <v>6</v>
      </c>
      <c r="AX41" s="244" t="s">
        <v>6</v>
      </c>
      <c r="AY41" s="244" t="s">
        <v>6</v>
      </c>
      <c r="AZ41" s="244" t="s">
        <v>6</v>
      </c>
      <c r="BA41" s="244" t="s">
        <v>6</v>
      </c>
      <c r="BB41" s="244" t="s">
        <v>6</v>
      </c>
      <c r="BC41" s="244" t="s">
        <v>6</v>
      </c>
      <c r="BD41" s="244" t="s">
        <v>6</v>
      </c>
      <c r="BE41" s="244" t="s">
        <v>6</v>
      </c>
      <c r="BF41" s="244" t="s">
        <v>6</v>
      </c>
      <c r="BG41" s="244" t="s">
        <v>6</v>
      </c>
      <c r="BH41" s="244" t="s">
        <v>6</v>
      </c>
      <c r="BI41" s="244" t="s">
        <v>6</v>
      </c>
      <c r="BJ41" s="244" t="s">
        <v>6</v>
      </c>
      <c r="BK41" s="244" t="s">
        <v>6</v>
      </c>
      <c r="BL41" s="244" t="s">
        <v>6</v>
      </c>
      <c r="BM41" s="244" t="s">
        <v>6</v>
      </c>
      <c r="BN41" s="244" t="s">
        <v>6</v>
      </c>
      <c r="BO41" s="244" t="s">
        <v>6</v>
      </c>
      <c r="BP41" s="244" t="s">
        <v>6</v>
      </c>
      <c r="BQ41" s="244" t="s">
        <v>6</v>
      </c>
      <c r="BR41" s="244" t="s">
        <v>6</v>
      </c>
      <c r="BS41" s="244" t="s">
        <v>6</v>
      </c>
      <c r="BT41" s="244" t="s">
        <v>6</v>
      </c>
      <c r="BU41" s="244" t="s">
        <v>6</v>
      </c>
      <c r="BV41" s="244" t="s">
        <v>6</v>
      </c>
      <c r="BW41" s="244" t="s">
        <v>6</v>
      </c>
      <c r="BX41" s="244" t="s">
        <v>6</v>
      </c>
      <c r="BY41" s="244" t="s">
        <v>6</v>
      </c>
      <c r="BZ41" s="244" t="s">
        <v>6</v>
      </c>
      <c r="CA41" s="244" t="s">
        <v>6</v>
      </c>
      <c r="CB41" s="244" t="s">
        <v>6</v>
      </c>
      <c r="CC41" s="244" t="s">
        <v>6</v>
      </c>
      <c r="CD41" s="244" t="s">
        <v>6</v>
      </c>
      <c r="CE41" s="244" t="s">
        <v>6</v>
      </c>
      <c r="CF41" s="244" t="s">
        <v>6</v>
      </c>
      <c r="CG41" s="244" t="s">
        <v>6</v>
      </c>
      <c r="CH41" s="244" t="s">
        <v>6</v>
      </c>
      <c r="CI41" s="244" t="s">
        <v>6</v>
      </c>
      <c r="CJ41" s="244" t="s">
        <v>6</v>
      </c>
      <c r="CK41" s="244" t="s">
        <v>6</v>
      </c>
      <c r="CL41" s="244" t="s">
        <v>6</v>
      </c>
      <c r="CM41" s="244" t="s">
        <v>6</v>
      </c>
      <c r="CN41" s="244" t="s">
        <v>6</v>
      </c>
      <c r="CO41" s="244" t="s">
        <v>6</v>
      </c>
      <c r="CP41" s="244" t="s">
        <v>6</v>
      </c>
      <c r="CQ41" s="244" t="s">
        <v>6</v>
      </c>
      <c r="CR41" s="244" t="s">
        <v>6</v>
      </c>
      <c r="CS41" s="244" t="s">
        <v>6</v>
      </c>
      <c r="CT41" s="244" t="s">
        <v>6</v>
      </c>
      <c r="CU41" s="244" t="s">
        <v>6</v>
      </c>
      <c r="CV41" s="244" t="s">
        <v>6</v>
      </c>
      <c r="CW41" s="244" t="s">
        <v>6</v>
      </c>
      <c r="CX41" s="244" t="s">
        <v>6</v>
      </c>
      <c r="CY41" s="244" t="s">
        <v>6</v>
      </c>
      <c r="CZ41" s="244" t="s">
        <v>6</v>
      </c>
      <c r="DA41" s="244" t="s">
        <v>6</v>
      </c>
      <c r="DB41" s="244" t="s">
        <v>6</v>
      </c>
      <c r="DC41" s="244" t="s">
        <v>6</v>
      </c>
      <c r="DD41" s="244" t="s">
        <v>6</v>
      </c>
      <c r="DE41" s="244" t="s">
        <v>6</v>
      </c>
      <c r="DF41" s="244" t="s">
        <v>6</v>
      </c>
      <c r="DG41" s="244" t="s">
        <v>6</v>
      </c>
      <c r="DH41" s="244" t="s">
        <v>6</v>
      </c>
      <c r="DI41" s="244" t="s">
        <v>6</v>
      </c>
      <c r="DJ41" s="244" t="s">
        <v>6</v>
      </c>
      <c r="DK41" s="244" t="s">
        <v>6</v>
      </c>
      <c r="DL41" s="244" t="s">
        <v>6</v>
      </c>
      <c r="DM41" s="244" t="s">
        <v>6</v>
      </c>
      <c r="DN41" s="244" t="s">
        <v>6</v>
      </c>
      <c r="DO41" s="244" t="s">
        <v>6</v>
      </c>
      <c r="DP41" s="244" t="s">
        <v>6</v>
      </c>
      <c r="DQ41" s="244" t="s">
        <v>6</v>
      </c>
      <c r="DR41" s="244" t="s">
        <v>6</v>
      </c>
      <c r="DS41" s="244" t="s">
        <v>6</v>
      </c>
      <c r="DT41" s="244" t="s">
        <v>6</v>
      </c>
      <c r="DU41" s="244" t="s">
        <v>6</v>
      </c>
      <c r="DV41" s="244" t="s">
        <v>6</v>
      </c>
      <c r="DW41" s="244" t="s">
        <v>6</v>
      </c>
      <c r="DX41" s="244" t="s">
        <v>6</v>
      </c>
      <c r="DY41" s="244" t="s">
        <v>6</v>
      </c>
      <c r="DZ41" s="244" t="s">
        <v>6</v>
      </c>
      <c r="EA41" s="244" t="s">
        <v>6</v>
      </c>
      <c r="EB41" s="244" t="s">
        <v>6</v>
      </c>
      <c r="EC41" s="244" t="s">
        <v>6</v>
      </c>
      <c r="ED41" s="244" t="s">
        <v>6</v>
      </c>
      <c r="EE41" s="244" t="s">
        <v>6</v>
      </c>
      <c r="EF41" s="244" t="s">
        <v>6</v>
      </c>
      <c r="EG41" s="244" t="s">
        <v>6</v>
      </c>
      <c r="EH41" s="244" t="s">
        <v>6</v>
      </c>
      <c r="EI41" s="244" t="s">
        <v>6</v>
      </c>
      <c r="EJ41" s="244" t="s">
        <v>6</v>
      </c>
      <c r="EK41" s="244" t="s">
        <v>6</v>
      </c>
      <c r="EL41" s="244" t="s">
        <v>6</v>
      </c>
      <c r="EM41" s="244" t="s">
        <v>6</v>
      </c>
      <c r="EN41" s="244" t="s">
        <v>6</v>
      </c>
      <c r="EO41" s="244" t="s">
        <v>6</v>
      </c>
      <c r="EP41" s="244" t="s">
        <v>6</v>
      </c>
      <c r="EQ41" s="244" t="s">
        <v>6</v>
      </c>
      <c r="ER41" s="244" t="s">
        <v>6</v>
      </c>
      <c r="ES41" s="244" t="s">
        <v>6</v>
      </c>
      <c r="ET41" s="244" t="s">
        <v>6</v>
      </c>
      <c r="EU41" s="244" t="s">
        <v>6</v>
      </c>
      <c r="EV41" s="244" t="s">
        <v>6</v>
      </c>
      <c r="EW41" s="244" t="s">
        <v>6</v>
      </c>
      <c r="EX41" s="244" t="s">
        <v>6</v>
      </c>
    </row>
    <row r="42" spans="1:154" ht="13.5">
      <c r="A42" s="240" t="s">
        <v>6</v>
      </c>
      <c r="B42" s="241" t="s">
        <v>6</v>
      </c>
      <c r="C42" s="245" t="s">
        <v>133</v>
      </c>
      <c r="D42" s="245"/>
      <c r="E42" s="245"/>
      <c r="F42" s="247" t="s">
        <v>125</v>
      </c>
      <c r="G42" s="247" t="s">
        <v>6</v>
      </c>
      <c r="H42" s="247" t="s">
        <v>126</v>
      </c>
      <c r="I42" s="232" t="s">
        <v>6</v>
      </c>
      <c r="J42" s="245" t="s">
        <v>6</v>
      </c>
      <c r="K42" s="244" t="s">
        <v>6</v>
      </c>
      <c r="L42" s="265" t="s">
        <v>6</v>
      </c>
      <c r="M42" s="244" t="s">
        <v>6</v>
      </c>
      <c r="N42" s="269" t="s">
        <v>134</v>
      </c>
      <c r="O42" s="266" t="s">
        <v>6</v>
      </c>
      <c r="P42" s="244" t="s">
        <v>6</v>
      </c>
      <c r="Q42" s="244" t="s">
        <v>6</v>
      </c>
      <c r="R42" s="244" t="s">
        <v>6</v>
      </c>
      <c r="S42" s="244" t="s">
        <v>6</v>
      </c>
      <c r="T42" s="244" t="s">
        <v>6</v>
      </c>
      <c r="U42" s="244" t="s">
        <v>6</v>
      </c>
      <c r="V42" s="244" t="s">
        <v>6</v>
      </c>
      <c r="W42" s="244" t="s">
        <v>6</v>
      </c>
      <c r="X42" s="244" t="s">
        <v>6</v>
      </c>
      <c r="Y42" s="244" t="s">
        <v>6</v>
      </c>
      <c r="Z42" s="244" t="s">
        <v>6</v>
      </c>
      <c r="AA42" s="244" t="s">
        <v>6</v>
      </c>
      <c r="AB42" s="244" t="s">
        <v>6</v>
      </c>
      <c r="AC42" s="244" t="s">
        <v>6</v>
      </c>
      <c r="AD42" s="244" t="s">
        <v>6</v>
      </c>
      <c r="AE42" s="244" t="s">
        <v>6</v>
      </c>
      <c r="AF42" s="244" t="s">
        <v>6</v>
      </c>
      <c r="AG42" s="244" t="s">
        <v>6</v>
      </c>
      <c r="AH42" s="244" t="s">
        <v>6</v>
      </c>
      <c r="AI42" s="244" t="s">
        <v>6</v>
      </c>
      <c r="AJ42" s="244" t="s">
        <v>6</v>
      </c>
      <c r="AK42" s="244" t="s">
        <v>6</v>
      </c>
      <c r="AL42" s="244" t="s">
        <v>6</v>
      </c>
      <c r="AM42" s="244" t="s">
        <v>6</v>
      </c>
      <c r="AN42" s="244" t="s">
        <v>6</v>
      </c>
      <c r="AO42" s="244" t="s">
        <v>6</v>
      </c>
      <c r="AP42" s="244" t="s">
        <v>6</v>
      </c>
      <c r="AQ42" s="244" t="s">
        <v>6</v>
      </c>
      <c r="AR42" s="244" t="s">
        <v>6</v>
      </c>
      <c r="AS42" s="244" t="s">
        <v>6</v>
      </c>
      <c r="AT42" s="244" t="s">
        <v>6</v>
      </c>
      <c r="AU42" s="244" t="s">
        <v>6</v>
      </c>
      <c r="AV42" s="244" t="s">
        <v>6</v>
      </c>
      <c r="AW42" s="244" t="s">
        <v>6</v>
      </c>
      <c r="AX42" s="244" t="s">
        <v>6</v>
      </c>
      <c r="AY42" s="244" t="s">
        <v>6</v>
      </c>
      <c r="AZ42" s="244" t="s">
        <v>6</v>
      </c>
      <c r="BA42" s="244" t="s">
        <v>6</v>
      </c>
      <c r="BB42" s="244" t="s">
        <v>6</v>
      </c>
      <c r="BC42" s="244" t="s">
        <v>6</v>
      </c>
      <c r="BD42" s="244" t="s">
        <v>6</v>
      </c>
      <c r="BE42" s="244" t="s">
        <v>6</v>
      </c>
      <c r="BF42" s="244" t="s">
        <v>6</v>
      </c>
      <c r="BG42" s="244" t="s">
        <v>6</v>
      </c>
      <c r="BH42" s="244" t="s">
        <v>6</v>
      </c>
      <c r="BI42" s="244" t="s">
        <v>6</v>
      </c>
      <c r="BJ42" s="244" t="s">
        <v>6</v>
      </c>
      <c r="BK42" s="244" t="s">
        <v>6</v>
      </c>
      <c r="BL42" s="244" t="s">
        <v>6</v>
      </c>
      <c r="BM42" s="244" t="s">
        <v>6</v>
      </c>
      <c r="BN42" s="244" t="s">
        <v>6</v>
      </c>
      <c r="BO42" s="244" t="s">
        <v>6</v>
      </c>
      <c r="BP42" s="244" t="s">
        <v>6</v>
      </c>
      <c r="BQ42" s="244" t="s">
        <v>6</v>
      </c>
      <c r="BR42" s="244" t="s">
        <v>6</v>
      </c>
      <c r="BS42" s="244" t="s">
        <v>6</v>
      </c>
      <c r="BT42" s="244" t="s">
        <v>6</v>
      </c>
      <c r="BU42" s="244" t="s">
        <v>6</v>
      </c>
      <c r="BV42" s="244" t="s">
        <v>6</v>
      </c>
      <c r="BW42" s="244" t="s">
        <v>6</v>
      </c>
      <c r="BX42" s="244" t="s">
        <v>6</v>
      </c>
      <c r="BY42" s="244" t="s">
        <v>6</v>
      </c>
      <c r="BZ42" s="244" t="s">
        <v>6</v>
      </c>
      <c r="CA42" s="244" t="s">
        <v>6</v>
      </c>
      <c r="CB42" s="244" t="s">
        <v>6</v>
      </c>
      <c r="CC42" s="244" t="s">
        <v>6</v>
      </c>
      <c r="CD42" s="244" t="s">
        <v>6</v>
      </c>
      <c r="CE42" s="244" t="s">
        <v>6</v>
      </c>
      <c r="CF42" s="244" t="s">
        <v>6</v>
      </c>
      <c r="CG42" s="244" t="s">
        <v>6</v>
      </c>
      <c r="CH42" s="244" t="s">
        <v>6</v>
      </c>
      <c r="CI42" s="244" t="s">
        <v>6</v>
      </c>
      <c r="CJ42" s="244" t="s">
        <v>6</v>
      </c>
      <c r="CK42" s="244" t="s">
        <v>6</v>
      </c>
      <c r="CL42" s="244" t="s">
        <v>6</v>
      </c>
      <c r="CM42" s="244" t="s">
        <v>6</v>
      </c>
      <c r="CN42" s="244" t="s">
        <v>6</v>
      </c>
      <c r="CO42" s="244" t="s">
        <v>6</v>
      </c>
      <c r="CP42" s="244" t="s">
        <v>6</v>
      </c>
      <c r="CQ42" s="244" t="s">
        <v>6</v>
      </c>
      <c r="CR42" s="244" t="s">
        <v>6</v>
      </c>
      <c r="CS42" s="244" t="s">
        <v>6</v>
      </c>
      <c r="CT42" s="244" t="s">
        <v>6</v>
      </c>
      <c r="CU42" s="244" t="s">
        <v>6</v>
      </c>
      <c r="CV42" s="244" t="s">
        <v>6</v>
      </c>
      <c r="CW42" s="244" t="s">
        <v>6</v>
      </c>
      <c r="CX42" s="244" t="s">
        <v>6</v>
      </c>
      <c r="CY42" s="244" t="s">
        <v>6</v>
      </c>
      <c r="CZ42" s="244" t="s">
        <v>6</v>
      </c>
      <c r="DA42" s="244" t="s">
        <v>6</v>
      </c>
      <c r="DB42" s="244" t="s">
        <v>6</v>
      </c>
      <c r="DC42" s="244" t="s">
        <v>6</v>
      </c>
      <c r="DD42" s="244" t="s">
        <v>6</v>
      </c>
      <c r="DE42" s="244" t="s">
        <v>6</v>
      </c>
      <c r="DF42" s="244" t="s">
        <v>6</v>
      </c>
      <c r="DG42" s="244" t="s">
        <v>6</v>
      </c>
      <c r="DH42" s="244" t="s">
        <v>6</v>
      </c>
      <c r="DI42" s="244" t="s">
        <v>6</v>
      </c>
      <c r="DJ42" s="244" t="s">
        <v>6</v>
      </c>
      <c r="DK42" s="244" t="s">
        <v>6</v>
      </c>
      <c r="DL42" s="244" t="s">
        <v>6</v>
      </c>
      <c r="DM42" s="244" t="s">
        <v>6</v>
      </c>
      <c r="DN42" s="244" t="s">
        <v>6</v>
      </c>
      <c r="DO42" s="244" t="s">
        <v>6</v>
      </c>
      <c r="DP42" s="244" t="s">
        <v>6</v>
      </c>
      <c r="DQ42" s="244" t="s">
        <v>6</v>
      </c>
      <c r="DR42" s="244" t="s">
        <v>6</v>
      </c>
      <c r="DS42" s="244" t="s">
        <v>6</v>
      </c>
      <c r="DT42" s="244" t="s">
        <v>6</v>
      </c>
      <c r="DU42" s="244" t="s">
        <v>6</v>
      </c>
      <c r="DV42" s="244" t="s">
        <v>6</v>
      </c>
      <c r="DW42" s="244" t="s">
        <v>6</v>
      </c>
      <c r="DX42" s="244" t="s">
        <v>6</v>
      </c>
      <c r="DY42" s="244" t="s">
        <v>6</v>
      </c>
      <c r="DZ42" s="244" t="s">
        <v>6</v>
      </c>
      <c r="EA42" s="244" t="s">
        <v>6</v>
      </c>
      <c r="EB42" s="244" t="s">
        <v>6</v>
      </c>
      <c r="EC42" s="244" t="s">
        <v>6</v>
      </c>
      <c r="ED42" s="244" t="s">
        <v>6</v>
      </c>
      <c r="EE42" s="244" t="s">
        <v>6</v>
      </c>
      <c r="EF42" s="244" t="s">
        <v>6</v>
      </c>
      <c r="EG42" s="244" t="s">
        <v>6</v>
      </c>
      <c r="EH42" s="244" t="s">
        <v>6</v>
      </c>
      <c r="EI42" s="244" t="s">
        <v>6</v>
      </c>
      <c r="EJ42" s="244" t="s">
        <v>6</v>
      </c>
      <c r="EK42" s="244" t="s">
        <v>6</v>
      </c>
      <c r="EL42" s="244" t="s">
        <v>6</v>
      </c>
      <c r="EM42" s="244" t="s">
        <v>6</v>
      </c>
      <c r="EN42" s="244" t="s">
        <v>6</v>
      </c>
      <c r="EO42" s="244" t="s">
        <v>6</v>
      </c>
      <c r="EP42" s="244" t="s">
        <v>6</v>
      </c>
      <c r="EQ42" s="244" t="s">
        <v>6</v>
      </c>
      <c r="ER42" s="244" t="s">
        <v>6</v>
      </c>
      <c r="ES42" s="244" t="s">
        <v>6</v>
      </c>
      <c r="ET42" s="244" t="s">
        <v>6</v>
      </c>
      <c r="EU42" s="244" t="s">
        <v>6</v>
      </c>
      <c r="EV42" s="244" t="s">
        <v>6</v>
      </c>
      <c r="EW42" s="244" t="s">
        <v>6</v>
      </c>
      <c r="EX42" s="244" t="s">
        <v>6</v>
      </c>
    </row>
    <row r="43" spans="1:154" ht="13.5">
      <c r="A43" s="240" t="s">
        <v>6</v>
      </c>
      <c r="B43" s="241" t="s">
        <v>6</v>
      </c>
      <c r="C43" s="244" t="s">
        <v>135</v>
      </c>
      <c r="D43" s="244"/>
      <c r="E43" s="244" t="s">
        <v>6</v>
      </c>
      <c r="F43" s="260" t="s">
        <v>136</v>
      </c>
      <c r="G43" s="232" t="s">
        <v>6</v>
      </c>
      <c r="H43" s="260" t="s">
        <v>137</v>
      </c>
      <c r="I43" s="232" t="s">
        <v>6</v>
      </c>
      <c r="J43" s="245" t="s">
        <v>138</v>
      </c>
      <c r="K43" s="244" t="s">
        <v>6</v>
      </c>
      <c r="L43" s="265" t="s">
        <v>6</v>
      </c>
      <c r="M43" s="244" t="s">
        <v>6</v>
      </c>
      <c r="N43" s="244" t="s">
        <v>6</v>
      </c>
      <c r="O43" s="266" t="s">
        <v>6</v>
      </c>
      <c r="P43" s="244" t="s">
        <v>6</v>
      </c>
      <c r="Q43" s="244" t="s">
        <v>6</v>
      </c>
      <c r="R43" s="244" t="s">
        <v>6</v>
      </c>
      <c r="S43" s="244" t="s">
        <v>6</v>
      </c>
      <c r="T43" s="244" t="s">
        <v>6</v>
      </c>
      <c r="U43" s="244" t="s">
        <v>6</v>
      </c>
      <c r="V43" s="244" t="s">
        <v>6</v>
      </c>
      <c r="W43" s="244" t="s">
        <v>6</v>
      </c>
      <c r="X43" s="244" t="s">
        <v>6</v>
      </c>
      <c r="Y43" s="244" t="s">
        <v>6</v>
      </c>
      <c r="Z43" s="244" t="s">
        <v>6</v>
      </c>
      <c r="AA43" s="244" t="s">
        <v>6</v>
      </c>
      <c r="AB43" s="244" t="s">
        <v>6</v>
      </c>
      <c r="AC43" s="244" t="s">
        <v>6</v>
      </c>
      <c r="AD43" s="244" t="s">
        <v>6</v>
      </c>
      <c r="AE43" s="244" t="s">
        <v>6</v>
      </c>
      <c r="AF43" s="244" t="s">
        <v>6</v>
      </c>
      <c r="AG43" s="244" t="s">
        <v>6</v>
      </c>
      <c r="AH43" s="244" t="s">
        <v>6</v>
      </c>
      <c r="AI43" s="244" t="s">
        <v>6</v>
      </c>
      <c r="AJ43" s="244" t="s">
        <v>6</v>
      </c>
      <c r="AK43" s="244" t="s">
        <v>6</v>
      </c>
      <c r="AL43" s="244" t="s">
        <v>6</v>
      </c>
      <c r="AM43" s="244" t="s">
        <v>6</v>
      </c>
      <c r="AN43" s="244" t="s">
        <v>6</v>
      </c>
      <c r="AO43" s="244" t="s">
        <v>6</v>
      </c>
      <c r="AP43" s="244" t="s">
        <v>6</v>
      </c>
      <c r="AQ43" s="244" t="s">
        <v>6</v>
      </c>
      <c r="AR43" s="244" t="s">
        <v>6</v>
      </c>
      <c r="AS43" s="244" t="s">
        <v>6</v>
      </c>
      <c r="AT43" s="244" t="s">
        <v>6</v>
      </c>
      <c r="AU43" s="244" t="s">
        <v>6</v>
      </c>
      <c r="AV43" s="244" t="s">
        <v>6</v>
      </c>
      <c r="AW43" s="244" t="s">
        <v>6</v>
      </c>
      <c r="AX43" s="244" t="s">
        <v>6</v>
      </c>
      <c r="AY43" s="244" t="s">
        <v>6</v>
      </c>
      <c r="AZ43" s="244" t="s">
        <v>6</v>
      </c>
      <c r="BA43" s="244" t="s">
        <v>6</v>
      </c>
      <c r="BB43" s="244" t="s">
        <v>6</v>
      </c>
      <c r="BC43" s="244" t="s">
        <v>6</v>
      </c>
      <c r="BD43" s="244" t="s">
        <v>6</v>
      </c>
      <c r="BE43" s="244" t="s">
        <v>6</v>
      </c>
      <c r="BF43" s="244" t="s">
        <v>6</v>
      </c>
      <c r="BG43" s="244" t="s">
        <v>6</v>
      </c>
      <c r="BH43" s="244" t="s">
        <v>6</v>
      </c>
      <c r="BI43" s="244" t="s">
        <v>6</v>
      </c>
      <c r="BJ43" s="244" t="s">
        <v>6</v>
      </c>
      <c r="BK43" s="244" t="s">
        <v>6</v>
      </c>
      <c r="BL43" s="244" t="s">
        <v>6</v>
      </c>
      <c r="BM43" s="244" t="s">
        <v>6</v>
      </c>
      <c r="BN43" s="244" t="s">
        <v>6</v>
      </c>
      <c r="BO43" s="244" t="s">
        <v>6</v>
      </c>
      <c r="BP43" s="244" t="s">
        <v>6</v>
      </c>
      <c r="BQ43" s="244" t="s">
        <v>6</v>
      </c>
      <c r="BR43" s="244" t="s">
        <v>6</v>
      </c>
      <c r="BS43" s="244" t="s">
        <v>6</v>
      </c>
      <c r="BT43" s="244" t="s">
        <v>6</v>
      </c>
      <c r="BU43" s="244" t="s">
        <v>6</v>
      </c>
      <c r="BV43" s="244" t="s">
        <v>6</v>
      </c>
      <c r="BW43" s="244" t="s">
        <v>6</v>
      </c>
      <c r="BX43" s="244" t="s">
        <v>6</v>
      </c>
      <c r="BY43" s="244" t="s">
        <v>6</v>
      </c>
      <c r="BZ43" s="244" t="s">
        <v>6</v>
      </c>
      <c r="CA43" s="244" t="s">
        <v>6</v>
      </c>
      <c r="CB43" s="244" t="s">
        <v>6</v>
      </c>
      <c r="CC43" s="244" t="s">
        <v>6</v>
      </c>
      <c r="CD43" s="244" t="s">
        <v>6</v>
      </c>
      <c r="CE43" s="244" t="s">
        <v>6</v>
      </c>
      <c r="CF43" s="244" t="s">
        <v>6</v>
      </c>
      <c r="CG43" s="244" t="s">
        <v>6</v>
      </c>
      <c r="CH43" s="244" t="s">
        <v>6</v>
      </c>
      <c r="CI43" s="244" t="s">
        <v>6</v>
      </c>
      <c r="CJ43" s="244" t="s">
        <v>6</v>
      </c>
      <c r="CK43" s="244" t="s">
        <v>6</v>
      </c>
      <c r="CL43" s="244" t="s">
        <v>6</v>
      </c>
      <c r="CM43" s="244" t="s">
        <v>6</v>
      </c>
      <c r="CN43" s="244" t="s">
        <v>6</v>
      </c>
      <c r="CO43" s="244" t="s">
        <v>6</v>
      </c>
      <c r="CP43" s="244" t="s">
        <v>6</v>
      </c>
      <c r="CQ43" s="244" t="s">
        <v>6</v>
      </c>
      <c r="CR43" s="244" t="s">
        <v>6</v>
      </c>
      <c r="CS43" s="244" t="s">
        <v>6</v>
      </c>
      <c r="CT43" s="244" t="s">
        <v>6</v>
      </c>
      <c r="CU43" s="244" t="s">
        <v>6</v>
      </c>
      <c r="CV43" s="244" t="s">
        <v>6</v>
      </c>
      <c r="CW43" s="244" t="s">
        <v>6</v>
      </c>
      <c r="CX43" s="244" t="s">
        <v>6</v>
      </c>
      <c r="CY43" s="244" t="s">
        <v>6</v>
      </c>
      <c r="CZ43" s="244" t="s">
        <v>6</v>
      </c>
      <c r="DA43" s="244" t="s">
        <v>6</v>
      </c>
      <c r="DB43" s="244" t="s">
        <v>6</v>
      </c>
      <c r="DC43" s="244" t="s">
        <v>6</v>
      </c>
      <c r="DD43" s="244" t="s">
        <v>6</v>
      </c>
      <c r="DE43" s="244" t="s">
        <v>6</v>
      </c>
      <c r="DF43" s="244" t="s">
        <v>6</v>
      </c>
      <c r="DG43" s="244" t="s">
        <v>6</v>
      </c>
      <c r="DH43" s="244" t="s">
        <v>6</v>
      </c>
      <c r="DI43" s="244" t="s">
        <v>6</v>
      </c>
      <c r="DJ43" s="244" t="s">
        <v>6</v>
      </c>
      <c r="DK43" s="244" t="s">
        <v>6</v>
      </c>
      <c r="DL43" s="244" t="s">
        <v>6</v>
      </c>
      <c r="DM43" s="244" t="s">
        <v>6</v>
      </c>
      <c r="DN43" s="244" t="s">
        <v>6</v>
      </c>
      <c r="DO43" s="244" t="s">
        <v>6</v>
      </c>
      <c r="DP43" s="244" t="s">
        <v>6</v>
      </c>
      <c r="DQ43" s="244" t="s">
        <v>6</v>
      </c>
      <c r="DR43" s="244" t="s">
        <v>6</v>
      </c>
      <c r="DS43" s="244" t="s">
        <v>6</v>
      </c>
      <c r="DT43" s="244" t="s">
        <v>6</v>
      </c>
      <c r="DU43" s="244" t="s">
        <v>6</v>
      </c>
      <c r="DV43" s="244" t="s">
        <v>6</v>
      </c>
      <c r="DW43" s="244" t="s">
        <v>6</v>
      </c>
      <c r="DX43" s="244" t="s">
        <v>6</v>
      </c>
      <c r="DY43" s="244" t="s">
        <v>6</v>
      </c>
      <c r="DZ43" s="244" t="s">
        <v>6</v>
      </c>
      <c r="EA43" s="244" t="s">
        <v>6</v>
      </c>
      <c r="EB43" s="244" t="s">
        <v>6</v>
      </c>
      <c r="EC43" s="244" t="s">
        <v>6</v>
      </c>
      <c r="ED43" s="244" t="s">
        <v>6</v>
      </c>
      <c r="EE43" s="244" t="s">
        <v>6</v>
      </c>
      <c r="EF43" s="244" t="s">
        <v>6</v>
      </c>
      <c r="EG43" s="244" t="s">
        <v>6</v>
      </c>
      <c r="EH43" s="244" t="s">
        <v>6</v>
      </c>
      <c r="EI43" s="244" t="s">
        <v>6</v>
      </c>
      <c r="EJ43" s="244" t="s">
        <v>6</v>
      </c>
      <c r="EK43" s="244" t="s">
        <v>6</v>
      </c>
      <c r="EL43" s="244" t="s">
        <v>6</v>
      </c>
      <c r="EM43" s="244" t="s">
        <v>6</v>
      </c>
      <c r="EN43" s="244" t="s">
        <v>6</v>
      </c>
      <c r="EO43" s="244" t="s">
        <v>6</v>
      </c>
      <c r="EP43" s="244" t="s">
        <v>6</v>
      </c>
      <c r="EQ43" s="244" t="s">
        <v>6</v>
      </c>
      <c r="ER43" s="244" t="s">
        <v>6</v>
      </c>
      <c r="ES43" s="244" t="s">
        <v>6</v>
      </c>
      <c r="ET43" s="244" t="s">
        <v>6</v>
      </c>
      <c r="EU43" s="244" t="s">
        <v>6</v>
      </c>
      <c r="EV43" s="244" t="s">
        <v>6</v>
      </c>
      <c r="EW43" s="244" t="s">
        <v>6</v>
      </c>
      <c r="EX43" s="244" t="s">
        <v>6</v>
      </c>
    </row>
    <row r="44" spans="1:154" ht="13.5">
      <c r="A44" s="240" t="s">
        <v>6</v>
      </c>
      <c r="B44" s="241" t="s">
        <v>6</v>
      </c>
      <c r="C44" s="244" t="s">
        <v>139</v>
      </c>
      <c r="D44" s="244"/>
      <c r="E44" s="244"/>
      <c r="F44" s="272" t="s">
        <v>71</v>
      </c>
      <c r="G44" s="253" t="s">
        <v>6</v>
      </c>
      <c r="H44" s="267">
        <v>115.151</v>
      </c>
      <c r="I44" s="232" t="s">
        <v>6</v>
      </c>
      <c r="J44" s="245" t="s">
        <v>140</v>
      </c>
      <c r="K44" s="244" t="s">
        <v>6</v>
      </c>
      <c r="L44" s="265" t="s">
        <v>6</v>
      </c>
      <c r="M44" s="244" t="s">
        <v>6</v>
      </c>
      <c r="N44" s="268" t="s">
        <v>141</v>
      </c>
      <c r="O44" s="266" t="s">
        <v>6</v>
      </c>
      <c r="P44" s="244" t="s">
        <v>6</v>
      </c>
      <c r="Q44" s="244" t="s">
        <v>6</v>
      </c>
      <c r="R44" s="244" t="s">
        <v>6</v>
      </c>
      <c r="S44" s="244" t="s">
        <v>6</v>
      </c>
      <c r="T44" s="244" t="s">
        <v>6</v>
      </c>
      <c r="U44" s="244" t="s">
        <v>6</v>
      </c>
      <c r="V44" s="244" t="s">
        <v>6</v>
      </c>
      <c r="W44" s="244" t="s">
        <v>6</v>
      </c>
      <c r="X44" s="244" t="s">
        <v>6</v>
      </c>
      <c r="Y44" s="244" t="s">
        <v>6</v>
      </c>
      <c r="Z44" s="244" t="s">
        <v>6</v>
      </c>
      <c r="AA44" s="244" t="s">
        <v>6</v>
      </c>
      <c r="AB44" s="244" t="s">
        <v>6</v>
      </c>
      <c r="AC44" s="244" t="s">
        <v>6</v>
      </c>
      <c r="AD44" s="244" t="s">
        <v>6</v>
      </c>
      <c r="AE44" s="244" t="s">
        <v>6</v>
      </c>
      <c r="AF44" s="244" t="s">
        <v>6</v>
      </c>
      <c r="AG44" s="244" t="s">
        <v>6</v>
      </c>
      <c r="AH44" s="244" t="s">
        <v>6</v>
      </c>
      <c r="AI44" s="244" t="s">
        <v>6</v>
      </c>
      <c r="AJ44" s="244" t="s">
        <v>6</v>
      </c>
      <c r="AK44" s="244" t="s">
        <v>6</v>
      </c>
      <c r="AL44" s="244" t="s">
        <v>6</v>
      </c>
      <c r="AM44" s="244" t="s">
        <v>6</v>
      </c>
      <c r="AN44" s="244" t="s">
        <v>6</v>
      </c>
      <c r="AO44" s="244" t="s">
        <v>6</v>
      </c>
      <c r="AP44" s="244" t="s">
        <v>6</v>
      </c>
      <c r="AQ44" s="244" t="s">
        <v>6</v>
      </c>
      <c r="AR44" s="244" t="s">
        <v>6</v>
      </c>
      <c r="AS44" s="244" t="s">
        <v>6</v>
      </c>
      <c r="AT44" s="244" t="s">
        <v>6</v>
      </c>
      <c r="AU44" s="244" t="s">
        <v>6</v>
      </c>
      <c r="AV44" s="244" t="s">
        <v>6</v>
      </c>
      <c r="AW44" s="244" t="s">
        <v>6</v>
      </c>
      <c r="AX44" s="244" t="s">
        <v>6</v>
      </c>
      <c r="AY44" s="244" t="s">
        <v>6</v>
      </c>
      <c r="AZ44" s="244" t="s">
        <v>6</v>
      </c>
      <c r="BA44" s="244" t="s">
        <v>6</v>
      </c>
      <c r="BB44" s="244" t="s">
        <v>6</v>
      </c>
      <c r="BC44" s="244" t="s">
        <v>6</v>
      </c>
      <c r="BD44" s="244" t="s">
        <v>6</v>
      </c>
      <c r="BE44" s="244" t="s">
        <v>6</v>
      </c>
      <c r="BF44" s="244" t="s">
        <v>6</v>
      </c>
      <c r="BG44" s="244" t="s">
        <v>6</v>
      </c>
      <c r="BH44" s="244" t="s">
        <v>6</v>
      </c>
      <c r="BI44" s="244" t="s">
        <v>6</v>
      </c>
      <c r="BJ44" s="244" t="s">
        <v>6</v>
      </c>
      <c r="BK44" s="244" t="s">
        <v>6</v>
      </c>
      <c r="BL44" s="244" t="s">
        <v>6</v>
      </c>
      <c r="BM44" s="244" t="s">
        <v>6</v>
      </c>
      <c r="BN44" s="244" t="s">
        <v>6</v>
      </c>
      <c r="BO44" s="244" t="s">
        <v>6</v>
      </c>
      <c r="BP44" s="244" t="s">
        <v>6</v>
      </c>
      <c r="BQ44" s="244" t="s">
        <v>6</v>
      </c>
      <c r="BR44" s="244" t="s">
        <v>6</v>
      </c>
      <c r="BS44" s="244" t="s">
        <v>6</v>
      </c>
      <c r="BT44" s="244" t="s">
        <v>6</v>
      </c>
      <c r="BU44" s="244" t="s">
        <v>6</v>
      </c>
      <c r="BV44" s="244" t="s">
        <v>6</v>
      </c>
      <c r="BW44" s="244" t="s">
        <v>6</v>
      </c>
      <c r="BX44" s="244" t="s">
        <v>6</v>
      </c>
      <c r="BY44" s="244" t="s">
        <v>6</v>
      </c>
      <c r="BZ44" s="244" t="s">
        <v>6</v>
      </c>
      <c r="CA44" s="244" t="s">
        <v>6</v>
      </c>
      <c r="CB44" s="244" t="s">
        <v>6</v>
      </c>
      <c r="CC44" s="244" t="s">
        <v>6</v>
      </c>
      <c r="CD44" s="244" t="s">
        <v>6</v>
      </c>
      <c r="CE44" s="244" t="s">
        <v>6</v>
      </c>
      <c r="CF44" s="244" t="s">
        <v>6</v>
      </c>
      <c r="CG44" s="244" t="s">
        <v>6</v>
      </c>
      <c r="CH44" s="244" t="s">
        <v>6</v>
      </c>
      <c r="CI44" s="244" t="s">
        <v>6</v>
      </c>
      <c r="CJ44" s="244" t="s">
        <v>6</v>
      </c>
      <c r="CK44" s="244" t="s">
        <v>6</v>
      </c>
      <c r="CL44" s="244" t="s">
        <v>6</v>
      </c>
      <c r="CM44" s="244" t="s">
        <v>6</v>
      </c>
      <c r="CN44" s="244" t="s">
        <v>6</v>
      </c>
      <c r="CO44" s="244" t="s">
        <v>6</v>
      </c>
      <c r="CP44" s="244" t="s">
        <v>6</v>
      </c>
      <c r="CQ44" s="244" t="s">
        <v>6</v>
      </c>
      <c r="CR44" s="244" t="s">
        <v>6</v>
      </c>
      <c r="CS44" s="244" t="s">
        <v>6</v>
      </c>
      <c r="CT44" s="244" t="s">
        <v>6</v>
      </c>
      <c r="CU44" s="244" t="s">
        <v>6</v>
      </c>
      <c r="CV44" s="244" t="s">
        <v>6</v>
      </c>
      <c r="CW44" s="244" t="s">
        <v>6</v>
      </c>
      <c r="CX44" s="244" t="s">
        <v>6</v>
      </c>
      <c r="CY44" s="244" t="s">
        <v>6</v>
      </c>
      <c r="CZ44" s="244" t="s">
        <v>6</v>
      </c>
      <c r="DA44" s="244" t="s">
        <v>6</v>
      </c>
      <c r="DB44" s="244" t="s">
        <v>6</v>
      </c>
      <c r="DC44" s="244" t="s">
        <v>6</v>
      </c>
      <c r="DD44" s="244" t="s">
        <v>6</v>
      </c>
      <c r="DE44" s="244" t="s">
        <v>6</v>
      </c>
      <c r="DF44" s="244" t="s">
        <v>6</v>
      </c>
      <c r="DG44" s="244" t="s">
        <v>6</v>
      </c>
      <c r="DH44" s="244" t="s">
        <v>6</v>
      </c>
      <c r="DI44" s="244" t="s">
        <v>6</v>
      </c>
      <c r="DJ44" s="244" t="s">
        <v>6</v>
      </c>
      <c r="DK44" s="244" t="s">
        <v>6</v>
      </c>
      <c r="DL44" s="244" t="s">
        <v>6</v>
      </c>
      <c r="DM44" s="244" t="s">
        <v>6</v>
      </c>
      <c r="DN44" s="244" t="s">
        <v>6</v>
      </c>
      <c r="DO44" s="244" t="s">
        <v>6</v>
      </c>
      <c r="DP44" s="244" t="s">
        <v>6</v>
      </c>
      <c r="DQ44" s="244" t="s">
        <v>6</v>
      </c>
      <c r="DR44" s="244" t="s">
        <v>6</v>
      </c>
      <c r="DS44" s="244" t="s">
        <v>6</v>
      </c>
      <c r="DT44" s="244" t="s">
        <v>6</v>
      </c>
      <c r="DU44" s="244" t="s">
        <v>6</v>
      </c>
      <c r="DV44" s="244" t="s">
        <v>6</v>
      </c>
      <c r="DW44" s="244" t="s">
        <v>6</v>
      </c>
      <c r="DX44" s="244" t="s">
        <v>6</v>
      </c>
      <c r="DY44" s="244" t="s">
        <v>6</v>
      </c>
      <c r="DZ44" s="244" t="s">
        <v>6</v>
      </c>
      <c r="EA44" s="244" t="s">
        <v>6</v>
      </c>
      <c r="EB44" s="244" t="s">
        <v>6</v>
      </c>
      <c r="EC44" s="244" t="s">
        <v>6</v>
      </c>
      <c r="ED44" s="244" t="s">
        <v>6</v>
      </c>
      <c r="EE44" s="244" t="s">
        <v>6</v>
      </c>
      <c r="EF44" s="244" t="s">
        <v>6</v>
      </c>
      <c r="EG44" s="244" t="s">
        <v>6</v>
      </c>
      <c r="EH44" s="244" t="s">
        <v>6</v>
      </c>
      <c r="EI44" s="244" t="s">
        <v>6</v>
      </c>
      <c r="EJ44" s="244" t="s">
        <v>6</v>
      </c>
      <c r="EK44" s="244" t="s">
        <v>6</v>
      </c>
      <c r="EL44" s="244" t="s">
        <v>6</v>
      </c>
      <c r="EM44" s="244" t="s">
        <v>6</v>
      </c>
      <c r="EN44" s="244" t="s">
        <v>6</v>
      </c>
      <c r="EO44" s="244" t="s">
        <v>6</v>
      </c>
      <c r="EP44" s="244" t="s">
        <v>6</v>
      </c>
      <c r="EQ44" s="244" t="s">
        <v>6</v>
      </c>
      <c r="ER44" s="244" t="s">
        <v>6</v>
      </c>
      <c r="ES44" s="244" t="s">
        <v>6</v>
      </c>
      <c r="ET44" s="244" t="s">
        <v>6</v>
      </c>
      <c r="EU44" s="244" t="s">
        <v>6</v>
      </c>
      <c r="EV44" s="244" t="s">
        <v>6</v>
      </c>
      <c r="EW44" s="244" t="s">
        <v>6</v>
      </c>
      <c r="EX44" s="244" t="s">
        <v>6</v>
      </c>
    </row>
    <row r="45" spans="1:154" ht="13.5">
      <c r="A45" s="240" t="s">
        <v>6</v>
      </c>
      <c r="B45" s="241" t="s">
        <v>6</v>
      </c>
      <c r="C45" s="245" t="s">
        <v>142</v>
      </c>
      <c r="D45" s="245"/>
      <c r="E45" s="245"/>
      <c r="F45" s="270" t="s">
        <v>105</v>
      </c>
      <c r="G45" s="270" t="s">
        <v>6</v>
      </c>
      <c r="H45" s="270" t="s">
        <v>106</v>
      </c>
      <c r="I45" s="232" t="s">
        <v>6</v>
      </c>
      <c r="J45" s="245" t="s">
        <v>6</v>
      </c>
      <c r="K45" s="244" t="s">
        <v>6</v>
      </c>
      <c r="L45" s="273" t="s">
        <v>6</v>
      </c>
      <c r="M45" s="274" t="s">
        <v>6</v>
      </c>
      <c r="N45" s="274" t="s">
        <v>6</v>
      </c>
      <c r="O45" s="275" t="s">
        <v>6</v>
      </c>
      <c r="P45" s="244" t="s">
        <v>6</v>
      </c>
      <c r="Q45" s="244" t="s">
        <v>6</v>
      </c>
      <c r="R45" s="244" t="s">
        <v>6</v>
      </c>
      <c r="S45" s="244" t="s">
        <v>6</v>
      </c>
      <c r="T45" s="244" t="s">
        <v>6</v>
      </c>
      <c r="U45" s="244" t="s">
        <v>6</v>
      </c>
      <c r="V45" s="244" t="s">
        <v>6</v>
      </c>
      <c r="W45" s="244" t="s">
        <v>6</v>
      </c>
      <c r="X45" s="244" t="s">
        <v>6</v>
      </c>
      <c r="Y45" s="244" t="s">
        <v>6</v>
      </c>
      <c r="Z45" s="244" t="s">
        <v>6</v>
      </c>
      <c r="AA45" s="244" t="s">
        <v>6</v>
      </c>
      <c r="AB45" s="244" t="s">
        <v>6</v>
      </c>
      <c r="AC45" s="244" t="s">
        <v>6</v>
      </c>
      <c r="AD45" s="244" t="s">
        <v>6</v>
      </c>
      <c r="AE45" s="244" t="s">
        <v>6</v>
      </c>
      <c r="AF45" s="244" t="s">
        <v>6</v>
      </c>
      <c r="AG45" s="244" t="s">
        <v>6</v>
      </c>
      <c r="AH45" s="244" t="s">
        <v>6</v>
      </c>
      <c r="AI45" s="244" t="s">
        <v>6</v>
      </c>
      <c r="AJ45" s="244" t="s">
        <v>6</v>
      </c>
      <c r="AK45" s="244" t="s">
        <v>6</v>
      </c>
      <c r="AL45" s="244" t="s">
        <v>6</v>
      </c>
      <c r="AM45" s="244" t="s">
        <v>6</v>
      </c>
      <c r="AN45" s="244" t="s">
        <v>6</v>
      </c>
      <c r="AO45" s="244" t="s">
        <v>6</v>
      </c>
      <c r="AP45" s="244" t="s">
        <v>6</v>
      </c>
      <c r="AQ45" s="244" t="s">
        <v>6</v>
      </c>
      <c r="AR45" s="244" t="s">
        <v>6</v>
      </c>
      <c r="AS45" s="244" t="s">
        <v>6</v>
      </c>
      <c r="AT45" s="244" t="s">
        <v>6</v>
      </c>
      <c r="AU45" s="244" t="s">
        <v>6</v>
      </c>
      <c r="AV45" s="244" t="s">
        <v>6</v>
      </c>
      <c r="AW45" s="244" t="s">
        <v>6</v>
      </c>
      <c r="AX45" s="244" t="s">
        <v>6</v>
      </c>
      <c r="AY45" s="244" t="s">
        <v>6</v>
      </c>
      <c r="AZ45" s="244" t="s">
        <v>6</v>
      </c>
      <c r="BA45" s="244" t="s">
        <v>6</v>
      </c>
      <c r="BB45" s="244" t="s">
        <v>6</v>
      </c>
      <c r="BC45" s="244" t="s">
        <v>6</v>
      </c>
      <c r="BD45" s="244" t="s">
        <v>6</v>
      </c>
      <c r="BE45" s="244" t="s">
        <v>6</v>
      </c>
      <c r="BF45" s="244" t="s">
        <v>6</v>
      </c>
      <c r="BG45" s="244" t="s">
        <v>6</v>
      </c>
      <c r="BH45" s="244" t="s">
        <v>6</v>
      </c>
      <c r="BI45" s="244" t="s">
        <v>6</v>
      </c>
      <c r="BJ45" s="244" t="s">
        <v>6</v>
      </c>
      <c r="BK45" s="244" t="s">
        <v>6</v>
      </c>
      <c r="BL45" s="244" t="s">
        <v>6</v>
      </c>
      <c r="BM45" s="244" t="s">
        <v>6</v>
      </c>
      <c r="BN45" s="244" t="s">
        <v>6</v>
      </c>
      <c r="BO45" s="244" t="s">
        <v>6</v>
      </c>
      <c r="BP45" s="244" t="s">
        <v>6</v>
      </c>
      <c r="BQ45" s="244" t="s">
        <v>6</v>
      </c>
      <c r="BR45" s="244" t="s">
        <v>6</v>
      </c>
      <c r="BS45" s="244" t="s">
        <v>6</v>
      </c>
      <c r="BT45" s="244" t="s">
        <v>6</v>
      </c>
      <c r="BU45" s="244" t="s">
        <v>6</v>
      </c>
      <c r="BV45" s="244" t="s">
        <v>6</v>
      </c>
      <c r="BW45" s="244" t="s">
        <v>6</v>
      </c>
      <c r="BX45" s="244" t="s">
        <v>6</v>
      </c>
      <c r="BY45" s="244" t="s">
        <v>6</v>
      </c>
      <c r="BZ45" s="244" t="s">
        <v>6</v>
      </c>
      <c r="CA45" s="244" t="s">
        <v>6</v>
      </c>
      <c r="CB45" s="244" t="s">
        <v>6</v>
      </c>
      <c r="CC45" s="244" t="s">
        <v>6</v>
      </c>
      <c r="CD45" s="244" t="s">
        <v>6</v>
      </c>
      <c r="CE45" s="244" t="s">
        <v>6</v>
      </c>
      <c r="CF45" s="244" t="s">
        <v>6</v>
      </c>
      <c r="CG45" s="244" t="s">
        <v>6</v>
      </c>
      <c r="CH45" s="244" t="s">
        <v>6</v>
      </c>
      <c r="CI45" s="244" t="s">
        <v>6</v>
      </c>
      <c r="CJ45" s="244" t="s">
        <v>6</v>
      </c>
      <c r="CK45" s="244" t="s">
        <v>6</v>
      </c>
      <c r="CL45" s="244" t="s">
        <v>6</v>
      </c>
      <c r="CM45" s="244" t="s">
        <v>6</v>
      </c>
      <c r="CN45" s="244" t="s">
        <v>6</v>
      </c>
      <c r="CO45" s="244" t="s">
        <v>6</v>
      </c>
      <c r="CP45" s="244" t="s">
        <v>6</v>
      </c>
      <c r="CQ45" s="244" t="s">
        <v>6</v>
      </c>
      <c r="CR45" s="244" t="s">
        <v>6</v>
      </c>
      <c r="CS45" s="244" t="s">
        <v>6</v>
      </c>
      <c r="CT45" s="244" t="s">
        <v>6</v>
      </c>
      <c r="CU45" s="244" t="s">
        <v>6</v>
      </c>
      <c r="CV45" s="244" t="s">
        <v>6</v>
      </c>
      <c r="CW45" s="244" t="s">
        <v>6</v>
      </c>
      <c r="CX45" s="244" t="s">
        <v>6</v>
      </c>
      <c r="CY45" s="244" t="s">
        <v>6</v>
      </c>
      <c r="CZ45" s="244" t="s">
        <v>6</v>
      </c>
      <c r="DA45" s="244" t="s">
        <v>6</v>
      </c>
      <c r="DB45" s="244" t="s">
        <v>6</v>
      </c>
      <c r="DC45" s="244" t="s">
        <v>6</v>
      </c>
      <c r="DD45" s="244" t="s">
        <v>6</v>
      </c>
      <c r="DE45" s="244" t="s">
        <v>6</v>
      </c>
      <c r="DF45" s="244" t="s">
        <v>6</v>
      </c>
      <c r="DG45" s="244" t="s">
        <v>6</v>
      </c>
      <c r="DH45" s="244" t="s">
        <v>6</v>
      </c>
      <c r="DI45" s="244" t="s">
        <v>6</v>
      </c>
      <c r="DJ45" s="244" t="s">
        <v>6</v>
      </c>
      <c r="DK45" s="244" t="s">
        <v>6</v>
      </c>
      <c r="DL45" s="244" t="s">
        <v>6</v>
      </c>
      <c r="DM45" s="244" t="s">
        <v>6</v>
      </c>
      <c r="DN45" s="244" t="s">
        <v>6</v>
      </c>
      <c r="DO45" s="244" t="s">
        <v>6</v>
      </c>
      <c r="DP45" s="244" t="s">
        <v>6</v>
      </c>
      <c r="DQ45" s="244" t="s">
        <v>6</v>
      </c>
      <c r="DR45" s="244" t="s">
        <v>6</v>
      </c>
      <c r="DS45" s="244" t="s">
        <v>6</v>
      </c>
      <c r="DT45" s="244" t="s">
        <v>6</v>
      </c>
      <c r="DU45" s="244" t="s">
        <v>6</v>
      </c>
      <c r="DV45" s="244" t="s">
        <v>6</v>
      </c>
      <c r="DW45" s="244" t="s">
        <v>6</v>
      </c>
      <c r="DX45" s="244" t="s">
        <v>6</v>
      </c>
      <c r="DY45" s="244" t="s">
        <v>6</v>
      </c>
      <c r="DZ45" s="244" t="s">
        <v>6</v>
      </c>
      <c r="EA45" s="244" t="s">
        <v>6</v>
      </c>
      <c r="EB45" s="244" t="s">
        <v>6</v>
      </c>
      <c r="EC45" s="244" t="s">
        <v>6</v>
      </c>
      <c r="ED45" s="244" t="s">
        <v>6</v>
      </c>
      <c r="EE45" s="244" t="s">
        <v>6</v>
      </c>
      <c r="EF45" s="244" t="s">
        <v>6</v>
      </c>
      <c r="EG45" s="244" t="s">
        <v>6</v>
      </c>
      <c r="EH45" s="244" t="s">
        <v>6</v>
      </c>
      <c r="EI45" s="244" t="s">
        <v>6</v>
      </c>
      <c r="EJ45" s="244" t="s">
        <v>6</v>
      </c>
      <c r="EK45" s="244" t="s">
        <v>6</v>
      </c>
      <c r="EL45" s="244" t="s">
        <v>6</v>
      </c>
      <c r="EM45" s="244" t="s">
        <v>6</v>
      </c>
      <c r="EN45" s="244" t="s">
        <v>6</v>
      </c>
      <c r="EO45" s="244" t="s">
        <v>6</v>
      </c>
      <c r="EP45" s="244" t="s">
        <v>6</v>
      </c>
      <c r="EQ45" s="244" t="s">
        <v>6</v>
      </c>
      <c r="ER45" s="244" t="s">
        <v>6</v>
      </c>
      <c r="ES45" s="244" t="s">
        <v>6</v>
      </c>
      <c r="ET45" s="244" t="s">
        <v>6</v>
      </c>
      <c r="EU45" s="244" t="s">
        <v>6</v>
      </c>
      <c r="EV45" s="244" t="s">
        <v>6</v>
      </c>
      <c r="EW45" s="244" t="s">
        <v>6</v>
      </c>
      <c r="EX45" s="244" t="s">
        <v>6</v>
      </c>
    </row>
    <row r="46" spans="1:154" ht="13.5">
      <c r="A46" s="240" t="s">
        <v>6</v>
      </c>
      <c r="B46" s="241" t="s">
        <v>6</v>
      </c>
      <c r="C46" s="276" t="s">
        <v>6</v>
      </c>
      <c r="D46" s="244" t="s">
        <v>6</v>
      </c>
      <c r="E46" s="244" t="s">
        <v>6</v>
      </c>
      <c r="F46" s="247" t="s">
        <v>143</v>
      </c>
      <c r="G46" s="247" t="s">
        <v>6</v>
      </c>
      <c r="H46" s="247" t="s">
        <v>144</v>
      </c>
      <c r="I46" s="232" t="s">
        <v>6</v>
      </c>
      <c r="J46" s="245" t="s">
        <v>6</v>
      </c>
      <c r="K46" s="244" t="s">
        <v>6</v>
      </c>
      <c r="L46" s="244" t="s">
        <v>6</v>
      </c>
      <c r="M46" s="244" t="s">
        <v>6</v>
      </c>
      <c r="N46" s="244" t="s">
        <v>6</v>
      </c>
      <c r="O46" s="244" t="s">
        <v>6</v>
      </c>
      <c r="P46" s="244" t="s">
        <v>6</v>
      </c>
      <c r="Q46" s="244" t="s">
        <v>6</v>
      </c>
      <c r="R46" s="244" t="s">
        <v>6</v>
      </c>
      <c r="S46" s="244" t="s">
        <v>6</v>
      </c>
      <c r="T46" s="244" t="s">
        <v>6</v>
      </c>
      <c r="U46" s="244" t="s">
        <v>6</v>
      </c>
      <c r="V46" s="244" t="s">
        <v>6</v>
      </c>
      <c r="W46" s="244" t="s">
        <v>6</v>
      </c>
      <c r="X46" s="244" t="s">
        <v>6</v>
      </c>
      <c r="Y46" s="244" t="s">
        <v>6</v>
      </c>
      <c r="Z46" s="244" t="s">
        <v>6</v>
      </c>
      <c r="AA46" s="244" t="s">
        <v>6</v>
      </c>
      <c r="AB46" s="244" t="s">
        <v>6</v>
      </c>
      <c r="AC46" s="244" t="s">
        <v>6</v>
      </c>
      <c r="AD46" s="244" t="s">
        <v>6</v>
      </c>
      <c r="AE46" s="244" t="s">
        <v>6</v>
      </c>
      <c r="AF46" s="244" t="s">
        <v>6</v>
      </c>
      <c r="AG46" s="244" t="s">
        <v>6</v>
      </c>
      <c r="AH46" s="244" t="s">
        <v>6</v>
      </c>
      <c r="AI46" s="244" t="s">
        <v>6</v>
      </c>
      <c r="AJ46" s="244" t="s">
        <v>6</v>
      </c>
      <c r="AK46" s="244" t="s">
        <v>6</v>
      </c>
      <c r="AL46" s="244" t="s">
        <v>6</v>
      </c>
      <c r="AM46" s="244" t="s">
        <v>6</v>
      </c>
      <c r="AN46" s="244" t="s">
        <v>6</v>
      </c>
      <c r="AO46" s="244" t="s">
        <v>6</v>
      </c>
      <c r="AP46" s="244" t="s">
        <v>6</v>
      </c>
      <c r="AQ46" s="244" t="s">
        <v>6</v>
      </c>
      <c r="AR46" s="244" t="s">
        <v>6</v>
      </c>
      <c r="AS46" s="244" t="s">
        <v>6</v>
      </c>
      <c r="AT46" s="244" t="s">
        <v>6</v>
      </c>
      <c r="AU46" s="244" t="s">
        <v>6</v>
      </c>
      <c r="AV46" s="244" t="s">
        <v>6</v>
      </c>
      <c r="AW46" s="244" t="s">
        <v>6</v>
      </c>
      <c r="AX46" s="244" t="s">
        <v>6</v>
      </c>
      <c r="AY46" s="244" t="s">
        <v>6</v>
      </c>
      <c r="AZ46" s="244" t="s">
        <v>6</v>
      </c>
      <c r="BA46" s="244" t="s">
        <v>6</v>
      </c>
      <c r="BB46" s="244" t="s">
        <v>6</v>
      </c>
      <c r="BC46" s="244" t="s">
        <v>6</v>
      </c>
      <c r="BD46" s="244" t="s">
        <v>6</v>
      </c>
      <c r="BE46" s="244" t="s">
        <v>6</v>
      </c>
      <c r="BF46" s="244" t="s">
        <v>6</v>
      </c>
      <c r="BG46" s="244" t="s">
        <v>6</v>
      </c>
      <c r="BH46" s="244" t="s">
        <v>6</v>
      </c>
      <c r="BI46" s="244" t="s">
        <v>6</v>
      </c>
      <c r="BJ46" s="244" t="s">
        <v>6</v>
      </c>
      <c r="BK46" s="244" t="s">
        <v>6</v>
      </c>
      <c r="BL46" s="244" t="s">
        <v>6</v>
      </c>
      <c r="BM46" s="244" t="s">
        <v>6</v>
      </c>
      <c r="BN46" s="244" t="s">
        <v>6</v>
      </c>
      <c r="BO46" s="244" t="s">
        <v>6</v>
      </c>
      <c r="BP46" s="244" t="s">
        <v>6</v>
      </c>
      <c r="BQ46" s="244" t="s">
        <v>6</v>
      </c>
      <c r="BR46" s="244" t="s">
        <v>6</v>
      </c>
      <c r="BS46" s="244" t="s">
        <v>6</v>
      </c>
      <c r="BT46" s="244" t="s">
        <v>6</v>
      </c>
      <c r="BU46" s="244" t="s">
        <v>6</v>
      </c>
      <c r="BV46" s="244" t="s">
        <v>6</v>
      </c>
      <c r="BW46" s="244" t="s">
        <v>6</v>
      </c>
      <c r="BX46" s="244" t="s">
        <v>6</v>
      </c>
      <c r="BY46" s="244" t="s">
        <v>6</v>
      </c>
      <c r="BZ46" s="244" t="s">
        <v>6</v>
      </c>
      <c r="CA46" s="244" t="s">
        <v>6</v>
      </c>
      <c r="CB46" s="244" t="s">
        <v>6</v>
      </c>
      <c r="CC46" s="244" t="s">
        <v>6</v>
      </c>
      <c r="CD46" s="244" t="s">
        <v>6</v>
      </c>
      <c r="CE46" s="244" t="s">
        <v>6</v>
      </c>
      <c r="CF46" s="244" t="s">
        <v>6</v>
      </c>
      <c r="CG46" s="244" t="s">
        <v>6</v>
      </c>
      <c r="CH46" s="244" t="s">
        <v>6</v>
      </c>
      <c r="CI46" s="244" t="s">
        <v>6</v>
      </c>
      <c r="CJ46" s="244" t="s">
        <v>6</v>
      </c>
      <c r="CK46" s="244" t="s">
        <v>6</v>
      </c>
      <c r="CL46" s="244" t="s">
        <v>6</v>
      </c>
      <c r="CM46" s="244" t="s">
        <v>6</v>
      </c>
      <c r="CN46" s="244" t="s">
        <v>6</v>
      </c>
      <c r="CO46" s="244" t="s">
        <v>6</v>
      </c>
      <c r="CP46" s="244" t="s">
        <v>6</v>
      </c>
      <c r="CQ46" s="244" t="s">
        <v>6</v>
      </c>
      <c r="CR46" s="244" t="s">
        <v>6</v>
      </c>
      <c r="CS46" s="244" t="s">
        <v>6</v>
      </c>
      <c r="CT46" s="244" t="s">
        <v>6</v>
      </c>
      <c r="CU46" s="244" t="s">
        <v>6</v>
      </c>
      <c r="CV46" s="244" t="s">
        <v>6</v>
      </c>
      <c r="CW46" s="244" t="s">
        <v>6</v>
      </c>
      <c r="CX46" s="244" t="s">
        <v>6</v>
      </c>
      <c r="CY46" s="244" t="s">
        <v>6</v>
      </c>
      <c r="CZ46" s="244" t="s">
        <v>6</v>
      </c>
      <c r="DA46" s="244" t="s">
        <v>6</v>
      </c>
      <c r="DB46" s="244" t="s">
        <v>6</v>
      </c>
      <c r="DC46" s="244" t="s">
        <v>6</v>
      </c>
      <c r="DD46" s="244" t="s">
        <v>6</v>
      </c>
      <c r="DE46" s="244" t="s">
        <v>6</v>
      </c>
      <c r="DF46" s="244" t="s">
        <v>6</v>
      </c>
      <c r="DG46" s="244" t="s">
        <v>6</v>
      </c>
      <c r="DH46" s="244" t="s">
        <v>6</v>
      </c>
      <c r="DI46" s="244" t="s">
        <v>6</v>
      </c>
      <c r="DJ46" s="244" t="s">
        <v>6</v>
      </c>
      <c r="DK46" s="244" t="s">
        <v>6</v>
      </c>
      <c r="DL46" s="244" t="s">
        <v>6</v>
      </c>
      <c r="DM46" s="244" t="s">
        <v>6</v>
      </c>
      <c r="DN46" s="244" t="s">
        <v>6</v>
      </c>
      <c r="DO46" s="244" t="s">
        <v>6</v>
      </c>
      <c r="DP46" s="244" t="s">
        <v>6</v>
      </c>
      <c r="DQ46" s="244" t="s">
        <v>6</v>
      </c>
      <c r="DR46" s="244" t="s">
        <v>6</v>
      </c>
      <c r="DS46" s="244" t="s">
        <v>6</v>
      </c>
      <c r="DT46" s="244" t="s">
        <v>6</v>
      </c>
      <c r="DU46" s="244" t="s">
        <v>6</v>
      </c>
      <c r="DV46" s="244" t="s">
        <v>6</v>
      </c>
      <c r="DW46" s="244" t="s">
        <v>6</v>
      </c>
      <c r="DX46" s="244" t="s">
        <v>6</v>
      </c>
      <c r="DY46" s="244" t="s">
        <v>6</v>
      </c>
      <c r="DZ46" s="244" t="s">
        <v>6</v>
      </c>
      <c r="EA46" s="244" t="s">
        <v>6</v>
      </c>
      <c r="EB46" s="244" t="s">
        <v>6</v>
      </c>
      <c r="EC46" s="244" t="s">
        <v>6</v>
      </c>
      <c r="ED46" s="244" t="s">
        <v>6</v>
      </c>
      <c r="EE46" s="244" t="s">
        <v>6</v>
      </c>
      <c r="EF46" s="244" t="s">
        <v>6</v>
      </c>
      <c r="EG46" s="244" t="s">
        <v>6</v>
      </c>
      <c r="EH46" s="244" t="s">
        <v>6</v>
      </c>
      <c r="EI46" s="244" t="s">
        <v>6</v>
      </c>
      <c r="EJ46" s="244" t="s">
        <v>6</v>
      </c>
      <c r="EK46" s="244" t="s">
        <v>6</v>
      </c>
      <c r="EL46" s="244" t="s">
        <v>6</v>
      </c>
      <c r="EM46" s="244" t="s">
        <v>6</v>
      </c>
      <c r="EN46" s="244" t="s">
        <v>6</v>
      </c>
      <c r="EO46" s="244" t="s">
        <v>6</v>
      </c>
      <c r="EP46" s="244" t="s">
        <v>6</v>
      </c>
      <c r="EQ46" s="244" t="s">
        <v>6</v>
      </c>
      <c r="ER46" s="244" t="s">
        <v>6</v>
      </c>
      <c r="ES46" s="244" t="s">
        <v>6</v>
      </c>
      <c r="ET46" s="244" t="s">
        <v>6</v>
      </c>
      <c r="EU46" s="244" t="s">
        <v>6</v>
      </c>
      <c r="EV46" s="244" t="s">
        <v>6</v>
      </c>
      <c r="EW46" s="244" t="s">
        <v>6</v>
      </c>
      <c r="EX46" s="244" t="s">
        <v>6</v>
      </c>
    </row>
    <row r="47" spans="1:154" ht="13.5">
      <c r="A47" s="240" t="s">
        <v>6</v>
      </c>
      <c r="B47" s="241" t="s">
        <v>6</v>
      </c>
      <c r="C47" s="244" t="s">
        <v>6</v>
      </c>
      <c r="D47" s="244" t="s">
        <v>6</v>
      </c>
      <c r="E47" s="244" t="s">
        <v>6</v>
      </c>
      <c r="F47" s="241" t="s">
        <v>6</v>
      </c>
      <c r="G47" s="232" t="s">
        <v>6</v>
      </c>
      <c r="H47" s="241" t="s">
        <v>6</v>
      </c>
      <c r="I47" s="232" t="s">
        <v>6</v>
      </c>
      <c r="J47" s="244" t="s">
        <v>6</v>
      </c>
      <c r="K47" s="244" t="s">
        <v>6</v>
      </c>
      <c r="L47" s="244" t="s">
        <v>6</v>
      </c>
      <c r="M47" s="244" t="s">
        <v>6</v>
      </c>
      <c r="N47" s="244" t="s">
        <v>6</v>
      </c>
      <c r="O47" s="244" t="s">
        <v>6</v>
      </c>
      <c r="P47" s="244" t="s">
        <v>6</v>
      </c>
      <c r="Q47" s="244" t="s">
        <v>6</v>
      </c>
      <c r="R47" s="244" t="s">
        <v>6</v>
      </c>
      <c r="S47" s="244" t="s">
        <v>6</v>
      </c>
      <c r="T47" s="244" t="s">
        <v>6</v>
      </c>
      <c r="U47" s="244" t="s">
        <v>6</v>
      </c>
      <c r="V47" s="244" t="s">
        <v>6</v>
      </c>
      <c r="W47" s="244" t="s">
        <v>6</v>
      </c>
      <c r="X47" s="244" t="s">
        <v>6</v>
      </c>
      <c r="Y47" s="244" t="s">
        <v>6</v>
      </c>
      <c r="Z47" s="244" t="s">
        <v>6</v>
      </c>
      <c r="AA47" s="244" t="s">
        <v>6</v>
      </c>
      <c r="AB47" s="244" t="s">
        <v>6</v>
      </c>
      <c r="AC47" s="244" t="s">
        <v>6</v>
      </c>
      <c r="AD47" s="244" t="s">
        <v>6</v>
      </c>
      <c r="AE47" s="244" t="s">
        <v>6</v>
      </c>
      <c r="AF47" s="244" t="s">
        <v>6</v>
      </c>
      <c r="AG47" s="244" t="s">
        <v>6</v>
      </c>
      <c r="AH47" s="244" t="s">
        <v>6</v>
      </c>
      <c r="AI47" s="244" t="s">
        <v>6</v>
      </c>
      <c r="AJ47" s="244" t="s">
        <v>6</v>
      </c>
      <c r="AK47" s="244" t="s">
        <v>6</v>
      </c>
      <c r="AL47" s="244" t="s">
        <v>6</v>
      </c>
      <c r="AM47" s="244" t="s">
        <v>6</v>
      </c>
      <c r="AN47" s="244" t="s">
        <v>6</v>
      </c>
      <c r="AO47" s="244" t="s">
        <v>6</v>
      </c>
      <c r="AP47" s="244" t="s">
        <v>6</v>
      </c>
      <c r="AQ47" s="244" t="s">
        <v>6</v>
      </c>
      <c r="AR47" s="244" t="s">
        <v>6</v>
      </c>
      <c r="AS47" s="244" t="s">
        <v>6</v>
      </c>
      <c r="AT47" s="244" t="s">
        <v>6</v>
      </c>
      <c r="AU47" s="244" t="s">
        <v>6</v>
      </c>
      <c r="AV47" s="244" t="s">
        <v>6</v>
      </c>
      <c r="AW47" s="244" t="s">
        <v>6</v>
      </c>
      <c r="AX47" s="244" t="s">
        <v>6</v>
      </c>
      <c r="AY47" s="244" t="s">
        <v>6</v>
      </c>
      <c r="AZ47" s="244" t="s">
        <v>6</v>
      </c>
      <c r="BA47" s="244" t="s">
        <v>6</v>
      </c>
      <c r="BB47" s="244" t="s">
        <v>6</v>
      </c>
      <c r="BC47" s="244" t="s">
        <v>6</v>
      </c>
      <c r="BD47" s="244" t="s">
        <v>6</v>
      </c>
      <c r="BE47" s="244" t="s">
        <v>6</v>
      </c>
      <c r="BF47" s="244" t="s">
        <v>6</v>
      </c>
      <c r="BG47" s="244" t="s">
        <v>6</v>
      </c>
      <c r="BH47" s="244" t="s">
        <v>6</v>
      </c>
      <c r="BI47" s="244" t="s">
        <v>6</v>
      </c>
      <c r="BJ47" s="244" t="s">
        <v>6</v>
      </c>
      <c r="BK47" s="244" t="s">
        <v>6</v>
      </c>
      <c r="BL47" s="244" t="s">
        <v>6</v>
      </c>
      <c r="BM47" s="244" t="s">
        <v>6</v>
      </c>
      <c r="BN47" s="244" t="s">
        <v>6</v>
      </c>
      <c r="BO47" s="244" t="s">
        <v>6</v>
      </c>
      <c r="BP47" s="244" t="s">
        <v>6</v>
      </c>
      <c r="BQ47" s="244" t="s">
        <v>6</v>
      </c>
      <c r="BR47" s="244" t="s">
        <v>6</v>
      </c>
      <c r="BS47" s="244" t="s">
        <v>6</v>
      </c>
      <c r="BT47" s="244" t="s">
        <v>6</v>
      </c>
      <c r="BU47" s="244" t="s">
        <v>6</v>
      </c>
      <c r="BV47" s="244" t="s">
        <v>6</v>
      </c>
      <c r="BW47" s="244" t="s">
        <v>6</v>
      </c>
      <c r="BX47" s="244" t="s">
        <v>6</v>
      </c>
      <c r="BY47" s="244" t="s">
        <v>6</v>
      </c>
      <c r="BZ47" s="244" t="s">
        <v>6</v>
      </c>
      <c r="CA47" s="244" t="s">
        <v>6</v>
      </c>
      <c r="CB47" s="244" t="s">
        <v>6</v>
      </c>
      <c r="CC47" s="244" t="s">
        <v>6</v>
      </c>
      <c r="CD47" s="244" t="s">
        <v>6</v>
      </c>
      <c r="CE47" s="244" t="s">
        <v>6</v>
      </c>
      <c r="CF47" s="244" t="s">
        <v>6</v>
      </c>
      <c r="CG47" s="244" t="s">
        <v>6</v>
      </c>
      <c r="CH47" s="244" t="s">
        <v>6</v>
      </c>
      <c r="CI47" s="244" t="s">
        <v>6</v>
      </c>
      <c r="CJ47" s="244" t="s">
        <v>6</v>
      </c>
      <c r="CK47" s="244" t="s">
        <v>6</v>
      </c>
      <c r="CL47" s="244" t="s">
        <v>6</v>
      </c>
      <c r="CM47" s="244" t="s">
        <v>6</v>
      </c>
      <c r="CN47" s="244" t="s">
        <v>6</v>
      </c>
      <c r="CO47" s="244" t="s">
        <v>6</v>
      </c>
      <c r="CP47" s="244" t="s">
        <v>6</v>
      </c>
      <c r="CQ47" s="244" t="s">
        <v>6</v>
      </c>
      <c r="CR47" s="244" t="s">
        <v>6</v>
      </c>
      <c r="CS47" s="244" t="s">
        <v>6</v>
      </c>
      <c r="CT47" s="244" t="s">
        <v>6</v>
      </c>
      <c r="CU47" s="244" t="s">
        <v>6</v>
      </c>
      <c r="CV47" s="244" t="s">
        <v>6</v>
      </c>
      <c r="CW47" s="244" t="s">
        <v>6</v>
      </c>
      <c r="CX47" s="244" t="s">
        <v>6</v>
      </c>
      <c r="CY47" s="244" t="s">
        <v>6</v>
      </c>
      <c r="CZ47" s="244" t="s">
        <v>6</v>
      </c>
      <c r="DA47" s="244" t="s">
        <v>6</v>
      </c>
      <c r="DB47" s="244" t="s">
        <v>6</v>
      </c>
      <c r="DC47" s="244" t="s">
        <v>6</v>
      </c>
      <c r="DD47" s="244" t="s">
        <v>6</v>
      </c>
      <c r="DE47" s="244" t="s">
        <v>6</v>
      </c>
      <c r="DF47" s="244" t="s">
        <v>6</v>
      </c>
      <c r="DG47" s="244" t="s">
        <v>6</v>
      </c>
      <c r="DH47" s="244" t="s">
        <v>6</v>
      </c>
      <c r="DI47" s="244" t="s">
        <v>6</v>
      </c>
      <c r="DJ47" s="244" t="s">
        <v>6</v>
      </c>
      <c r="DK47" s="244" t="s">
        <v>6</v>
      </c>
      <c r="DL47" s="244" t="s">
        <v>6</v>
      </c>
      <c r="DM47" s="244" t="s">
        <v>6</v>
      </c>
      <c r="DN47" s="244" t="s">
        <v>6</v>
      </c>
      <c r="DO47" s="244" t="s">
        <v>6</v>
      </c>
      <c r="DP47" s="244" t="s">
        <v>6</v>
      </c>
      <c r="DQ47" s="244" t="s">
        <v>6</v>
      </c>
      <c r="DR47" s="244" t="s">
        <v>6</v>
      </c>
      <c r="DS47" s="244" t="s">
        <v>6</v>
      </c>
      <c r="DT47" s="244" t="s">
        <v>6</v>
      </c>
      <c r="DU47" s="244" t="s">
        <v>6</v>
      </c>
      <c r="DV47" s="244" t="s">
        <v>6</v>
      </c>
      <c r="DW47" s="244" t="s">
        <v>6</v>
      </c>
      <c r="DX47" s="244" t="s">
        <v>6</v>
      </c>
      <c r="DY47" s="244" t="s">
        <v>6</v>
      </c>
      <c r="DZ47" s="244" t="s">
        <v>6</v>
      </c>
      <c r="EA47" s="244" t="s">
        <v>6</v>
      </c>
      <c r="EB47" s="244" t="s">
        <v>6</v>
      </c>
      <c r="EC47" s="244" t="s">
        <v>6</v>
      </c>
      <c r="ED47" s="244" t="s">
        <v>6</v>
      </c>
      <c r="EE47" s="244" t="s">
        <v>6</v>
      </c>
      <c r="EF47" s="244" t="s">
        <v>6</v>
      </c>
      <c r="EG47" s="244" t="s">
        <v>6</v>
      </c>
      <c r="EH47" s="244" t="s">
        <v>6</v>
      </c>
      <c r="EI47" s="244" t="s">
        <v>6</v>
      </c>
      <c r="EJ47" s="244" t="s">
        <v>6</v>
      </c>
      <c r="EK47" s="244" t="s">
        <v>6</v>
      </c>
      <c r="EL47" s="244" t="s">
        <v>6</v>
      </c>
      <c r="EM47" s="244" t="s">
        <v>6</v>
      </c>
      <c r="EN47" s="244" t="s">
        <v>6</v>
      </c>
      <c r="EO47" s="244" t="s">
        <v>6</v>
      </c>
      <c r="EP47" s="244" t="s">
        <v>6</v>
      </c>
      <c r="EQ47" s="244" t="s">
        <v>6</v>
      </c>
      <c r="ER47" s="244" t="s">
        <v>6</v>
      </c>
      <c r="ES47" s="244" t="s">
        <v>6</v>
      </c>
      <c r="ET47" s="244" t="s">
        <v>6</v>
      </c>
      <c r="EU47" s="244" t="s">
        <v>6</v>
      </c>
      <c r="EV47" s="244" t="s">
        <v>6</v>
      </c>
      <c r="EW47" s="244" t="s">
        <v>6</v>
      </c>
      <c r="EX47" s="244" t="s">
        <v>6</v>
      </c>
    </row>
    <row r="48" spans="1:154" ht="13.5">
      <c r="A48" s="240" t="s">
        <v>6</v>
      </c>
      <c r="B48" s="241" t="s">
        <v>6</v>
      </c>
      <c r="C48" s="244" t="s">
        <v>6</v>
      </c>
      <c r="D48" s="244" t="s">
        <v>6</v>
      </c>
      <c r="E48" s="244" t="s">
        <v>6</v>
      </c>
      <c r="F48" s="241" t="s">
        <v>6</v>
      </c>
      <c r="G48" s="232" t="s">
        <v>6</v>
      </c>
      <c r="H48" s="241" t="s">
        <v>6</v>
      </c>
      <c r="I48" s="232" t="s">
        <v>6</v>
      </c>
      <c r="J48" s="244" t="s">
        <v>6</v>
      </c>
      <c r="K48" s="244" t="s">
        <v>6</v>
      </c>
      <c r="L48" s="244" t="s">
        <v>6</v>
      </c>
      <c r="M48" s="244" t="s">
        <v>6</v>
      </c>
      <c r="N48" s="244" t="s">
        <v>6</v>
      </c>
      <c r="O48" s="244" t="s">
        <v>6</v>
      </c>
      <c r="P48" s="244" t="s">
        <v>6</v>
      </c>
      <c r="Q48" s="244" t="s">
        <v>6</v>
      </c>
      <c r="R48" s="244" t="s">
        <v>6</v>
      </c>
      <c r="S48" s="244" t="s">
        <v>6</v>
      </c>
      <c r="T48" s="244" t="s">
        <v>6</v>
      </c>
      <c r="U48" s="244" t="s">
        <v>6</v>
      </c>
      <c r="V48" s="244" t="s">
        <v>6</v>
      </c>
      <c r="W48" s="244" t="s">
        <v>6</v>
      </c>
      <c r="X48" s="244" t="s">
        <v>6</v>
      </c>
      <c r="Y48" s="244" t="s">
        <v>6</v>
      </c>
      <c r="Z48" s="244" t="s">
        <v>6</v>
      </c>
      <c r="AA48" s="244" t="s">
        <v>6</v>
      </c>
      <c r="AB48" s="244" t="s">
        <v>6</v>
      </c>
      <c r="AC48" s="244" t="s">
        <v>6</v>
      </c>
      <c r="AD48" s="244" t="s">
        <v>6</v>
      </c>
      <c r="AE48" s="244" t="s">
        <v>6</v>
      </c>
      <c r="AF48" s="244" t="s">
        <v>6</v>
      </c>
      <c r="AG48" s="244" t="s">
        <v>6</v>
      </c>
      <c r="AH48" s="244" t="s">
        <v>6</v>
      </c>
      <c r="AI48" s="244" t="s">
        <v>6</v>
      </c>
      <c r="AJ48" s="244" t="s">
        <v>6</v>
      </c>
      <c r="AK48" s="244" t="s">
        <v>6</v>
      </c>
      <c r="AL48" s="244" t="s">
        <v>6</v>
      </c>
      <c r="AM48" s="244" t="s">
        <v>6</v>
      </c>
      <c r="AN48" s="244" t="s">
        <v>6</v>
      </c>
      <c r="AO48" s="244" t="s">
        <v>6</v>
      </c>
      <c r="AP48" s="244" t="s">
        <v>6</v>
      </c>
      <c r="AQ48" s="244" t="s">
        <v>6</v>
      </c>
      <c r="AR48" s="244" t="s">
        <v>6</v>
      </c>
      <c r="AS48" s="244" t="s">
        <v>6</v>
      </c>
      <c r="AT48" s="244" t="s">
        <v>6</v>
      </c>
      <c r="AU48" s="244" t="s">
        <v>6</v>
      </c>
      <c r="AV48" s="244" t="s">
        <v>6</v>
      </c>
      <c r="AW48" s="244" t="s">
        <v>6</v>
      </c>
      <c r="AX48" s="244" t="s">
        <v>6</v>
      </c>
      <c r="AY48" s="244" t="s">
        <v>6</v>
      </c>
      <c r="AZ48" s="244" t="s">
        <v>6</v>
      </c>
      <c r="BA48" s="244" t="s">
        <v>6</v>
      </c>
      <c r="BB48" s="244" t="s">
        <v>6</v>
      </c>
      <c r="BC48" s="244" t="s">
        <v>6</v>
      </c>
      <c r="BD48" s="244" t="s">
        <v>6</v>
      </c>
      <c r="BE48" s="244" t="s">
        <v>6</v>
      </c>
      <c r="BF48" s="244" t="s">
        <v>6</v>
      </c>
      <c r="BG48" s="244" t="s">
        <v>6</v>
      </c>
      <c r="BH48" s="244" t="s">
        <v>6</v>
      </c>
      <c r="BI48" s="244" t="s">
        <v>6</v>
      </c>
      <c r="BJ48" s="244" t="s">
        <v>6</v>
      </c>
      <c r="BK48" s="244" t="s">
        <v>6</v>
      </c>
      <c r="BL48" s="244" t="s">
        <v>6</v>
      </c>
      <c r="BM48" s="244" t="s">
        <v>6</v>
      </c>
      <c r="BN48" s="244" t="s">
        <v>6</v>
      </c>
      <c r="BO48" s="244" t="s">
        <v>6</v>
      </c>
      <c r="BP48" s="244" t="s">
        <v>6</v>
      </c>
      <c r="BQ48" s="244" t="s">
        <v>6</v>
      </c>
      <c r="BR48" s="244" t="s">
        <v>6</v>
      </c>
      <c r="BS48" s="244" t="s">
        <v>6</v>
      </c>
      <c r="BT48" s="244" t="s">
        <v>6</v>
      </c>
      <c r="BU48" s="244" t="s">
        <v>6</v>
      </c>
      <c r="BV48" s="244" t="s">
        <v>6</v>
      </c>
      <c r="BW48" s="244" t="s">
        <v>6</v>
      </c>
      <c r="BX48" s="244" t="s">
        <v>6</v>
      </c>
      <c r="BY48" s="244" t="s">
        <v>6</v>
      </c>
      <c r="BZ48" s="244" t="s">
        <v>6</v>
      </c>
      <c r="CA48" s="244" t="s">
        <v>6</v>
      </c>
      <c r="CB48" s="244" t="s">
        <v>6</v>
      </c>
      <c r="CC48" s="244" t="s">
        <v>6</v>
      </c>
      <c r="CD48" s="244" t="s">
        <v>6</v>
      </c>
      <c r="CE48" s="244" t="s">
        <v>6</v>
      </c>
      <c r="CF48" s="244" t="s">
        <v>6</v>
      </c>
      <c r="CG48" s="244" t="s">
        <v>6</v>
      </c>
      <c r="CH48" s="244" t="s">
        <v>6</v>
      </c>
      <c r="CI48" s="244" t="s">
        <v>6</v>
      </c>
      <c r="CJ48" s="244" t="s">
        <v>6</v>
      </c>
      <c r="CK48" s="244" t="s">
        <v>6</v>
      </c>
      <c r="CL48" s="244" t="s">
        <v>6</v>
      </c>
      <c r="CM48" s="244" t="s">
        <v>6</v>
      </c>
      <c r="CN48" s="244" t="s">
        <v>6</v>
      </c>
      <c r="CO48" s="244" t="s">
        <v>6</v>
      </c>
      <c r="CP48" s="244" t="s">
        <v>6</v>
      </c>
      <c r="CQ48" s="244" t="s">
        <v>6</v>
      </c>
      <c r="CR48" s="244" t="s">
        <v>6</v>
      </c>
      <c r="CS48" s="244" t="s">
        <v>6</v>
      </c>
      <c r="CT48" s="244" t="s">
        <v>6</v>
      </c>
      <c r="CU48" s="244" t="s">
        <v>6</v>
      </c>
      <c r="CV48" s="244" t="s">
        <v>6</v>
      </c>
      <c r="CW48" s="244" t="s">
        <v>6</v>
      </c>
      <c r="CX48" s="244" t="s">
        <v>6</v>
      </c>
      <c r="CY48" s="244" t="s">
        <v>6</v>
      </c>
      <c r="CZ48" s="244" t="s">
        <v>6</v>
      </c>
      <c r="DA48" s="244" t="s">
        <v>6</v>
      </c>
      <c r="DB48" s="244" t="s">
        <v>6</v>
      </c>
      <c r="DC48" s="244" t="s">
        <v>6</v>
      </c>
      <c r="DD48" s="244" t="s">
        <v>6</v>
      </c>
      <c r="DE48" s="244" t="s">
        <v>6</v>
      </c>
      <c r="DF48" s="244" t="s">
        <v>6</v>
      </c>
      <c r="DG48" s="244" t="s">
        <v>6</v>
      </c>
      <c r="DH48" s="244" t="s">
        <v>6</v>
      </c>
      <c r="DI48" s="244" t="s">
        <v>6</v>
      </c>
      <c r="DJ48" s="244" t="s">
        <v>6</v>
      </c>
      <c r="DK48" s="244" t="s">
        <v>6</v>
      </c>
      <c r="DL48" s="244" t="s">
        <v>6</v>
      </c>
      <c r="DM48" s="244" t="s">
        <v>6</v>
      </c>
      <c r="DN48" s="244" t="s">
        <v>6</v>
      </c>
      <c r="DO48" s="244" t="s">
        <v>6</v>
      </c>
      <c r="DP48" s="244" t="s">
        <v>6</v>
      </c>
      <c r="DQ48" s="244" t="s">
        <v>6</v>
      </c>
      <c r="DR48" s="244" t="s">
        <v>6</v>
      </c>
      <c r="DS48" s="244" t="s">
        <v>6</v>
      </c>
      <c r="DT48" s="244" t="s">
        <v>6</v>
      </c>
      <c r="DU48" s="244" t="s">
        <v>6</v>
      </c>
      <c r="DV48" s="244" t="s">
        <v>6</v>
      </c>
      <c r="DW48" s="244" t="s">
        <v>6</v>
      </c>
      <c r="DX48" s="244" t="s">
        <v>6</v>
      </c>
      <c r="DY48" s="244" t="s">
        <v>6</v>
      </c>
      <c r="DZ48" s="244" t="s">
        <v>6</v>
      </c>
      <c r="EA48" s="244" t="s">
        <v>6</v>
      </c>
      <c r="EB48" s="244" t="s">
        <v>6</v>
      </c>
      <c r="EC48" s="244" t="s">
        <v>6</v>
      </c>
      <c r="ED48" s="244" t="s">
        <v>6</v>
      </c>
      <c r="EE48" s="244" t="s">
        <v>6</v>
      </c>
      <c r="EF48" s="244" t="s">
        <v>6</v>
      </c>
      <c r="EG48" s="244" t="s">
        <v>6</v>
      </c>
      <c r="EH48" s="244" t="s">
        <v>6</v>
      </c>
      <c r="EI48" s="244" t="s">
        <v>6</v>
      </c>
      <c r="EJ48" s="244" t="s">
        <v>6</v>
      </c>
      <c r="EK48" s="244" t="s">
        <v>6</v>
      </c>
      <c r="EL48" s="244" t="s">
        <v>6</v>
      </c>
      <c r="EM48" s="244" t="s">
        <v>6</v>
      </c>
      <c r="EN48" s="244" t="s">
        <v>6</v>
      </c>
      <c r="EO48" s="244" t="s">
        <v>6</v>
      </c>
      <c r="EP48" s="244" t="s">
        <v>6</v>
      </c>
      <c r="EQ48" s="244" t="s">
        <v>6</v>
      </c>
      <c r="ER48" s="244" t="s">
        <v>6</v>
      </c>
      <c r="ES48" s="244" t="s">
        <v>6</v>
      </c>
      <c r="ET48" s="244" t="s">
        <v>6</v>
      </c>
      <c r="EU48" s="244" t="s">
        <v>6</v>
      </c>
      <c r="EV48" s="244" t="s">
        <v>6</v>
      </c>
      <c r="EW48" s="244" t="s">
        <v>6</v>
      </c>
      <c r="EX48" s="244" t="s">
        <v>6</v>
      </c>
    </row>
    <row r="49" spans="1:154" ht="13.5">
      <c r="A49" s="240" t="s">
        <v>6</v>
      </c>
      <c r="B49" s="241" t="s">
        <v>6</v>
      </c>
      <c r="C49" s="244" t="s">
        <v>6</v>
      </c>
      <c r="D49" s="244" t="s">
        <v>6</v>
      </c>
      <c r="E49" s="244" t="s">
        <v>6</v>
      </c>
      <c r="F49" s="241" t="s">
        <v>6</v>
      </c>
      <c r="G49" s="232" t="s">
        <v>6</v>
      </c>
      <c r="H49" s="241" t="s">
        <v>6</v>
      </c>
      <c r="I49" s="232" t="s">
        <v>6</v>
      </c>
      <c r="J49" s="244" t="s">
        <v>6</v>
      </c>
      <c r="K49" s="244" t="s">
        <v>6</v>
      </c>
      <c r="L49" s="244" t="s">
        <v>6</v>
      </c>
      <c r="M49" s="244" t="s">
        <v>6</v>
      </c>
      <c r="N49" s="244" t="s">
        <v>6</v>
      </c>
      <c r="O49" s="244" t="s">
        <v>6</v>
      </c>
      <c r="P49" s="244" t="s">
        <v>6</v>
      </c>
      <c r="Q49" s="244" t="s">
        <v>6</v>
      </c>
      <c r="R49" s="244" t="s">
        <v>6</v>
      </c>
      <c r="S49" s="244" t="s">
        <v>6</v>
      </c>
      <c r="T49" s="244" t="s">
        <v>6</v>
      </c>
      <c r="U49" s="244" t="s">
        <v>6</v>
      </c>
      <c r="V49" s="244" t="s">
        <v>6</v>
      </c>
      <c r="W49" s="244" t="s">
        <v>6</v>
      </c>
      <c r="X49" s="244" t="s">
        <v>6</v>
      </c>
      <c r="Y49" s="244" t="s">
        <v>6</v>
      </c>
      <c r="Z49" s="244" t="s">
        <v>6</v>
      </c>
      <c r="AA49" s="244" t="s">
        <v>6</v>
      </c>
      <c r="AB49" s="244" t="s">
        <v>6</v>
      </c>
      <c r="AC49" s="244" t="s">
        <v>6</v>
      </c>
      <c r="AD49" s="244" t="s">
        <v>6</v>
      </c>
      <c r="AE49" s="244" t="s">
        <v>6</v>
      </c>
      <c r="AF49" s="244" t="s">
        <v>6</v>
      </c>
      <c r="AG49" s="244" t="s">
        <v>6</v>
      </c>
      <c r="AH49" s="244" t="s">
        <v>6</v>
      </c>
      <c r="AI49" s="244" t="s">
        <v>6</v>
      </c>
      <c r="AJ49" s="244" t="s">
        <v>6</v>
      </c>
      <c r="AK49" s="244" t="s">
        <v>6</v>
      </c>
      <c r="AL49" s="244" t="s">
        <v>6</v>
      </c>
      <c r="AM49" s="244" t="s">
        <v>6</v>
      </c>
      <c r="AN49" s="244" t="s">
        <v>6</v>
      </c>
      <c r="AO49" s="244" t="s">
        <v>6</v>
      </c>
      <c r="AP49" s="244" t="s">
        <v>6</v>
      </c>
      <c r="AQ49" s="244" t="s">
        <v>6</v>
      </c>
      <c r="AR49" s="244" t="s">
        <v>6</v>
      </c>
      <c r="AS49" s="244" t="s">
        <v>6</v>
      </c>
      <c r="AT49" s="244" t="s">
        <v>6</v>
      </c>
      <c r="AU49" s="244" t="s">
        <v>6</v>
      </c>
      <c r="AV49" s="244" t="s">
        <v>6</v>
      </c>
      <c r="AW49" s="244" t="s">
        <v>6</v>
      </c>
      <c r="AX49" s="244" t="s">
        <v>6</v>
      </c>
      <c r="AY49" s="244" t="s">
        <v>6</v>
      </c>
      <c r="AZ49" s="244" t="s">
        <v>6</v>
      </c>
      <c r="BA49" s="244" t="s">
        <v>6</v>
      </c>
      <c r="BB49" s="244" t="s">
        <v>6</v>
      </c>
      <c r="BC49" s="244" t="s">
        <v>6</v>
      </c>
      <c r="BD49" s="244" t="s">
        <v>6</v>
      </c>
      <c r="BE49" s="244" t="s">
        <v>6</v>
      </c>
      <c r="BF49" s="244" t="s">
        <v>6</v>
      </c>
      <c r="BG49" s="244" t="s">
        <v>6</v>
      </c>
      <c r="BH49" s="244" t="s">
        <v>6</v>
      </c>
      <c r="BI49" s="244" t="s">
        <v>6</v>
      </c>
      <c r="BJ49" s="244" t="s">
        <v>6</v>
      </c>
      <c r="BK49" s="244" t="s">
        <v>6</v>
      </c>
      <c r="BL49" s="244" t="s">
        <v>6</v>
      </c>
      <c r="BM49" s="244" t="s">
        <v>6</v>
      </c>
      <c r="BN49" s="244" t="s">
        <v>6</v>
      </c>
      <c r="BO49" s="244" t="s">
        <v>6</v>
      </c>
      <c r="BP49" s="244" t="s">
        <v>6</v>
      </c>
      <c r="BQ49" s="244" t="s">
        <v>6</v>
      </c>
      <c r="BR49" s="244" t="s">
        <v>6</v>
      </c>
      <c r="BS49" s="244" t="s">
        <v>6</v>
      </c>
      <c r="BT49" s="244" t="s">
        <v>6</v>
      </c>
      <c r="BU49" s="244" t="s">
        <v>6</v>
      </c>
      <c r="BV49" s="244" t="s">
        <v>6</v>
      </c>
      <c r="BW49" s="244" t="s">
        <v>6</v>
      </c>
      <c r="BX49" s="244" t="s">
        <v>6</v>
      </c>
      <c r="BY49" s="244" t="s">
        <v>6</v>
      </c>
      <c r="BZ49" s="244" t="s">
        <v>6</v>
      </c>
      <c r="CA49" s="244" t="s">
        <v>6</v>
      </c>
      <c r="CB49" s="244" t="s">
        <v>6</v>
      </c>
      <c r="CC49" s="244" t="s">
        <v>6</v>
      </c>
      <c r="CD49" s="244" t="s">
        <v>6</v>
      </c>
      <c r="CE49" s="244" t="s">
        <v>6</v>
      </c>
      <c r="CF49" s="244" t="s">
        <v>6</v>
      </c>
      <c r="CG49" s="244" t="s">
        <v>6</v>
      </c>
      <c r="CH49" s="244" t="s">
        <v>6</v>
      </c>
      <c r="CI49" s="244" t="s">
        <v>6</v>
      </c>
      <c r="CJ49" s="244" t="s">
        <v>6</v>
      </c>
      <c r="CK49" s="244" t="s">
        <v>6</v>
      </c>
      <c r="CL49" s="244" t="s">
        <v>6</v>
      </c>
      <c r="CM49" s="244" t="s">
        <v>6</v>
      </c>
      <c r="CN49" s="244" t="s">
        <v>6</v>
      </c>
      <c r="CO49" s="244" t="s">
        <v>6</v>
      </c>
      <c r="CP49" s="244" t="s">
        <v>6</v>
      </c>
      <c r="CQ49" s="244" t="s">
        <v>6</v>
      </c>
      <c r="CR49" s="244" t="s">
        <v>6</v>
      </c>
      <c r="CS49" s="244" t="s">
        <v>6</v>
      </c>
      <c r="CT49" s="244" t="s">
        <v>6</v>
      </c>
      <c r="CU49" s="244" t="s">
        <v>6</v>
      </c>
      <c r="CV49" s="244" t="s">
        <v>6</v>
      </c>
      <c r="CW49" s="244" t="s">
        <v>6</v>
      </c>
      <c r="CX49" s="244" t="s">
        <v>6</v>
      </c>
      <c r="CY49" s="244" t="s">
        <v>6</v>
      </c>
      <c r="CZ49" s="244" t="s">
        <v>6</v>
      </c>
      <c r="DA49" s="244" t="s">
        <v>6</v>
      </c>
      <c r="DB49" s="244" t="s">
        <v>6</v>
      </c>
      <c r="DC49" s="244" t="s">
        <v>6</v>
      </c>
      <c r="DD49" s="244" t="s">
        <v>6</v>
      </c>
      <c r="DE49" s="244" t="s">
        <v>6</v>
      </c>
      <c r="DF49" s="244" t="s">
        <v>6</v>
      </c>
      <c r="DG49" s="244" t="s">
        <v>6</v>
      </c>
      <c r="DH49" s="244" t="s">
        <v>6</v>
      </c>
      <c r="DI49" s="244" t="s">
        <v>6</v>
      </c>
      <c r="DJ49" s="244" t="s">
        <v>6</v>
      </c>
      <c r="DK49" s="244" t="s">
        <v>6</v>
      </c>
      <c r="DL49" s="244" t="s">
        <v>6</v>
      </c>
      <c r="DM49" s="244" t="s">
        <v>6</v>
      </c>
      <c r="DN49" s="244" t="s">
        <v>6</v>
      </c>
      <c r="DO49" s="244" t="s">
        <v>6</v>
      </c>
      <c r="DP49" s="244" t="s">
        <v>6</v>
      </c>
      <c r="DQ49" s="244" t="s">
        <v>6</v>
      </c>
      <c r="DR49" s="244" t="s">
        <v>6</v>
      </c>
      <c r="DS49" s="244" t="s">
        <v>6</v>
      </c>
      <c r="DT49" s="244" t="s">
        <v>6</v>
      </c>
      <c r="DU49" s="244" t="s">
        <v>6</v>
      </c>
      <c r="DV49" s="244" t="s">
        <v>6</v>
      </c>
      <c r="DW49" s="244" t="s">
        <v>6</v>
      </c>
      <c r="DX49" s="244" t="s">
        <v>6</v>
      </c>
      <c r="DY49" s="244" t="s">
        <v>6</v>
      </c>
      <c r="DZ49" s="244" t="s">
        <v>6</v>
      </c>
      <c r="EA49" s="244" t="s">
        <v>6</v>
      </c>
      <c r="EB49" s="244" t="s">
        <v>6</v>
      </c>
      <c r="EC49" s="244" t="s">
        <v>6</v>
      </c>
      <c r="ED49" s="244" t="s">
        <v>6</v>
      </c>
      <c r="EE49" s="244" t="s">
        <v>6</v>
      </c>
      <c r="EF49" s="244" t="s">
        <v>6</v>
      </c>
      <c r="EG49" s="244" t="s">
        <v>6</v>
      </c>
      <c r="EH49" s="244" t="s">
        <v>6</v>
      </c>
      <c r="EI49" s="244" t="s">
        <v>6</v>
      </c>
      <c r="EJ49" s="244" t="s">
        <v>6</v>
      </c>
      <c r="EK49" s="244" t="s">
        <v>6</v>
      </c>
      <c r="EL49" s="244" t="s">
        <v>6</v>
      </c>
      <c r="EM49" s="244" t="s">
        <v>6</v>
      </c>
      <c r="EN49" s="244" t="s">
        <v>6</v>
      </c>
      <c r="EO49" s="244" t="s">
        <v>6</v>
      </c>
      <c r="EP49" s="244" t="s">
        <v>6</v>
      </c>
      <c r="EQ49" s="244" t="s">
        <v>6</v>
      </c>
      <c r="ER49" s="244" t="s">
        <v>6</v>
      </c>
      <c r="ES49" s="244" t="s">
        <v>6</v>
      </c>
      <c r="ET49" s="244" t="s">
        <v>6</v>
      </c>
      <c r="EU49" s="244" t="s">
        <v>6</v>
      </c>
      <c r="EV49" s="244" t="s">
        <v>6</v>
      </c>
      <c r="EW49" s="244" t="s">
        <v>6</v>
      </c>
      <c r="EX49" s="244" t="s">
        <v>6</v>
      </c>
    </row>
    <row r="50" spans="1:154" ht="13.5">
      <c r="A50" s="240" t="s">
        <v>6</v>
      </c>
      <c r="B50" s="241" t="s">
        <v>6</v>
      </c>
      <c r="C50" s="244" t="s">
        <v>6</v>
      </c>
      <c r="D50" s="244" t="s">
        <v>6</v>
      </c>
      <c r="E50" s="244" t="s">
        <v>6</v>
      </c>
      <c r="F50" s="241" t="s">
        <v>6</v>
      </c>
      <c r="G50" s="232" t="s">
        <v>6</v>
      </c>
      <c r="H50" s="241" t="s">
        <v>6</v>
      </c>
      <c r="I50" s="232" t="s">
        <v>6</v>
      </c>
      <c r="J50" s="244" t="s">
        <v>6</v>
      </c>
      <c r="K50" s="244" t="s">
        <v>6</v>
      </c>
      <c r="L50" s="244" t="s">
        <v>6</v>
      </c>
      <c r="M50" s="244" t="s">
        <v>6</v>
      </c>
      <c r="N50" s="244" t="s">
        <v>6</v>
      </c>
      <c r="O50" s="244" t="s">
        <v>6</v>
      </c>
      <c r="P50" s="244" t="s">
        <v>6</v>
      </c>
      <c r="Q50" s="244" t="s">
        <v>6</v>
      </c>
      <c r="R50" s="244" t="s">
        <v>6</v>
      </c>
      <c r="S50" s="244" t="s">
        <v>6</v>
      </c>
      <c r="T50" s="244" t="s">
        <v>6</v>
      </c>
      <c r="U50" s="244" t="s">
        <v>6</v>
      </c>
      <c r="V50" s="244" t="s">
        <v>6</v>
      </c>
      <c r="W50" s="244" t="s">
        <v>6</v>
      </c>
      <c r="X50" s="244" t="s">
        <v>6</v>
      </c>
      <c r="Y50" s="244" t="s">
        <v>6</v>
      </c>
      <c r="Z50" s="244" t="s">
        <v>6</v>
      </c>
      <c r="AA50" s="244" t="s">
        <v>6</v>
      </c>
      <c r="AB50" s="244" t="s">
        <v>6</v>
      </c>
      <c r="AC50" s="244" t="s">
        <v>6</v>
      </c>
      <c r="AD50" s="244" t="s">
        <v>6</v>
      </c>
      <c r="AE50" s="244" t="s">
        <v>6</v>
      </c>
      <c r="AF50" s="244" t="s">
        <v>6</v>
      </c>
      <c r="AG50" s="244" t="s">
        <v>6</v>
      </c>
      <c r="AH50" s="244" t="s">
        <v>6</v>
      </c>
      <c r="AI50" s="244" t="s">
        <v>6</v>
      </c>
      <c r="AJ50" s="244" t="s">
        <v>6</v>
      </c>
      <c r="AK50" s="244" t="s">
        <v>6</v>
      </c>
      <c r="AL50" s="244" t="s">
        <v>6</v>
      </c>
      <c r="AM50" s="244" t="s">
        <v>6</v>
      </c>
      <c r="AN50" s="244" t="s">
        <v>6</v>
      </c>
      <c r="AO50" s="244" t="s">
        <v>6</v>
      </c>
      <c r="AP50" s="244" t="s">
        <v>6</v>
      </c>
      <c r="AQ50" s="244" t="s">
        <v>6</v>
      </c>
      <c r="AR50" s="244" t="s">
        <v>6</v>
      </c>
      <c r="AS50" s="244" t="s">
        <v>6</v>
      </c>
      <c r="AT50" s="244" t="s">
        <v>6</v>
      </c>
      <c r="AU50" s="244" t="s">
        <v>6</v>
      </c>
      <c r="AV50" s="244" t="s">
        <v>6</v>
      </c>
      <c r="AW50" s="244" t="s">
        <v>6</v>
      </c>
      <c r="AX50" s="244" t="s">
        <v>6</v>
      </c>
      <c r="AY50" s="244" t="s">
        <v>6</v>
      </c>
      <c r="AZ50" s="244" t="s">
        <v>6</v>
      </c>
      <c r="BA50" s="244" t="s">
        <v>6</v>
      </c>
      <c r="BB50" s="244" t="s">
        <v>6</v>
      </c>
      <c r="BC50" s="244" t="s">
        <v>6</v>
      </c>
      <c r="BD50" s="244" t="s">
        <v>6</v>
      </c>
      <c r="BE50" s="244" t="s">
        <v>6</v>
      </c>
      <c r="BF50" s="244" t="s">
        <v>6</v>
      </c>
      <c r="BG50" s="244" t="s">
        <v>6</v>
      </c>
      <c r="BH50" s="244" t="s">
        <v>6</v>
      </c>
      <c r="BI50" s="244" t="s">
        <v>6</v>
      </c>
      <c r="BJ50" s="244" t="s">
        <v>6</v>
      </c>
      <c r="BK50" s="244" t="s">
        <v>6</v>
      </c>
      <c r="BL50" s="244" t="s">
        <v>6</v>
      </c>
      <c r="BM50" s="244" t="s">
        <v>6</v>
      </c>
      <c r="BN50" s="244" t="s">
        <v>6</v>
      </c>
      <c r="BO50" s="244" t="s">
        <v>6</v>
      </c>
      <c r="BP50" s="244" t="s">
        <v>6</v>
      </c>
      <c r="BQ50" s="244" t="s">
        <v>6</v>
      </c>
      <c r="BR50" s="244" t="s">
        <v>6</v>
      </c>
      <c r="BS50" s="244" t="s">
        <v>6</v>
      </c>
      <c r="BT50" s="244" t="s">
        <v>6</v>
      </c>
      <c r="BU50" s="244" t="s">
        <v>6</v>
      </c>
      <c r="BV50" s="244" t="s">
        <v>6</v>
      </c>
      <c r="BW50" s="244" t="s">
        <v>6</v>
      </c>
      <c r="BX50" s="244" t="s">
        <v>6</v>
      </c>
      <c r="BY50" s="244" t="s">
        <v>6</v>
      </c>
      <c r="BZ50" s="244" t="s">
        <v>6</v>
      </c>
      <c r="CA50" s="244" t="s">
        <v>6</v>
      </c>
      <c r="CB50" s="244" t="s">
        <v>6</v>
      </c>
      <c r="CC50" s="244" t="s">
        <v>6</v>
      </c>
      <c r="CD50" s="244" t="s">
        <v>6</v>
      </c>
      <c r="CE50" s="244" t="s">
        <v>6</v>
      </c>
      <c r="CF50" s="244" t="s">
        <v>6</v>
      </c>
      <c r="CG50" s="244" t="s">
        <v>6</v>
      </c>
      <c r="CH50" s="244" t="s">
        <v>6</v>
      </c>
      <c r="CI50" s="244" t="s">
        <v>6</v>
      </c>
      <c r="CJ50" s="244" t="s">
        <v>6</v>
      </c>
      <c r="CK50" s="244" t="s">
        <v>6</v>
      </c>
      <c r="CL50" s="244" t="s">
        <v>6</v>
      </c>
      <c r="CM50" s="244" t="s">
        <v>6</v>
      </c>
      <c r="CN50" s="244" t="s">
        <v>6</v>
      </c>
      <c r="CO50" s="244" t="s">
        <v>6</v>
      </c>
      <c r="CP50" s="244" t="s">
        <v>6</v>
      </c>
      <c r="CQ50" s="244" t="s">
        <v>6</v>
      </c>
      <c r="CR50" s="244" t="s">
        <v>6</v>
      </c>
      <c r="CS50" s="244" t="s">
        <v>6</v>
      </c>
      <c r="CT50" s="244" t="s">
        <v>6</v>
      </c>
      <c r="CU50" s="244" t="s">
        <v>6</v>
      </c>
      <c r="CV50" s="244" t="s">
        <v>6</v>
      </c>
      <c r="CW50" s="244" t="s">
        <v>6</v>
      </c>
      <c r="CX50" s="244" t="s">
        <v>6</v>
      </c>
      <c r="CY50" s="244" t="s">
        <v>6</v>
      </c>
      <c r="CZ50" s="244" t="s">
        <v>6</v>
      </c>
      <c r="DA50" s="244" t="s">
        <v>6</v>
      </c>
      <c r="DB50" s="244" t="s">
        <v>6</v>
      </c>
      <c r="DC50" s="244" t="s">
        <v>6</v>
      </c>
      <c r="DD50" s="244" t="s">
        <v>6</v>
      </c>
      <c r="DE50" s="244" t="s">
        <v>6</v>
      </c>
      <c r="DF50" s="244" t="s">
        <v>6</v>
      </c>
      <c r="DG50" s="244" t="s">
        <v>6</v>
      </c>
      <c r="DH50" s="244" t="s">
        <v>6</v>
      </c>
      <c r="DI50" s="244" t="s">
        <v>6</v>
      </c>
      <c r="DJ50" s="244" t="s">
        <v>6</v>
      </c>
      <c r="DK50" s="244" t="s">
        <v>6</v>
      </c>
      <c r="DL50" s="244" t="s">
        <v>6</v>
      </c>
      <c r="DM50" s="244" t="s">
        <v>6</v>
      </c>
      <c r="DN50" s="244" t="s">
        <v>6</v>
      </c>
      <c r="DO50" s="244" t="s">
        <v>6</v>
      </c>
      <c r="DP50" s="244" t="s">
        <v>6</v>
      </c>
      <c r="DQ50" s="244" t="s">
        <v>6</v>
      </c>
      <c r="DR50" s="244" t="s">
        <v>6</v>
      </c>
      <c r="DS50" s="244" t="s">
        <v>6</v>
      </c>
      <c r="DT50" s="244" t="s">
        <v>6</v>
      </c>
      <c r="DU50" s="244" t="s">
        <v>6</v>
      </c>
      <c r="DV50" s="244" t="s">
        <v>6</v>
      </c>
      <c r="DW50" s="244" t="s">
        <v>6</v>
      </c>
      <c r="DX50" s="244" t="s">
        <v>6</v>
      </c>
      <c r="DY50" s="244" t="s">
        <v>6</v>
      </c>
      <c r="DZ50" s="244" t="s">
        <v>6</v>
      </c>
      <c r="EA50" s="244" t="s">
        <v>6</v>
      </c>
      <c r="EB50" s="244" t="s">
        <v>6</v>
      </c>
      <c r="EC50" s="244" t="s">
        <v>6</v>
      </c>
      <c r="ED50" s="244" t="s">
        <v>6</v>
      </c>
      <c r="EE50" s="244" t="s">
        <v>6</v>
      </c>
      <c r="EF50" s="244" t="s">
        <v>6</v>
      </c>
      <c r="EG50" s="244" t="s">
        <v>6</v>
      </c>
      <c r="EH50" s="244" t="s">
        <v>6</v>
      </c>
      <c r="EI50" s="244" t="s">
        <v>6</v>
      </c>
      <c r="EJ50" s="244" t="s">
        <v>6</v>
      </c>
      <c r="EK50" s="244" t="s">
        <v>6</v>
      </c>
      <c r="EL50" s="244" t="s">
        <v>6</v>
      </c>
      <c r="EM50" s="244" t="s">
        <v>6</v>
      </c>
      <c r="EN50" s="244" t="s">
        <v>6</v>
      </c>
      <c r="EO50" s="244" t="s">
        <v>6</v>
      </c>
      <c r="EP50" s="244" t="s">
        <v>6</v>
      </c>
      <c r="EQ50" s="244" t="s">
        <v>6</v>
      </c>
      <c r="ER50" s="244" t="s">
        <v>6</v>
      </c>
      <c r="ES50" s="244" t="s">
        <v>6</v>
      </c>
      <c r="ET50" s="244" t="s">
        <v>6</v>
      </c>
      <c r="EU50" s="244" t="s">
        <v>6</v>
      </c>
      <c r="EV50" s="244" t="s">
        <v>6</v>
      </c>
      <c r="EW50" s="244" t="s">
        <v>6</v>
      </c>
      <c r="EX50" s="244" t="s">
        <v>6</v>
      </c>
    </row>
    <row r="51" spans="1:154" ht="13.5">
      <c r="A51" s="240" t="s">
        <v>6</v>
      </c>
      <c r="B51" s="241" t="s">
        <v>6</v>
      </c>
      <c r="C51" s="244" t="s">
        <v>6</v>
      </c>
      <c r="D51" s="244" t="s">
        <v>6</v>
      </c>
      <c r="E51" s="244" t="s">
        <v>6</v>
      </c>
      <c r="F51" s="241" t="s">
        <v>6</v>
      </c>
      <c r="G51" s="232" t="s">
        <v>6</v>
      </c>
      <c r="H51" s="241" t="s">
        <v>6</v>
      </c>
      <c r="I51" s="232" t="s">
        <v>6</v>
      </c>
      <c r="J51" s="244" t="s">
        <v>6</v>
      </c>
      <c r="K51" s="244" t="s">
        <v>6</v>
      </c>
      <c r="L51" s="244" t="s">
        <v>6</v>
      </c>
      <c r="M51" s="244" t="s">
        <v>6</v>
      </c>
      <c r="N51" s="244" t="s">
        <v>6</v>
      </c>
      <c r="O51" s="244" t="s">
        <v>6</v>
      </c>
      <c r="P51" s="244" t="s">
        <v>6</v>
      </c>
      <c r="Q51" s="244" t="s">
        <v>6</v>
      </c>
      <c r="R51" s="244" t="s">
        <v>6</v>
      </c>
      <c r="S51" s="244" t="s">
        <v>6</v>
      </c>
      <c r="T51" s="244" t="s">
        <v>6</v>
      </c>
      <c r="U51" s="244" t="s">
        <v>6</v>
      </c>
      <c r="V51" s="244" t="s">
        <v>6</v>
      </c>
      <c r="W51" s="244" t="s">
        <v>6</v>
      </c>
      <c r="X51" s="244" t="s">
        <v>6</v>
      </c>
      <c r="Y51" s="244" t="s">
        <v>6</v>
      </c>
      <c r="Z51" s="244" t="s">
        <v>6</v>
      </c>
      <c r="AA51" s="244" t="s">
        <v>6</v>
      </c>
      <c r="AB51" s="244" t="s">
        <v>6</v>
      </c>
      <c r="AC51" s="244" t="s">
        <v>6</v>
      </c>
      <c r="AD51" s="244" t="s">
        <v>6</v>
      </c>
      <c r="AE51" s="244" t="s">
        <v>6</v>
      </c>
      <c r="AF51" s="244" t="s">
        <v>6</v>
      </c>
      <c r="AG51" s="244" t="s">
        <v>6</v>
      </c>
      <c r="AH51" s="244" t="s">
        <v>6</v>
      </c>
      <c r="AI51" s="244" t="s">
        <v>6</v>
      </c>
      <c r="AJ51" s="244" t="s">
        <v>6</v>
      </c>
      <c r="AK51" s="244" t="s">
        <v>6</v>
      </c>
      <c r="AL51" s="244" t="s">
        <v>6</v>
      </c>
      <c r="AM51" s="244" t="s">
        <v>6</v>
      </c>
      <c r="AN51" s="244" t="s">
        <v>6</v>
      </c>
      <c r="AO51" s="244" t="s">
        <v>6</v>
      </c>
      <c r="AP51" s="244" t="s">
        <v>6</v>
      </c>
      <c r="AQ51" s="244" t="s">
        <v>6</v>
      </c>
      <c r="AR51" s="244" t="s">
        <v>6</v>
      </c>
      <c r="AS51" s="244" t="s">
        <v>6</v>
      </c>
      <c r="AT51" s="244" t="s">
        <v>6</v>
      </c>
      <c r="AU51" s="244" t="s">
        <v>6</v>
      </c>
      <c r="AV51" s="244" t="s">
        <v>6</v>
      </c>
      <c r="AW51" s="244" t="s">
        <v>6</v>
      </c>
      <c r="AX51" s="244" t="s">
        <v>6</v>
      </c>
      <c r="AY51" s="244" t="s">
        <v>6</v>
      </c>
      <c r="AZ51" s="244" t="s">
        <v>6</v>
      </c>
      <c r="BA51" s="244" t="s">
        <v>6</v>
      </c>
      <c r="BB51" s="244" t="s">
        <v>6</v>
      </c>
      <c r="BC51" s="244" t="s">
        <v>6</v>
      </c>
      <c r="BD51" s="244" t="s">
        <v>6</v>
      </c>
      <c r="BE51" s="244" t="s">
        <v>6</v>
      </c>
      <c r="BF51" s="244" t="s">
        <v>6</v>
      </c>
      <c r="BG51" s="244" t="s">
        <v>6</v>
      </c>
      <c r="BH51" s="244" t="s">
        <v>6</v>
      </c>
      <c r="BI51" s="244" t="s">
        <v>6</v>
      </c>
      <c r="BJ51" s="244" t="s">
        <v>6</v>
      </c>
      <c r="BK51" s="244" t="s">
        <v>6</v>
      </c>
      <c r="BL51" s="244" t="s">
        <v>6</v>
      </c>
      <c r="BM51" s="244" t="s">
        <v>6</v>
      </c>
      <c r="BN51" s="244" t="s">
        <v>6</v>
      </c>
      <c r="BO51" s="244" t="s">
        <v>6</v>
      </c>
      <c r="BP51" s="244" t="s">
        <v>6</v>
      </c>
      <c r="BQ51" s="244" t="s">
        <v>6</v>
      </c>
      <c r="BR51" s="244" t="s">
        <v>6</v>
      </c>
      <c r="BS51" s="244" t="s">
        <v>6</v>
      </c>
      <c r="BT51" s="244" t="s">
        <v>6</v>
      </c>
      <c r="BU51" s="244" t="s">
        <v>6</v>
      </c>
      <c r="BV51" s="244" t="s">
        <v>6</v>
      </c>
      <c r="BW51" s="244" t="s">
        <v>6</v>
      </c>
      <c r="BX51" s="244" t="s">
        <v>6</v>
      </c>
      <c r="BY51" s="244" t="s">
        <v>6</v>
      </c>
      <c r="BZ51" s="244" t="s">
        <v>6</v>
      </c>
      <c r="CA51" s="244" t="s">
        <v>6</v>
      </c>
      <c r="CB51" s="244" t="s">
        <v>6</v>
      </c>
      <c r="CC51" s="244" t="s">
        <v>6</v>
      </c>
      <c r="CD51" s="244" t="s">
        <v>6</v>
      </c>
      <c r="CE51" s="244" t="s">
        <v>6</v>
      </c>
      <c r="CF51" s="244" t="s">
        <v>6</v>
      </c>
      <c r="CG51" s="244" t="s">
        <v>6</v>
      </c>
      <c r="CH51" s="244" t="s">
        <v>6</v>
      </c>
      <c r="CI51" s="244" t="s">
        <v>6</v>
      </c>
      <c r="CJ51" s="244" t="s">
        <v>6</v>
      </c>
      <c r="CK51" s="244" t="s">
        <v>6</v>
      </c>
      <c r="CL51" s="244" t="s">
        <v>6</v>
      </c>
      <c r="CM51" s="244" t="s">
        <v>6</v>
      </c>
      <c r="CN51" s="244" t="s">
        <v>6</v>
      </c>
      <c r="CO51" s="244" t="s">
        <v>6</v>
      </c>
      <c r="CP51" s="244" t="s">
        <v>6</v>
      </c>
      <c r="CQ51" s="244" t="s">
        <v>6</v>
      </c>
      <c r="CR51" s="244" t="s">
        <v>6</v>
      </c>
      <c r="CS51" s="244" t="s">
        <v>6</v>
      </c>
      <c r="CT51" s="244" t="s">
        <v>6</v>
      </c>
      <c r="CU51" s="244" t="s">
        <v>6</v>
      </c>
      <c r="CV51" s="244" t="s">
        <v>6</v>
      </c>
      <c r="CW51" s="244" t="s">
        <v>6</v>
      </c>
      <c r="CX51" s="244" t="s">
        <v>6</v>
      </c>
      <c r="CY51" s="244" t="s">
        <v>6</v>
      </c>
      <c r="CZ51" s="244" t="s">
        <v>6</v>
      </c>
      <c r="DA51" s="244" t="s">
        <v>6</v>
      </c>
      <c r="DB51" s="244" t="s">
        <v>6</v>
      </c>
      <c r="DC51" s="244" t="s">
        <v>6</v>
      </c>
      <c r="DD51" s="244" t="s">
        <v>6</v>
      </c>
      <c r="DE51" s="244" t="s">
        <v>6</v>
      </c>
      <c r="DF51" s="244" t="s">
        <v>6</v>
      </c>
      <c r="DG51" s="244" t="s">
        <v>6</v>
      </c>
      <c r="DH51" s="244" t="s">
        <v>6</v>
      </c>
      <c r="DI51" s="244" t="s">
        <v>6</v>
      </c>
      <c r="DJ51" s="244" t="s">
        <v>6</v>
      </c>
      <c r="DK51" s="244" t="s">
        <v>6</v>
      </c>
      <c r="DL51" s="244" t="s">
        <v>6</v>
      </c>
      <c r="DM51" s="244" t="s">
        <v>6</v>
      </c>
      <c r="DN51" s="244" t="s">
        <v>6</v>
      </c>
      <c r="DO51" s="244" t="s">
        <v>6</v>
      </c>
      <c r="DP51" s="244" t="s">
        <v>6</v>
      </c>
      <c r="DQ51" s="244" t="s">
        <v>6</v>
      </c>
      <c r="DR51" s="244" t="s">
        <v>6</v>
      </c>
      <c r="DS51" s="244" t="s">
        <v>6</v>
      </c>
      <c r="DT51" s="244" t="s">
        <v>6</v>
      </c>
      <c r="DU51" s="244" t="s">
        <v>6</v>
      </c>
      <c r="DV51" s="244" t="s">
        <v>6</v>
      </c>
      <c r="DW51" s="244" t="s">
        <v>6</v>
      </c>
      <c r="DX51" s="244" t="s">
        <v>6</v>
      </c>
      <c r="DY51" s="244" t="s">
        <v>6</v>
      </c>
      <c r="DZ51" s="244" t="s">
        <v>6</v>
      </c>
      <c r="EA51" s="244" t="s">
        <v>6</v>
      </c>
      <c r="EB51" s="244" t="s">
        <v>6</v>
      </c>
      <c r="EC51" s="244" t="s">
        <v>6</v>
      </c>
      <c r="ED51" s="244" t="s">
        <v>6</v>
      </c>
      <c r="EE51" s="244" t="s">
        <v>6</v>
      </c>
      <c r="EF51" s="244" t="s">
        <v>6</v>
      </c>
      <c r="EG51" s="244" t="s">
        <v>6</v>
      </c>
      <c r="EH51" s="244" t="s">
        <v>6</v>
      </c>
      <c r="EI51" s="244" t="s">
        <v>6</v>
      </c>
      <c r="EJ51" s="244" t="s">
        <v>6</v>
      </c>
      <c r="EK51" s="244" t="s">
        <v>6</v>
      </c>
      <c r="EL51" s="244" t="s">
        <v>6</v>
      </c>
      <c r="EM51" s="244" t="s">
        <v>6</v>
      </c>
      <c r="EN51" s="244" t="s">
        <v>6</v>
      </c>
      <c r="EO51" s="244" t="s">
        <v>6</v>
      </c>
      <c r="EP51" s="244" t="s">
        <v>6</v>
      </c>
      <c r="EQ51" s="244" t="s">
        <v>6</v>
      </c>
      <c r="ER51" s="244" t="s">
        <v>6</v>
      </c>
      <c r="ES51" s="244" t="s">
        <v>6</v>
      </c>
      <c r="ET51" s="244" t="s">
        <v>6</v>
      </c>
      <c r="EU51" s="244" t="s">
        <v>6</v>
      </c>
      <c r="EV51" s="244" t="s">
        <v>6</v>
      </c>
      <c r="EW51" s="244" t="s">
        <v>6</v>
      </c>
      <c r="EX51" s="244" t="s">
        <v>6</v>
      </c>
    </row>
    <row r="52" spans="1:154" ht="13.5">
      <c r="A52" s="240" t="s">
        <v>6</v>
      </c>
      <c r="B52" s="241" t="s">
        <v>6</v>
      </c>
      <c r="C52" s="244" t="s">
        <v>6</v>
      </c>
      <c r="D52" s="244" t="s">
        <v>6</v>
      </c>
      <c r="E52" s="244" t="s">
        <v>6</v>
      </c>
      <c r="F52" s="241" t="s">
        <v>6</v>
      </c>
      <c r="G52" s="232" t="s">
        <v>6</v>
      </c>
      <c r="H52" s="241" t="s">
        <v>6</v>
      </c>
      <c r="I52" s="232" t="s">
        <v>6</v>
      </c>
      <c r="J52" s="244" t="s">
        <v>6</v>
      </c>
      <c r="K52" s="244" t="s">
        <v>6</v>
      </c>
      <c r="L52" s="244" t="s">
        <v>6</v>
      </c>
      <c r="M52" s="244" t="s">
        <v>6</v>
      </c>
      <c r="N52" s="244" t="s">
        <v>6</v>
      </c>
      <c r="O52" s="244" t="s">
        <v>6</v>
      </c>
      <c r="P52" s="244" t="s">
        <v>6</v>
      </c>
      <c r="Q52" s="244" t="s">
        <v>6</v>
      </c>
      <c r="R52" s="244" t="s">
        <v>6</v>
      </c>
      <c r="S52" s="244" t="s">
        <v>6</v>
      </c>
      <c r="T52" s="244" t="s">
        <v>6</v>
      </c>
      <c r="U52" s="244" t="s">
        <v>6</v>
      </c>
      <c r="V52" s="244" t="s">
        <v>6</v>
      </c>
      <c r="W52" s="244" t="s">
        <v>6</v>
      </c>
      <c r="X52" s="244" t="s">
        <v>6</v>
      </c>
      <c r="Y52" s="244" t="s">
        <v>6</v>
      </c>
      <c r="Z52" s="244" t="s">
        <v>6</v>
      </c>
      <c r="AA52" s="244" t="s">
        <v>6</v>
      </c>
      <c r="AB52" s="244" t="s">
        <v>6</v>
      </c>
      <c r="AC52" s="244" t="s">
        <v>6</v>
      </c>
      <c r="AD52" s="244" t="s">
        <v>6</v>
      </c>
      <c r="AE52" s="244" t="s">
        <v>6</v>
      </c>
      <c r="AF52" s="244" t="s">
        <v>6</v>
      </c>
      <c r="AG52" s="244" t="s">
        <v>6</v>
      </c>
      <c r="AH52" s="244" t="s">
        <v>6</v>
      </c>
      <c r="AI52" s="244" t="s">
        <v>6</v>
      </c>
      <c r="AJ52" s="244" t="s">
        <v>6</v>
      </c>
      <c r="AK52" s="244" t="s">
        <v>6</v>
      </c>
      <c r="AL52" s="244" t="s">
        <v>6</v>
      </c>
      <c r="AM52" s="244" t="s">
        <v>6</v>
      </c>
      <c r="AN52" s="244" t="s">
        <v>6</v>
      </c>
      <c r="AO52" s="244" t="s">
        <v>6</v>
      </c>
      <c r="AP52" s="244" t="s">
        <v>6</v>
      </c>
      <c r="AQ52" s="244" t="s">
        <v>6</v>
      </c>
      <c r="AR52" s="244" t="s">
        <v>6</v>
      </c>
      <c r="AS52" s="244" t="s">
        <v>6</v>
      </c>
      <c r="AT52" s="244" t="s">
        <v>6</v>
      </c>
      <c r="AU52" s="244" t="s">
        <v>6</v>
      </c>
      <c r="AV52" s="244" t="s">
        <v>6</v>
      </c>
      <c r="AW52" s="244" t="s">
        <v>6</v>
      </c>
      <c r="AX52" s="244" t="s">
        <v>6</v>
      </c>
      <c r="AY52" s="244" t="s">
        <v>6</v>
      </c>
      <c r="AZ52" s="244" t="s">
        <v>6</v>
      </c>
      <c r="BA52" s="244" t="s">
        <v>6</v>
      </c>
      <c r="BB52" s="244" t="s">
        <v>6</v>
      </c>
      <c r="BC52" s="244" t="s">
        <v>6</v>
      </c>
      <c r="BD52" s="244" t="s">
        <v>6</v>
      </c>
      <c r="BE52" s="244" t="s">
        <v>6</v>
      </c>
      <c r="BF52" s="244" t="s">
        <v>6</v>
      </c>
      <c r="BG52" s="244" t="s">
        <v>6</v>
      </c>
      <c r="BH52" s="244" t="s">
        <v>6</v>
      </c>
      <c r="BI52" s="244" t="s">
        <v>6</v>
      </c>
      <c r="BJ52" s="244" t="s">
        <v>6</v>
      </c>
      <c r="BK52" s="244" t="s">
        <v>6</v>
      </c>
      <c r="BL52" s="244" t="s">
        <v>6</v>
      </c>
      <c r="BM52" s="244" t="s">
        <v>6</v>
      </c>
      <c r="BN52" s="244" t="s">
        <v>6</v>
      </c>
      <c r="BO52" s="244" t="s">
        <v>6</v>
      </c>
      <c r="BP52" s="244" t="s">
        <v>6</v>
      </c>
      <c r="BQ52" s="244" t="s">
        <v>6</v>
      </c>
      <c r="BR52" s="244" t="s">
        <v>6</v>
      </c>
      <c r="BS52" s="244" t="s">
        <v>6</v>
      </c>
      <c r="BT52" s="244" t="s">
        <v>6</v>
      </c>
      <c r="BU52" s="244" t="s">
        <v>6</v>
      </c>
      <c r="BV52" s="244" t="s">
        <v>6</v>
      </c>
      <c r="BW52" s="244" t="s">
        <v>6</v>
      </c>
      <c r="BX52" s="244" t="s">
        <v>6</v>
      </c>
      <c r="BY52" s="244" t="s">
        <v>6</v>
      </c>
      <c r="BZ52" s="244" t="s">
        <v>6</v>
      </c>
      <c r="CA52" s="244" t="s">
        <v>6</v>
      </c>
      <c r="CB52" s="244" t="s">
        <v>6</v>
      </c>
      <c r="CC52" s="244" t="s">
        <v>6</v>
      </c>
      <c r="CD52" s="244" t="s">
        <v>6</v>
      </c>
      <c r="CE52" s="244" t="s">
        <v>6</v>
      </c>
      <c r="CF52" s="244" t="s">
        <v>6</v>
      </c>
      <c r="CG52" s="244" t="s">
        <v>6</v>
      </c>
      <c r="CH52" s="244" t="s">
        <v>6</v>
      </c>
      <c r="CI52" s="244" t="s">
        <v>6</v>
      </c>
      <c r="CJ52" s="244" t="s">
        <v>6</v>
      </c>
      <c r="CK52" s="244" t="s">
        <v>6</v>
      </c>
      <c r="CL52" s="244" t="s">
        <v>6</v>
      </c>
      <c r="CM52" s="244" t="s">
        <v>6</v>
      </c>
      <c r="CN52" s="244" t="s">
        <v>6</v>
      </c>
      <c r="CO52" s="244" t="s">
        <v>6</v>
      </c>
      <c r="CP52" s="244" t="s">
        <v>6</v>
      </c>
      <c r="CQ52" s="244" t="s">
        <v>6</v>
      </c>
      <c r="CR52" s="244" t="s">
        <v>6</v>
      </c>
      <c r="CS52" s="244" t="s">
        <v>6</v>
      </c>
      <c r="CT52" s="244" t="s">
        <v>6</v>
      </c>
      <c r="CU52" s="244" t="s">
        <v>6</v>
      </c>
      <c r="CV52" s="244" t="s">
        <v>6</v>
      </c>
      <c r="CW52" s="244" t="s">
        <v>6</v>
      </c>
      <c r="CX52" s="244" t="s">
        <v>6</v>
      </c>
      <c r="CY52" s="244" t="s">
        <v>6</v>
      </c>
      <c r="CZ52" s="244" t="s">
        <v>6</v>
      </c>
      <c r="DA52" s="244" t="s">
        <v>6</v>
      </c>
      <c r="DB52" s="244" t="s">
        <v>6</v>
      </c>
      <c r="DC52" s="244" t="s">
        <v>6</v>
      </c>
      <c r="DD52" s="244" t="s">
        <v>6</v>
      </c>
      <c r="DE52" s="244" t="s">
        <v>6</v>
      </c>
      <c r="DF52" s="244" t="s">
        <v>6</v>
      </c>
      <c r="DG52" s="244" t="s">
        <v>6</v>
      </c>
      <c r="DH52" s="244" t="s">
        <v>6</v>
      </c>
      <c r="DI52" s="244" t="s">
        <v>6</v>
      </c>
      <c r="DJ52" s="244" t="s">
        <v>6</v>
      </c>
      <c r="DK52" s="244" t="s">
        <v>6</v>
      </c>
      <c r="DL52" s="244" t="s">
        <v>6</v>
      </c>
      <c r="DM52" s="244" t="s">
        <v>6</v>
      </c>
      <c r="DN52" s="244" t="s">
        <v>6</v>
      </c>
      <c r="DO52" s="244" t="s">
        <v>6</v>
      </c>
      <c r="DP52" s="244" t="s">
        <v>6</v>
      </c>
      <c r="DQ52" s="244" t="s">
        <v>6</v>
      </c>
      <c r="DR52" s="244" t="s">
        <v>6</v>
      </c>
      <c r="DS52" s="244" t="s">
        <v>6</v>
      </c>
      <c r="DT52" s="244" t="s">
        <v>6</v>
      </c>
      <c r="DU52" s="244" t="s">
        <v>6</v>
      </c>
      <c r="DV52" s="244" t="s">
        <v>6</v>
      </c>
      <c r="DW52" s="244" t="s">
        <v>6</v>
      </c>
      <c r="DX52" s="244" t="s">
        <v>6</v>
      </c>
      <c r="DY52" s="244" t="s">
        <v>6</v>
      </c>
      <c r="DZ52" s="244" t="s">
        <v>6</v>
      </c>
      <c r="EA52" s="244" t="s">
        <v>6</v>
      </c>
      <c r="EB52" s="244" t="s">
        <v>6</v>
      </c>
      <c r="EC52" s="244" t="s">
        <v>6</v>
      </c>
      <c r="ED52" s="244" t="s">
        <v>6</v>
      </c>
      <c r="EE52" s="244" t="s">
        <v>6</v>
      </c>
      <c r="EF52" s="244" t="s">
        <v>6</v>
      </c>
      <c r="EG52" s="244" t="s">
        <v>6</v>
      </c>
      <c r="EH52" s="244" t="s">
        <v>6</v>
      </c>
      <c r="EI52" s="244" t="s">
        <v>6</v>
      </c>
      <c r="EJ52" s="244" t="s">
        <v>6</v>
      </c>
      <c r="EK52" s="244" t="s">
        <v>6</v>
      </c>
      <c r="EL52" s="244" t="s">
        <v>6</v>
      </c>
      <c r="EM52" s="244" t="s">
        <v>6</v>
      </c>
      <c r="EN52" s="244" t="s">
        <v>6</v>
      </c>
      <c r="EO52" s="244" t="s">
        <v>6</v>
      </c>
      <c r="EP52" s="244" t="s">
        <v>6</v>
      </c>
      <c r="EQ52" s="244" t="s">
        <v>6</v>
      </c>
      <c r="ER52" s="244" t="s">
        <v>6</v>
      </c>
      <c r="ES52" s="244" t="s">
        <v>6</v>
      </c>
      <c r="ET52" s="244" t="s">
        <v>6</v>
      </c>
      <c r="EU52" s="244" t="s">
        <v>6</v>
      </c>
      <c r="EV52" s="244" t="s">
        <v>6</v>
      </c>
      <c r="EW52" s="244" t="s">
        <v>6</v>
      </c>
      <c r="EX52" s="244" t="s">
        <v>6</v>
      </c>
    </row>
    <row r="53" spans="1:154" ht="13.5"/>
    <row r="54" spans="1:154" ht="13.5"/>
  </sheetData>
  <mergeCells count="6">
    <mergeCell ref="F26:G26"/>
    <mergeCell ref="H26:I26"/>
    <mergeCell ref="F7:G7"/>
    <mergeCell ref="H7:I7"/>
    <mergeCell ref="F9:G9"/>
    <mergeCell ref="H9:I9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Reset_data_input">
                <anchor moveWithCells="1" sizeWithCells="1">
                  <from>
                    <xdr:col>5</xdr:col>
                    <xdr:colOff>800100</xdr:colOff>
                    <xdr:row>3</xdr:row>
                    <xdr:rowOff>50800</xdr:rowOff>
                  </from>
                  <to>
                    <xdr:col>7</xdr:col>
                    <xdr:colOff>279400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D3272"/>
    <pageSetUpPr fitToPage="1"/>
  </sheetPr>
  <dimension ref="A1:EW86"/>
  <sheetViews>
    <sheetView showGridLines="0" zoomScaleNormal="100" zoomScalePageLayoutView="110" workbookViewId="0">
      <pane ySplit="2" topLeftCell="K21" activePane="bottomLeft" state="frozen"/>
      <selection pane="bottomLeft" activeCell="K21" sqref="K21"/>
    </sheetView>
  </sheetViews>
  <sheetFormatPr defaultColWidth="11" defaultRowHeight="15.95"/>
  <cols>
    <col min="1" max="1" width="7.875" style="150" customWidth="1"/>
    <col min="2" max="2" width="3.5" style="151" customWidth="1"/>
    <col min="3" max="4" width="4.125" style="92" customWidth="1"/>
    <col min="5" max="5" width="23.375" style="92" customWidth="1"/>
    <col min="6" max="6" width="14.125" style="92" customWidth="1"/>
    <col min="7" max="7" width="7.125" style="92" customWidth="1"/>
    <col min="8" max="8" width="14.375" style="108" customWidth="1"/>
    <col min="9" max="9" width="7.125" style="92" customWidth="1"/>
    <col min="10" max="10" width="10.125" style="108" customWidth="1"/>
    <col min="11" max="11" width="13.875" style="92" customWidth="1"/>
    <col min="12" max="12" width="6.375" style="92" customWidth="1"/>
    <col min="13" max="13" width="2" style="92" customWidth="1"/>
    <col min="14" max="14" width="16.875" style="92" customWidth="1"/>
    <col min="15" max="15" width="12" style="92" customWidth="1"/>
    <col min="16" max="16" width="1.625" style="92" customWidth="1"/>
    <col min="17" max="17" width="3.5" style="92" customWidth="1"/>
    <col min="18" max="18" width="15.125" style="92" bestFit="1" customWidth="1"/>
    <col min="19" max="19" width="4.5" style="92" customWidth="1"/>
    <col min="20" max="20" width="14.125" style="92" bestFit="1" customWidth="1"/>
    <col min="21" max="21" width="15.5" style="92" customWidth="1"/>
    <col min="22" max="16384" width="11" style="92"/>
  </cols>
  <sheetData>
    <row r="1" spans="1:153" ht="9" customHeight="1" thickTop="1">
      <c r="A1" s="148"/>
      <c r="B1" s="149"/>
      <c r="C1" s="101"/>
      <c r="D1" s="101"/>
      <c r="E1" s="101"/>
      <c r="F1" s="101"/>
      <c r="G1" s="101"/>
      <c r="H1" s="116"/>
      <c r="I1" s="101"/>
      <c r="J1" s="116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  <c r="AX1" s="101"/>
      <c r="AY1" s="101"/>
      <c r="AZ1" s="101"/>
      <c r="BA1" s="101"/>
      <c r="BB1" s="101"/>
      <c r="BC1" s="101"/>
      <c r="BD1" s="101"/>
      <c r="BE1" s="101"/>
      <c r="BF1" s="101"/>
      <c r="BG1" s="101"/>
      <c r="BH1" s="101"/>
      <c r="BI1" s="101"/>
      <c r="BJ1" s="101"/>
      <c r="BK1" s="101"/>
      <c r="BL1" s="101"/>
      <c r="BM1" s="101"/>
      <c r="BN1" s="101"/>
      <c r="BO1" s="101"/>
      <c r="BP1" s="101"/>
      <c r="BQ1" s="101"/>
      <c r="BR1" s="101"/>
      <c r="BS1" s="101"/>
      <c r="BT1" s="101"/>
      <c r="BU1" s="101"/>
      <c r="BV1" s="101"/>
      <c r="BW1" s="101"/>
      <c r="BX1" s="101"/>
      <c r="BY1" s="101"/>
      <c r="BZ1" s="101"/>
      <c r="CA1" s="101"/>
      <c r="CB1" s="101"/>
      <c r="CC1" s="101"/>
      <c r="CD1" s="101"/>
      <c r="CE1" s="101"/>
      <c r="CF1" s="101"/>
      <c r="CG1" s="101"/>
      <c r="CH1" s="101"/>
      <c r="CI1" s="101"/>
      <c r="CJ1" s="101"/>
      <c r="CK1" s="101"/>
      <c r="CL1" s="101"/>
      <c r="CM1" s="101"/>
      <c r="CN1" s="101"/>
      <c r="CO1" s="101"/>
      <c r="CP1" s="101"/>
      <c r="CQ1" s="101"/>
      <c r="CR1" s="101"/>
      <c r="CS1" s="101"/>
      <c r="CT1" s="101"/>
      <c r="CU1" s="101"/>
      <c r="CV1" s="101"/>
      <c r="CW1" s="101"/>
      <c r="CX1" s="101"/>
      <c r="CY1" s="101"/>
      <c r="CZ1" s="101"/>
      <c r="DA1" s="101"/>
      <c r="DB1" s="101"/>
      <c r="DC1" s="101"/>
      <c r="DD1" s="101"/>
      <c r="DE1" s="101"/>
      <c r="DF1" s="101"/>
      <c r="DG1" s="101"/>
      <c r="DH1" s="101"/>
      <c r="DI1" s="101"/>
      <c r="DJ1" s="101"/>
      <c r="DK1" s="101"/>
      <c r="DL1" s="101"/>
      <c r="DM1" s="101"/>
      <c r="DN1" s="101"/>
      <c r="DO1" s="101"/>
      <c r="DP1" s="101"/>
      <c r="DQ1" s="101"/>
      <c r="DR1" s="101"/>
      <c r="DS1" s="101"/>
      <c r="DT1" s="101"/>
      <c r="DU1" s="101"/>
      <c r="DV1" s="101"/>
      <c r="DW1" s="101"/>
      <c r="DX1" s="101"/>
      <c r="DY1" s="101"/>
      <c r="DZ1" s="101"/>
      <c r="EA1" s="101"/>
      <c r="EB1" s="101"/>
      <c r="EC1" s="101"/>
      <c r="ED1" s="101"/>
      <c r="EE1" s="101"/>
      <c r="EF1" s="101"/>
      <c r="EG1" s="101"/>
      <c r="EH1" s="101"/>
      <c r="EI1" s="101"/>
      <c r="EJ1" s="101"/>
      <c r="EK1" s="101"/>
      <c r="EL1" s="101"/>
      <c r="EM1" s="101"/>
      <c r="EN1" s="101"/>
      <c r="EO1" s="101"/>
      <c r="EP1" s="101"/>
      <c r="EQ1" s="101"/>
      <c r="ER1" s="101"/>
      <c r="ES1" s="101"/>
      <c r="ET1" s="101"/>
      <c r="EU1" s="101"/>
      <c r="EV1" s="101"/>
      <c r="EW1" s="117"/>
    </row>
    <row r="2" spans="1:153" s="112" customFormat="1" ht="41.1" customHeight="1" thickBot="1">
      <c r="A2" s="150"/>
      <c r="B2" s="151"/>
      <c r="C2" s="145" t="s">
        <v>145</v>
      </c>
      <c r="E2" s="144"/>
      <c r="F2" s="145"/>
      <c r="G2" s="146"/>
      <c r="H2" s="147"/>
      <c r="I2" s="102"/>
      <c r="J2" s="110"/>
      <c r="K2" s="102"/>
      <c r="L2" s="102"/>
      <c r="M2" s="102"/>
      <c r="N2" s="102"/>
      <c r="O2" s="102"/>
      <c r="P2" s="102"/>
      <c r="Q2" s="102"/>
      <c r="R2" s="102"/>
      <c r="S2" s="102"/>
      <c r="T2" s="102"/>
      <c r="U2" s="102"/>
      <c r="V2" s="102"/>
      <c r="W2" s="102"/>
      <c r="X2" s="102"/>
      <c r="Y2" s="102"/>
      <c r="Z2" s="102"/>
      <c r="AA2" s="102"/>
      <c r="AB2" s="102"/>
      <c r="AC2" s="102"/>
      <c r="AD2" s="102"/>
      <c r="AE2" s="102"/>
      <c r="AF2" s="102"/>
      <c r="AG2" s="102"/>
      <c r="AH2" s="102"/>
      <c r="AI2" s="102"/>
      <c r="AJ2" s="102"/>
      <c r="AK2" s="102"/>
      <c r="AL2" s="102"/>
      <c r="AM2" s="102"/>
      <c r="AN2" s="102"/>
      <c r="AO2" s="102"/>
      <c r="AP2" s="102"/>
      <c r="AQ2" s="102"/>
      <c r="AR2" s="102"/>
      <c r="AS2" s="102"/>
      <c r="AT2" s="102"/>
      <c r="AU2" s="102"/>
      <c r="AV2" s="102"/>
      <c r="AW2" s="102"/>
      <c r="AX2" s="102"/>
      <c r="AY2" s="102"/>
      <c r="AZ2" s="102"/>
      <c r="BA2" s="102"/>
      <c r="BB2" s="102"/>
      <c r="BC2" s="102"/>
      <c r="BD2" s="102"/>
      <c r="BE2" s="102"/>
      <c r="BF2" s="102"/>
      <c r="BG2" s="102"/>
      <c r="BH2" s="102"/>
      <c r="BI2" s="102"/>
      <c r="BJ2" s="102"/>
      <c r="BK2" s="102"/>
      <c r="BL2" s="102"/>
      <c r="BM2" s="102"/>
      <c r="BN2" s="102"/>
      <c r="BO2" s="102"/>
      <c r="BP2" s="102"/>
      <c r="BQ2" s="102"/>
      <c r="BR2" s="102"/>
      <c r="BS2" s="102"/>
      <c r="BT2" s="102"/>
      <c r="BU2" s="102"/>
      <c r="BV2" s="102"/>
      <c r="BW2" s="102"/>
      <c r="BX2" s="102"/>
      <c r="BY2" s="102"/>
      <c r="BZ2" s="102"/>
      <c r="CA2" s="102"/>
      <c r="CB2" s="102"/>
      <c r="CC2" s="102"/>
      <c r="CD2" s="102"/>
      <c r="CE2" s="102"/>
      <c r="CF2" s="102"/>
      <c r="CG2" s="102"/>
      <c r="CH2" s="102"/>
      <c r="CI2" s="102"/>
      <c r="CJ2" s="102"/>
      <c r="CK2" s="102"/>
      <c r="CL2" s="102"/>
      <c r="CM2" s="102"/>
      <c r="CN2" s="102"/>
      <c r="CO2" s="102"/>
      <c r="CP2" s="102"/>
      <c r="CQ2" s="102"/>
      <c r="CR2" s="102"/>
      <c r="CS2" s="102"/>
      <c r="CT2" s="102"/>
      <c r="CU2" s="102"/>
      <c r="CV2" s="102"/>
      <c r="CW2" s="102"/>
      <c r="CX2" s="102"/>
      <c r="CY2" s="102"/>
      <c r="CZ2" s="102"/>
      <c r="DA2" s="102"/>
      <c r="DB2" s="102"/>
      <c r="DC2" s="102"/>
      <c r="DD2" s="102"/>
      <c r="DE2" s="102"/>
      <c r="DF2" s="102"/>
      <c r="DG2" s="102"/>
      <c r="DH2" s="102"/>
      <c r="DI2" s="102"/>
      <c r="DJ2" s="102"/>
      <c r="DK2" s="102"/>
      <c r="DL2" s="102"/>
      <c r="DM2" s="102"/>
      <c r="DN2" s="102"/>
      <c r="DO2" s="102"/>
      <c r="DP2" s="102"/>
      <c r="DQ2" s="102"/>
      <c r="DR2" s="102"/>
      <c r="DS2" s="102"/>
      <c r="DT2" s="102"/>
      <c r="DU2" s="102"/>
      <c r="DV2" s="102"/>
      <c r="DW2" s="102"/>
      <c r="DX2" s="102"/>
      <c r="DY2" s="102"/>
      <c r="DZ2" s="102"/>
      <c r="EA2" s="102"/>
      <c r="EB2" s="102"/>
      <c r="EC2" s="102"/>
      <c r="ED2" s="102"/>
      <c r="EE2" s="102"/>
      <c r="EF2" s="102"/>
      <c r="EG2" s="102"/>
      <c r="EH2" s="102"/>
      <c r="EI2" s="102"/>
      <c r="EJ2" s="102"/>
      <c r="EK2" s="102"/>
      <c r="EL2" s="102"/>
      <c r="EM2" s="102"/>
      <c r="EN2" s="102"/>
      <c r="EO2" s="102"/>
      <c r="EP2" s="102"/>
      <c r="EQ2" s="102"/>
      <c r="ER2" s="102"/>
      <c r="ES2" s="102"/>
      <c r="ET2" s="102"/>
      <c r="EU2" s="102"/>
      <c r="EV2" s="102"/>
      <c r="EW2" s="111"/>
    </row>
    <row r="3" spans="1:153" ht="8.25" customHeight="1" thickTop="1"/>
    <row r="4" spans="1:153">
      <c r="E4" s="74" t="s">
        <v>146</v>
      </c>
    </row>
    <row r="5" spans="1:153">
      <c r="F5" s="107"/>
    </row>
    <row r="6" spans="1:153">
      <c r="F6" s="113"/>
      <c r="S6" s="114"/>
    </row>
    <row r="7" spans="1:153" ht="18">
      <c r="C7" s="103" t="s">
        <v>32</v>
      </c>
      <c r="S7" s="115"/>
    </row>
    <row r="8" spans="1:153">
      <c r="F8" s="351" t="s">
        <v>35</v>
      </c>
      <c r="G8" s="352"/>
      <c r="H8" s="351" t="s">
        <v>36</v>
      </c>
      <c r="I8" s="352"/>
      <c r="K8" s="127"/>
      <c r="L8" s="127"/>
      <c r="S8" s="115"/>
    </row>
    <row r="9" spans="1:153">
      <c r="C9" s="92" t="s">
        <v>37</v>
      </c>
      <c r="F9" s="74">
        <v>35000000</v>
      </c>
      <c r="G9" s="118"/>
      <c r="H9" s="74">
        <v>42000000</v>
      </c>
      <c r="I9" s="118"/>
      <c r="K9" s="121"/>
      <c r="L9" s="121"/>
      <c r="S9" s="115"/>
    </row>
    <row r="10" spans="1:153">
      <c r="C10" s="92" t="s">
        <v>40</v>
      </c>
      <c r="F10" s="73">
        <v>24500000</v>
      </c>
      <c r="G10" s="119"/>
      <c r="H10" s="78">
        <v>28980000</v>
      </c>
      <c r="I10" s="121"/>
      <c r="K10" s="121"/>
      <c r="L10" s="121"/>
    </row>
    <row r="11" spans="1:153">
      <c r="D11" s="92" t="s">
        <v>43</v>
      </c>
      <c r="F11" s="79">
        <f>F9-F10</f>
        <v>10500000</v>
      </c>
      <c r="G11" s="120">
        <f>F11/F9</f>
        <v>0.3</v>
      </c>
      <c r="H11" s="79">
        <f>H9-H10</f>
        <v>13020000</v>
      </c>
      <c r="I11" s="120">
        <f>H11/H9</f>
        <v>0.31</v>
      </c>
      <c r="K11" s="121"/>
      <c r="L11" s="121"/>
    </row>
    <row r="12" spans="1:153">
      <c r="C12" s="92" t="s">
        <v>46</v>
      </c>
      <c r="F12" s="75">
        <v>3000000</v>
      </c>
      <c r="G12" s="118">
        <f>F11/F12</f>
        <v>3.5</v>
      </c>
      <c r="H12" s="73">
        <v>3250000</v>
      </c>
      <c r="I12" s="118">
        <f>H11/H12</f>
        <v>4.006153846153846</v>
      </c>
      <c r="K12" s="121"/>
      <c r="L12" s="121"/>
    </row>
    <row r="13" spans="1:153">
      <c r="D13" s="92" t="s">
        <v>51</v>
      </c>
      <c r="F13" s="79">
        <f>F11-F12</f>
        <v>7500000</v>
      </c>
      <c r="G13" s="120">
        <f>F13/F9</f>
        <v>0.21428571428571427</v>
      </c>
      <c r="H13" s="79">
        <f>H11-H12</f>
        <v>9770000</v>
      </c>
      <c r="I13" s="120">
        <f>H13/H9</f>
        <v>0.23261904761904761</v>
      </c>
      <c r="K13" s="121"/>
      <c r="L13" s="121"/>
    </row>
    <row r="14" spans="1:153">
      <c r="C14" s="92" t="s">
        <v>54</v>
      </c>
      <c r="F14" s="74">
        <v>2000000</v>
      </c>
      <c r="G14" s="118">
        <f>F13/F14</f>
        <v>3.75</v>
      </c>
      <c r="H14" s="74">
        <v>2500000</v>
      </c>
      <c r="I14" s="118">
        <f>H13/H14</f>
        <v>3.9079999999999999</v>
      </c>
      <c r="K14" s="121"/>
      <c r="L14" s="121"/>
      <c r="S14" s="95"/>
    </row>
    <row r="15" spans="1:153">
      <c r="C15" s="92" t="s">
        <v>59</v>
      </c>
      <c r="F15" s="80">
        <f>F13-F16-F14</f>
        <v>1751140</v>
      </c>
      <c r="G15" s="119"/>
      <c r="H15" s="80">
        <f>H13-H16-H14</f>
        <v>2651150</v>
      </c>
      <c r="I15" s="119"/>
      <c r="K15" s="121"/>
      <c r="L15" s="121"/>
      <c r="S15" s="95"/>
    </row>
    <row r="16" spans="1:153">
      <c r="D16" s="92" t="s">
        <v>62</v>
      </c>
      <c r="F16" s="79">
        <f>F19+F17+F18</f>
        <v>3748860</v>
      </c>
      <c r="G16" s="120">
        <f>F16/F9</f>
        <v>0.10711028571428571</v>
      </c>
      <c r="H16" s="79">
        <f>H19+H17+H18</f>
        <v>4618850</v>
      </c>
      <c r="I16" s="120">
        <f>H16/H9</f>
        <v>0.10997261904761904</v>
      </c>
      <c r="J16" s="123">
        <f>H16-H20</f>
        <v>5551850</v>
      </c>
      <c r="K16" s="121"/>
      <c r="L16" s="121"/>
      <c r="S16" s="95"/>
    </row>
    <row r="17" spans="3:19">
      <c r="C17" s="92" t="s">
        <v>65</v>
      </c>
      <c r="F17" s="75">
        <v>1165900</v>
      </c>
      <c r="G17" s="118"/>
      <c r="H17" s="74">
        <v>1363480</v>
      </c>
      <c r="I17" s="118"/>
      <c r="K17" s="121"/>
      <c r="L17" s="121"/>
    </row>
    <row r="18" spans="3:19">
      <c r="C18" s="92" t="s">
        <v>67</v>
      </c>
      <c r="F18" s="75">
        <v>930280</v>
      </c>
      <c r="G18" s="121"/>
      <c r="H18" s="75">
        <v>1172348</v>
      </c>
      <c r="I18" s="121"/>
      <c r="K18" s="121"/>
      <c r="L18" s="121"/>
      <c r="S18" s="95"/>
    </row>
    <row r="19" spans="3:19" ht="17.100000000000001" thickBot="1">
      <c r="D19" s="92" t="s">
        <v>70</v>
      </c>
      <c r="F19" s="76">
        <v>1652680</v>
      </c>
      <c r="G19" s="122"/>
      <c r="H19" s="76">
        <v>2083022</v>
      </c>
      <c r="I19" s="121"/>
      <c r="K19" s="121"/>
      <c r="L19" s="121"/>
      <c r="S19" s="95"/>
    </row>
    <row r="20" spans="3:19" ht="17.100000000000001" thickTop="1">
      <c r="C20" s="92" t="s">
        <v>73</v>
      </c>
      <c r="F20" s="77">
        <v>-820000</v>
      </c>
      <c r="G20" s="118"/>
      <c r="H20" s="77">
        <v>-933000</v>
      </c>
      <c r="I20" s="118"/>
      <c r="K20" s="121"/>
      <c r="L20" s="121"/>
      <c r="S20" s="95"/>
    </row>
    <row r="21" spans="3:19">
      <c r="F21" s="108"/>
      <c r="G21" s="118"/>
      <c r="I21" s="118"/>
      <c r="K21" s="121"/>
      <c r="L21" s="121"/>
      <c r="S21" s="95"/>
    </row>
    <row r="22" spans="3:19">
      <c r="F22" s="108"/>
      <c r="G22" s="118"/>
      <c r="I22" s="118"/>
      <c r="K22" s="121"/>
      <c r="L22" s="121"/>
      <c r="S22" s="95"/>
    </row>
    <row r="23" spans="3:19" ht="18">
      <c r="C23" s="103" t="s">
        <v>76</v>
      </c>
      <c r="F23" s="108"/>
      <c r="G23" s="118"/>
      <c r="I23" s="118"/>
      <c r="K23" s="121"/>
      <c r="L23" s="121"/>
    </row>
    <row r="24" spans="3:19">
      <c r="F24" s="351" t="s">
        <v>35</v>
      </c>
      <c r="G24" s="352"/>
      <c r="H24" s="351" t="s">
        <v>36</v>
      </c>
      <c r="I24" s="352"/>
      <c r="J24" s="126" t="s">
        <v>147</v>
      </c>
      <c r="K24" s="127"/>
      <c r="L24" s="127"/>
      <c r="S24" s="95"/>
    </row>
    <row r="25" spans="3:19">
      <c r="C25" s="92" t="s">
        <v>78</v>
      </c>
      <c r="F25" s="74">
        <v>0</v>
      </c>
      <c r="G25" s="118"/>
      <c r="H25" s="74">
        <v>0</v>
      </c>
      <c r="I25" s="118"/>
      <c r="J25" s="123"/>
      <c r="K25" s="121"/>
      <c r="L25" s="121"/>
    </row>
    <row r="26" spans="3:19">
      <c r="C26" s="92" t="s">
        <v>80</v>
      </c>
      <c r="F26" s="74">
        <v>6712330</v>
      </c>
      <c r="G26" s="118"/>
      <c r="H26" s="74">
        <v>8630137</v>
      </c>
      <c r="I26" s="118"/>
      <c r="J26" s="123">
        <f>F26-H26</f>
        <v>-1917807</v>
      </c>
      <c r="K26" s="121"/>
      <c r="L26" s="121"/>
    </row>
    <row r="27" spans="3:19">
      <c r="C27" s="92" t="s">
        <v>85</v>
      </c>
      <c r="F27" s="74">
        <v>10336960</v>
      </c>
      <c r="G27" s="118"/>
      <c r="H27" s="74">
        <v>14291507</v>
      </c>
      <c r="I27" s="118"/>
      <c r="J27" s="123">
        <f>F27-H27</f>
        <v>-3954547</v>
      </c>
      <c r="K27" s="121"/>
      <c r="L27" s="121"/>
      <c r="S27" s="115"/>
    </row>
    <row r="28" spans="3:19">
      <c r="C28" s="92" t="s">
        <v>89</v>
      </c>
      <c r="F28" s="73">
        <v>0</v>
      </c>
      <c r="G28" s="119"/>
      <c r="H28" s="78">
        <v>0</v>
      </c>
      <c r="I28" s="121"/>
      <c r="J28" s="123"/>
      <c r="K28" s="121"/>
      <c r="L28" s="121"/>
    </row>
    <row r="29" spans="3:19">
      <c r="C29" s="104" t="s">
        <v>93</v>
      </c>
      <c r="F29" s="79">
        <f>SUM(F25:F28)</f>
        <v>17049290</v>
      </c>
      <c r="G29" s="118"/>
      <c r="H29" s="79">
        <f>SUM(H25:H28)</f>
        <v>22921644</v>
      </c>
      <c r="I29" s="118"/>
      <c r="J29" s="123"/>
      <c r="K29" s="121"/>
      <c r="L29" s="121"/>
      <c r="S29" s="115"/>
    </row>
    <row r="30" spans="3:19">
      <c r="C30" s="92" t="s">
        <v>98</v>
      </c>
      <c r="F30" s="74">
        <v>8500000</v>
      </c>
      <c r="G30" s="121"/>
      <c r="H30" s="74">
        <v>9500000</v>
      </c>
      <c r="I30" s="118"/>
      <c r="J30" s="123">
        <f>F30-H30</f>
        <v>-1000000</v>
      </c>
      <c r="K30" s="121"/>
      <c r="L30" s="121"/>
    </row>
    <row r="31" spans="3:19">
      <c r="C31" s="92" t="s">
        <v>101</v>
      </c>
      <c r="F31" s="73">
        <v>0</v>
      </c>
      <c r="G31" s="119"/>
      <c r="H31" s="73">
        <v>0</v>
      </c>
      <c r="I31" s="121"/>
      <c r="J31" s="123"/>
      <c r="K31" s="121"/>
      <c r="L31" s="121"/>
      <c r="S31" s="95"/>
    </row>
    <row r="32" spans="3:19" ht="17.100000000000001" thickBot="1">
      <c r="C32" s="104" t="s">
        <v>104</v>
      </c>
      <c r="F32" s="81">
        <f>SUM(F29:F31)</f>
        <v>25549290</v>
      </c>
      <c r="G32" s="122"/>
      <c r="H32" s="81">
        <f>SUM(H29:H31)</f>
        <v>32421644</v>
      </c>
      <c r="I32" s="121"/>
      <c r="J32" s="123"/>
      <c r="K32" s="121"/>
      <c r="L32" s="121"/>
    </row>
    <row r="33" spans="3:19" ht="17.100000000000001" thickTop="1">
      <c r="I33" s="118"/>
      <c r="J33" s="123"/>
      <c r="K33" s="121"/>
      <c r="L33" s="121"/>
    </row>
    <row r="34" spans="3:19">
      <c r="C34" s="92" t="s">
        <v>109</v>
      </c>
      <c r="F34" s="75">
        <v>4028550</v>
      </c>
      <c r="G34" s="118"/>
      <c r="H34" s="74">
        <v>5557808</v>
      </c>
      <c r="I34" s="118"/>
      <c r="J34" s="123">
        <f>H34-F34</f>
        <v>1529258</v>
      </c>
      <c r="K34" s="121"/>
      <c r="L34" s="121"/>
    </row>
    <row r="35" spans="3:19">
      <c r="C35" s="92" t="s">
        <v>115</v>
      </c>
      <c r="F35" s="74">
        <v>5019740</v>
      </c>
      <c r="G35" s="118"/>
      <c r="H35" s="74">
        <v>7279813</v>
      </c>
      <c r="I35" s="118"/>
      <c r="J35" s="123">
        <f>H35-F35</f>
        <v>2260073</v>
      </c>
      <c r="K35" s="121"/>
      <c r="L35" s="121"/>
    </row>
    <row r="36" spans="3:19">
      <c r="C36" s="92" t="s">
        <v>121</v>
      </c>
      <c r="F36" s="73">
        <v>0</v>
      </c>
      <c r="G36" s="119"/>
      <c r="H36" s="73">
        <v>0</v>
      </c>
      <c r="I36" s="121"/>
      <c r="J36" s="123"/>
      <c r="K36" s="121"/>
      <c r="L36" s="121"/>
    </row>
    <row r="37" spans="3:19">
      <c r="C37" s="104" t="s">
        <v>124</v>
      </c>
      <c r="F37" s="79">
        <f>SUM(F34:F36)</f>
        <v>9048290</v>
      </c>
      <c r="G37" s="118"/>
      <c r="H37" s="79">
        <f>SUM(H34:H36)</f>
        <v>12837621</v>
      </c>
      <c r="I37" s="118"/>
      <c r="J37" s="123"/>
      <c r="K37" s="121"/>
      <c r="L37" s="121"/>
    </row>
    <row r="38" spans="3:19">
      <c r="C38" s="92" t="s">
        <v>128</v>
      </c>
      <c r="F38" s="74">
        <v>9000000</v>
      </c>
      <c r="G38" s="118"/>
      <c r="H38" s="74">
        <v>10000000</v>
      </c>
      <c r="I38" s="118"/>
      <c r="J38" s="123">
        <f>H38-F38</f>
        <v>1000000</v>
      </c>
      <c r="K38" s="121"/>
      <c r="L38" s="121"/>
    </row>
    <row r="39" spans="3:19">
      <c r="C39" s="92" t="s">
        <v>131</v>
      </c>
      <c r="F39" s="73">
        <v>0</v>
      </c>
      <c r="G39" s="119"/>
      <c r="H39" s="73">
        <v>0</v>
      </c>
      <c r="I39" s="121"/>
      <c r="J39" s="123"/>
      <c r="K39" s="121"/>
      <c r="L39" s="121"/>
      <c r="S39" s="125"/>
    </row>
    <row r="40" spans="3:19">
      <c r="C40" s="104" t="s">
        <v>133</v>
      </c>
      <c r="F40" s="79">
        <f>SUM(F37:F39)</f>
        <v>18048290</v>
      </c>
      <c r="G40" s="118"/>
      <c r="H40" s="79">
        <f>SUM(H37:H39)</f>
        <v>22837621</v>
      </c>
      <c r="I40" s="118"/>
      <c r="J40" s="123"/>
      <c r="K40" s="121"/>
      <c r="L40" s="121"/>
    </row>
    <row r="41" spans="3:19">
      <c r="C41" s="92" t="s">
        <v>135</v>
      </c>
      <c r="F41" s="74">
        <v>2001000</v>
      </c>
      <c r="G41" s="118"/>
      <c r="H41" s="74">
        <v>2001000</v>
      </c>
      <c r="I41" s="118"/>
      <c r="J41" s="123">
        <f t="shared" ref="J41:J42" si="0">H41-F41</f>
        <v>0</v>
      </c>
      <c r="K41" s="121"/>
      <c r="L41" s="121"/>
      <c r="S41" s="115"/>
    </row>
    <row r="42" spans="3:19">
      <c r="C42" s="92" t="s">
        <v>139</v>
      </c>
      <c r="F42" s="73">
        <v>5500000</v>
      </c>
      <c r="G42" s="119"/>
      <c r="H42" s="73">
        <v>7583023</v>
      </c>
      <c r="I42" s="121"/>
      <c r="J42" s="123">
        <f t="shared" si="0"/>
        <v>2083023</v>
      </c>
      <c r="K42" s="121"/>
      <c r="L42" s="121"/>
    </row>
    <row r="43" spans="3:19" ht="17.100000000000001" thickBot="1">
      <c r="C43" s="104" t="s">
        <v>142</v>
      </c>
      <c r="F43" s="82">
        <f>SUM(F40:F42)</f>
        <v>25549290</v>
      </c>
      <c r="G43" s="124"/>
      <c r="H43" s="82">
        <f>SUM(H40:H42)</f>
        <v>32421644</v>
      </c>
      <c r="I43" s="121"/>
      <c r="J43" s="123"/>
      <c r="K43" s="121"/>
      <c r="L43" s="121"/>
      <c r="S43" s="115"/>
    </row>
    <row r="44" spans="3:19" ht="17.100000000000001" thickTop="1">
      <c r="C44" s="105"/>
      <c r="F44" s="83">
        <f>F32-F43</f>
        <v>0</v>
      </c>
      <c r="G44" s="118"/>
      <c r="H44" s="79">
        <f>H32-H43</f>
        <v>0</v>
      </c>
      <c r="I44" s="118"/>
      <c r="J44" s="123"/>
      <c r="K44" s="121"/>
      <c r="L44" s="121"/>
    </row>
    <row r="48" spans="3:19" ht="18">
      <c r="C48" s="103" t="s">
        <v>148</v>
      </c>
      <c r="F48" s="109"/>
      <c r="H48" s="94"/>
      <c r="J48" s="94"/>
    </row>
    <row r="49" spans="3:18" ht="18">
      <c r="E49" s="103"/>
      <c r="H49" s="94"/>
      <c r="J49" s="94"/>
    </row>
    <row r="50" spans="3:18">
      <c r="F50" s="106"/>
      <c r="G50" s="106"/>
      <c r="H50" s="84" t="s">
        <v>149</v>
      </c>
      <c r="J50" s="84" t="s">
        <v>150</v>
      </c>
    </row>
    <row r="51" spans="3:18">
      <c r="C51" s="92" t="s">
        <v>151</v>
      </c>
      <c r="H51" s="85">
        <f>H19+J26+J27+J34+J30</f>
        <v>-3260074</v>
      </c>
      <c r="J51" s="85">
        <f>H16</f>
        <v>4618850</v>
      </c>
      <c r="M51" s="86"/>
      <c r="N51" s="87" t="s">
        <v>84</v>
      </c>
      <c r="O51" s="88"/>
      <c r="P51" s="89"/>
    </row>
    <row r="52" spans="3:18">
      <c r="C52" s="92" t="s">
        <v>152</v>
      </c>
      <c r="H52" s="90">
        <f>H26/(H9/365)</f>
        <v>75.000000119047627</v>
      </c>
      <c r="J52" s="94"/>
      <c r="M52" s="91"/>
      <c r="P52" s="93"/>
    </row>
    <row r="53" spans="3:18">
      <c r="C53" s="92" t="s">
        <v>153</v>
      </c>
      <c r="H53" s="85">
        <f>H34/(H10/365)</f>
        <v>69.999997239475505</v>
      </c>
      <c r="J53" s="94"/>
      <c r="M53" s="91"/>
      <c r="N53" s="92" t="s">
        <v>91</v>
      </c>
      <c r="O53" s="85">
        <f>((100+F58)/100)*H9</f>
        <v>42420000</v>
      </c>
      <c r="P53" s="93"/>
    </row>
    <row r="54" spans="3:18">
      <c r="C54" s="92" t="s">
        <v>154</v>
      </c>
      <c r="H54" s="85">
        <f>H27/(H10/365)</f>
        <v>180.00000189786061</v>
      </c>
      <c r="J54" s="94"/>
      <c r="M54" s="91"/>
      <c r="N54" s="92" t="s">
        <v>96</v>
      </c>
      <c r="O54" s="85">
        <f>O53/365*H52</f>
        <v>8716438.370000001</v>
      </c>
      <c r="P54" s="93"/>
    </row>
    <row r="55" spans="3:18">
      <c r="H55" s="94"/>
      <c r="J55" s="94"/>
      <c r="M55" s="91"/>
      <c r="O55" s="94"/>
      <c r="P55" s="93"/>
    </row>
    <row r="56" spans="3:18">
      <c r="C56" s="106"/>
      <c r="H56" s="94"/>
      <c r="J56" s="94"/>
      <c r="M56" s="91"/>
      <c r="N56" s="92" t="s">
        <v>91</v>
      </c>
      <c r="O56" s="85">
        <f>(H9*(F60/100))+H9</f>
        <v>42420000</v>
      </c>
      <c r="P56" s="93"/>
    </row>
    <row r="57" spans="3:18">
      <c r="H57" s="94"/>
      <c r="J57" s="94"/>
      <c r="M57" s="91"/>
      <c r="N57" s="92" t="s">
        <v>96</v>
      </c>
      <c r="O57" s="85">
        <f>(O56/365*H52)</f>
        <v>8716438.370000001</v>
      </c>
      <c r="P57" s="93"/>
      <c r="R57" s="108"/>
    </row>
    <row r="58" spans="3:18">
      <c r="C58" s="92" t="s">
        <v>155</v>
      </c>
      <c r="F58" s="73">
        <v>1</v>
      </c>
      <c r="G58" s="130" t="s">
        <v>156</v>
      </c>
      <c r="H58" s="85">
        <f>J58*(365-H52)/365</f>
        <v>333698.63</v>
      </c>
      <c r="J58" s="85">
        <f>H9*(F58/100)</f>
        <v>420000</v>
      </c>
      <c r="M58" s="91"/>
      <c r="N58" s="92" t="s">
        <v>107</v>
      </c>
      <c r="O58" s="85">
        <f>H10+(H10*(F60/100))</f>
        <v>29269800</v>
      </c>
      <c r="P58" s="93"/>
    </row>
    <row r="59" spans="3:18">
      <c r="G59" s="130"/>
      <c r="H59" s="94"/>
      <c r="J59" s="94"/>
      <c r="M59" s="91"/>
      <c r="N59" s="92" t="s">
        <v>113</v>
      </c>
      <c r="O59" s="85">
        <f>O58/365*H53</f>
        <v>5613386.0800000001</v>
      </c>
      <c r="P59" s="93"/>
    </row>
    <row r="60" spans="3:18">
      <c r="C60" s="92" t="s">
        <v>157</v>
      </c>
      <c r="F60" s="73">
        <v>1</v>
      </c>
      <c r="G60" s="130" t="s">
        <v>156</v>
      </c>
      <c r="H60" s="85">
        <f>J60+H26-O57+O59-H34+H27-O60</f>
        <v>-75938.360000001267</v>
      </c>
      <c r="J60" s="85">
        <f>H13*(F60/100)</f>
        <v>97700</v>
      </c>
      <c r="K60" s="128"/>
      <c r="M60" s="91"/>
      <c r="N60" s="92" t="s">
        <v>119</v>
      </c>
      <c r="O60" s="85">
        <f>O58/365*H54</f>
        <v>14434422.07</v>
      </c>
      <c r="P60" s="93"/>
    </row>
    <row r="61" spans="3:18">
      <c r="H61" s="94"/>
      <c r="J61" s="94"/>
      <c r="M61" s="91"/>
      <c r="O61" s="94"/>
      <c r="P61" s="93"/>
    </row>
    <row r="62" spans="3:18">
      <c r="C62" s="92" t="s">
        <v>158</v>
      </c>
      <c r="F62" s="73">
        <v>1</v>
      </c>
      <c r="G62" s="130" t="s">
        <v>156</v>
      </c>
      <c r="H62" s="85">
        <f>J62-H34+O63+H27-O64</f>
        <v>377136.98999999836</v>
      </c>
      <c r="J62" s="85">
        <f>H10*(F62/100)</f>
        <v>289800</v>
      </c>
      <c r="M62" s="91"/>
      <c r="N62" s="92" t="s">
        <v>107</v>
      </c>
      <c r="O62" s="85">
        <f>H10-J62</f>
        <v>28690200</v>
      </c>
      <c r="P62" s="93"/>
    </row>
    <row r="63" spans="3:18">
      <c r="G63" s="130"/>
      <c r="H63" s="94"/>
      <c r="J63" s="94"/>
      <c r="M63" s="91"/>
      <c r="N63" s="92" t="s">
        <v>113</v>
      </c>
      <c r="O63" s="85">
        <f>O62/365*H53</f>
        <v>5502229.9199999999</v>
      </c>
      <c r="P63" s="93"/>
    </row>
    <row r="64" spans="3:18">
      <c r="C64" s="92" t="s">
        <v>159</v>
      </c>
      <c r="F64" s="73">
        <v>1</v>
      </c>
      <c r="G64" s="130" t="s">
        <v>156</v>
      </c>
      <c r="H64" s="85">
        <f>+J64</f>
        <v>130199.99999999898</v>
      </c>
      <c r="J64" s="85">
        <f>H12*(O65-I12)</f>
        <v>130199.99999999898</v>
      </c>
      <c r="M64" s="91"/>
      <c r="N64" s="92" t="s">
        <v>119</v>
      </c>
      <c r="O64" s="85">
        <f>O62/365*H54</f>
        <v>14148591.930000002</v>
      </c>
      <c r="P64" s="93"/>
    </row>
    <row r="65" spans="3:16">
      <c r="H65" s="94"/>
      <c r="J65" s="94"/>
      <c r="M65" s="91"/>
      <c r="N65" s="95"/>
      <c r="O65" s="90">
        <f>I12*(1+(F64/100))</f>
        <v>4.0462153846153841</v>
      </c>
      <c r="P65" s="93"/>
    </row>
    <row r="66" spans="3:16">
      <c r="C66" s="92" t="s">
        <v>160</v>
      </c>
      <c r="F66" s="73">
        <v>1</v>
      </c>
      <c r="G66" s="130" t="s">
        <v>156</v>
      </c>
      <c r="H66" s="85">
        <f>+J66</f>
        <v>97700.000000000568</v>
      </c>
      <c r="J66" s="85">
        <f>H14*(O67-I14)</f>
        <v>97700.000000000568</v>
      </c>
      <c r="M66" s="91"/>
      <c r="O66" s="94"/>
      <c r="P66" s="93"/>
    </row>
    <row r="67" spans="3:16">
      <c r="H67" s="94"/>
      <c r="J67" s="94"/>
      <c r="M67" s="91"/>
      <c r="O67" s="85">
        <f>I14*(1+(F66/100))</f>
        <v>3.9470800000000001</v>
      </c>
      <c r="P67" s="93"/>
    </row>
    <row r="68" spans="3:16">
      <c r="C68" s="92" t="s">
        <v>161</v>
      </c>
      <c r="F68" s="73">
        <v>1</v>
      </c>
      <c r="G68" s="130" t="s">
        <v>156</v>
      </c>
      <c r="H68" s="85">
        <f>J68</f>
        <v>26511.5</v>
      </c>
      <c r="J68" s="85">
        <f>H15*(F68/100)</f>
        <v>26511.5</v>
      </c>
      <c r="M68" s="96"/>
      <c r="N68" s="97"/>
      <c r="O68" s="97"/>
      <c r="P68" s="98"/>
    </row>
    <row r="69" spans="3:16">
      <c r="H69" s="94"/>
      <c r="J69" s="94"/>
    </row>
    <row r="70" spans="3:16">
      <c r="C70" s="92" t="s">
        <v>162</v>
      </c>
      <c r="F70" s="73">
        <v>1</v>
      </c>
      <c r="G70" s="92" t="s">
        <v>163</v>
      </c>
      <c r="H70" s="85">
        <f>H9/365*F70</f>
        <v>115068.49315068492</v>
      </c>
      <c r="J70" s="94"/>
      <c r="O70" s="94"/>
    </row>
    <row r="71" spans="3:16">
      <c r="H71" s="94"/>
      <c r="J71" s="94"/>
      <c r="O71" s="94"/>
    </row>
    <row r="72" spans="3:16">
      <c r="C72" s="92" t="s">
        <v>164</v>
      </c>
      <c r="F72" s="73">
        <v>1</v>
      </c>
      <c r="G72" s="92" t="s">
        <v>163</v>
      </c>
      <c r="H72" s="85">
        <f>IF(H27&gt;0,H10/365*F72,0)</f>
        <v>79397.260273972599</v>
      </c>
      <c r="J72" s="94"/>
      <c r="O72" s="94"/>
    </row>
    <row r="73" spans="3:16">
      <c r="H73" s="94"/>
      <c r="J73" s="94"/>
      <c r="O73" s="94"/>
    </row>
    <row r="74" spans="3:16">
      <c r="C74" s="92" t="s">
        <v>165</v>
      </c>
      <c r="F74" s="73">
        <v>1</v>
      </c>
      <c r="G74" s="92" t="s">
        <v>163</v>
      </c>
      <c r="H74" s="85">
        <f>H10/365*F74</f>
        <v>79397.260273972599</v>
      </c>
      <c r="J74" s="129"/>
      <c r="O74" s="94"/>
    </row>
    <row r="75" spans="3:16">
      <c r="H75" s="94"/>
      <c r="J75" s="94"/>
      <c r="O75" s="94"/>
    </row>
    <row r="76" spans="3:16" ht="17.100000000000001" thickBot="1">
      <c r="C76" s="107" t="s">
        <v>166</v>
      </c>
      <c r="H76" s="99">
        <f>SUM(H58:H75)</f>
        <v>1163171.7736986266</v>
      </c>
      <c r="J76" s="99">
        <f>SUM(J58:J75)</f>
        <v>1061911.4999999995</v>
      </c>
      <c r="O76" s="94"/>
    </row>
    <row r="77" spans="3:16" ht="18" thickTop="1" thickBot="1">
      <c r="H77" s="94"/>
      <c r="J77" s="94"/>
      <c r="O77" s="94"/>
    </row>
    <row r="78" spans="3:16" ht="17.100000000000001" thickBot="1">
      <c r="H78" s="94"/>
      <c r="J78" s="100">
        <f>+J76+H19</f>
        <v>3144933.4999999995</v>
      </c>
      <c r="O78" s="94"/>
    </row>
    <row r="79" spans="3:16">
      <c r="O79" s="94"/>
    </row>
    <row r="86" spans="8:10">
      <c r="H86" s="94"/>
      <c r="J86" s="94"/>
    </row>
  </sheetData>
  <mergeCells count="4">
    <mergeCell ref="F8:G8"/>
    <mergeCell ref="H8:I8"/>
    <mergeCell ref="F24:G24"/>
    <mergeCell ref="H24:I24"/>
  </mergeCells>
  <dataValidations count="2">
    <dataValidation type="whole" showInputMessage="1" showErrorMessage="1" errorTitle="Numbers only" error="Numbers only: Do not enter any thousand separators or currency signs" sqref="F9:F10 F12 F14 F17:F20 H9:H10 H12 H14 H17:H20 F25:F28 H25:H28 F30:F31 H30:H31 F34:F36 H34:H36 F38:F39 F41:F42 H38:H39 H41:H42 F58 F60 F62 F64 F66 F68 F70 F72 F74" xr:uid="{00000000-0002-0000-0100-000000000000}">
      <formula1>-9.99999999999999E+47</formula1>
      <formula2>9.99999999999999E+59</formula2>
    </dataValidation>
    <dataValidation showInputMessage="1" showErrorMessage="1" sqref="H13 F29 H32 F37 H43:H44 F40 F43:F44 H37 H40 F32 H29 H15:H16 F13 F15:F16 H11 F11" xr:uid="{00000000-0002-0000-0100-000001000000}"/>
  </dataValidations>
  <pageMargins left="0.75" right="0.75" top="1" bottom="1" header="0.5" footer="0.5"/>
  <pageSetup scale="80" fitToWidth="2" orientation="portrait" horizontalDpi="4294967292" verticalDpi="4294967292" r:id="rId1"/>
  <colBreaks count="1" manualBreakCount="1">
    <brk id="12" max="1048575" man="1"/>
  </colBreaks>
  <ignoredErrors>
    <ignoredError sqref="G13 G16 G11 I13" formula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D3272"/>
    <pageSetUpPr fitToPage="1"/>
  </sheetPr>
  <dimension ref="A1:EW46"/>
  <sheetViews>
    <sheetView showGridLines="0" zoomScale="109" zoomScaleNormal="100" zoomScalePageLayoutView="110" workbookViewId="0">
      <selection activeCell="E38" sqref="E38"/>
    </sheetView>
  </sheetViews>
  <sheetFormatPr defaultColWidth="11" defaultRowHeight="12.95"/>
  <cols>
    <col min="1" max="1" width="7.375" style="164" customWidth="1"/>
    <col min="2" max="2" width="3.375" style="161" customWidth="1"/>
    <col min="3" max="3" width="32.875" style="161" bestFit="1" customWidth="1"/>
    <col min="4" max="5" width="5.375" style="161" customWidth="1"/>
    <col min="6" max="6" width="5.375" style="161" bestFit="1" customWidth="1"/>
    <col min="7" max="7" width="5.625" style="161" customWidth="1"/>
    <col min="8" max="8" width="14.375" style="162" customWidth="1"/>
    <col min="9" max="9" width="2.625" style="161" customWidth="1"/>
    <col min="10" max="10" width="10.125" style="162" customWidth="1"/>
    <col min="11" max="11" width="13.875" style="131" customWidth="1"/>
    <col min="12" max="12" width="6.375" style="131" customWidth="1"/>
    <col min="13" max="13" width="2" style="131" customWidth="1"/>
    <col min="14" max="14" width="16.875" style="152" customWidth="1"/>
    <col min="15" max="15" width="10.625" style="131" customWidth="1"/>
    <col min="16" max="16" width="1.625" style="131" customWidth="1"/>
    <col min="17" max="17" width="3.5" style="131" customWidth="1"/>
    <col min="18" max="18" width="15.125" style="131" bestFit="1" customWidth="1"/>
    <col min="19" max="19" width="4.5" style="131" customWidth="1"/>
    <col min="20" max="20" width="14.125" style="131" bestFit="1" customWidth="1"/>
    <col min="21" max="21" width="15.5" style="131" customWidth="1"/>
    <col min="22" max="16384" width="11" style="131"/>
  </cols>
  <sheetData>
    <row r="1" spans="1:153" s="163" customFormat="1" ht="38.1" customHeight="1">
      <c r="A1" s="277" t="s">
        <v>6</v>
      </c>
      <c r="B1" s="253" t="s">
        <v>6</v>
      </c>
      <c r="C1" s="278" t="s">
        <v>167</v>
      </c>
      <c r="D1" s="279"/>
      <c r="E1" s="279"/>
      <c r="F1" s="253" t="s">
        <v>6</v>
      </c>
      <c r="G1" s="253" t="s">
        <v>6</v>
      </c>
      <c r="H1" s="253" t="s">
        <v>6</v>
      </c>
      <c r="I1" s="253" t="s">
        <v>6</v>
      </c>
      <c r="J1" s="253" t="s">
        <v>6</v>
      </c>
      <c r="K1" s="253" t="s">
        <v>6</v>
      </c>
      <c r="L1" s="253" t="s">
        <v>6</v>
      </c>
      <c r="M1" s="253" t="s">
        <v>6</v>
      </c>
      <c r="N1" s="253" t="s">
        <v>6</v>
      </c>
      <c r="O1" s="253" t="s">
        <v>6</v>
      </c>
      <c r="P1" s="253" t="s">
        <v>6</v>
      </c>
      <c r="Q1" s="253" t="s">
        <v>6</v>
      </c>
      <c r="R1" s="253" t="s">
        <v>6</v>
      </c>
      <c r="S1" s="253" t="s">
        <v>6</v>
      </c>
      <c r="T1" s="253" t="s">
        <v>6</v>
      </c>
      <c r="U1" s="253" t="s">
        <v>6</v>
      </c>
      <c r="V1" s="253" t="s">
        <v>6</v>
      </c>
      <c r="W1" s="253" t="s">
        <v>6</v>
      </c>
      <c r="X1" s="253" t="s">
        <v>6</v>
      </c>
      <c r="Y1" s="253" t="s">
        <v>6</v>
      </c>
      <c r="Z1" s="253" t="s">
        <v>6</v>
      </c>
      <c r="AA1" s="253" t="s">
        <v>6</v>
      </c>
      <c r="AB1" s="253" t="s">
        <v>6</v>
      </c>
      <c r="AC1" s="253" t="s">
        <v>6</v>
      </c>
      <c r="AD1" s="253" t="s">
        <v>6</v>
      </c>
      <c r="AE1" s="253" t="s">
        <v>6</v>
      </c>
      <c r="AF1" s="253" t="s">
        <v>6</v>
      </c>
      <c r="AG1" s="253" t="s">
        <v>6</v>
      </c>
      <c r="AH1" s="253" t="s">
        <v>6</v>
      </c>
      <c r="AI1" s="253" t="s">
        <v>6</v>
      </c>
      <c r="AJ1" s="253" t="s">
        <v>6</v>
      </c>
      <c r="AK1" s="253" t="s">
        <v>6</v>
      </c>
      <c r="AL1" s="253" t="s">
        <v>6</v>
      </c>
      <c r="AM1" s="253" t="s">
        <v>6</v>
      </c>
      <c r="AN1" s="253" t="s">
        <v>6</v>
      </c>
      <c r="AO1" s="253" t="s">
        <v>6</v>
      </c>
      <c r="AP1" s="253" t="s">
        <v>6</v>
      </c>
      <c r="AQ1" s="253" t="s">
        <v>6</v>
      </c>
      <c r="AR1" s="253" t="s">
        <v>6</v>
      </c>
      <c r="AS1" s="253" t="s">
        <v>6</v>
      </c>
      <c r="AT1" s="253" t="s">
        <v>6</v>
      </c>
      <c r="AU1" s="253" t="s">
        <v>6</v>
      </c>
      <c r="AV1" s="253" t="s">
        <v>6</v>
      </c>
      <c r="AW1" s="253" t="s">
        <v>6</v>
      </c>
      <c r="AX1" s="253" t="s">
        <v>6</v>
      </c>
      <c r="AY1" s="253" t="s">
        <v>6</v>
      </c>
      <c r="AZ1" s="253" t="s">
        <v>6</v>
      </c>
      <c r="BA1" s="253" t="s">
        <v>6</v>
      </c>
      <c r="BB1" s="253" t="s">
        <v>6</v>
      </c>
      <c r="BC1" s="253" t="s">
        <v>6</v>
      </c>
      <c r="BD1" s="253" t="s">
        <v>6</v>
      </c>
      <c r="BE1" s="253" t="s">
        <v>6</v>
      </c>
      <c r="BF1" s="253" t="s">
        <v>6</v>
      </c>
      <c r="BG1" s="253" t="s">
        <v>6</v>
      </c>
      <c r="BH1" s="253" t="s">
        <v>6</v>
      </c>
      <c r="BI1" s="253" t="s">
        <v>6</v>
      </c>
      <c r="BJ1" s="253" t="s">
        <v>6</v>
      </c>
      <c r="BK1" s="253" t="s">
        <v>6</v>
      </c>
      <c r="BL1" s="253" t="s">
        <v>6</v>
      </c>
      <c r="BM1" s="253" t="s">
        <v>6</v>
      </c>
      <c r="BN1" s="253" t="s">
        <v>6</v>
      </c>
      <c r="BO1" s="253" t="s">
        <v>6</v>
      </c>
      <c r="BP1" s="253" t="s">
        <v>6</v>
      </c>
      <c r="BQ1" s="253" t="s">
        <v>6</v>
      </c>
      <c r="BR1" s="253" t="s">
        <v>6</v>
      </c>
      <c r="BS1" s="253" t="s">
        <v>6</v>
      </c>
      <c r="BT1" s="253" t="s">
        <v>6</v>
      </c>
      <c r="BU1" s="253" t="s">
        <v>6</v>
      </c>
      <c r="BV1" s="253" t="s">
        <v>6</v>
      </c>
      <c r="BW1" s="253" t="s">
        <v>6</v>
      </c>
      <c r="BX1" s="253" t="s">
        <v>6</v>
      </c>
      <c r="BY1" s="253" t="s">
        <v>6</v>
      </c>
      <c r="BZ1" s="253" t="s">
        <v>6</v>
      </c>
      <c r="CA1" s="253" t="s">
        <v>6</v>
      </c>
      <c r="CB1" s="253" t="s">
        <v>6</v>
      </c>
      <c r="CC1" s="253" t="s">
        <v>6</v>
      </c>
      <c r="CD1" s="253" t="s">
        <v>6</v>
      </c>
      <c r="CE1" s="253" t="s">
        <v>6</v>
      </c>
      <c r="CF1" s="253" t="s">
        <v>6</v>
      </c>
      <c r="CG1" s="253" t="s">
        <v>6</v>
      </c>
      <c r="CH1" s="253" t="s">
        <v>6</v>
      </c>
      <c r="CI1" s="253" t="s">
        <v>6</v>
      </c>
      <c r="CJ1" s="253" t="s">
        <v>6</v>
      </c>
      <c r="CK1" s="253" t="s">
        <v>6</v>
      </c>
      <c r="CL1" s="253" t="s">
        <v>6</v>
      </c>
      <c r="CM1" s="253" t="s">
        <v>6</v>
      </c>
      <c r="CN1" s="253" t="s">
        <v>6</v>
      </c>
      <c r="CO1" s="253" t="s">
        <v>6</v>
      </c>
      <c r="CP1" s="253" t="s">
        <v>6</v>
      </c>
      <c r="CQ1" s="253" t="s">
        <v>6</v>
      </c>
      <c r="CR1" s="253" t="s">
        <v>6</v>
      </c>
      <c r="CS1" s="253" t="s">
        <v>6</v>
      </c>
      <c r="CT1" s="253" t="s">
        <v>6</v>
      </c>
      <c r="CU1" s="253" t="s">
        <v>6</v>
      </c>
      <c r="CV1" s="253" t="s">
        <v>6</v>
      </c>
      <c r="CW1" s="253" t="s">
        <v>6</v>
      </c>
      <c r="CX1" s="253" t="s">
        <v>6</v>
      </c>
      <c r="CY1" s="253" t="s">
        <v>6</v>
      </c>
      <c r="CZ1" s="253" t="s">
        <v>6</v>
      </c>
      <c r="DA1" s="253" t="s">
        <v>6</v>
      </c>
      <c r="DB1" s="253" t="s">
        <v>6</v>
      </c>
      <c r="DC1" s="253" t="s">
        <v>6</v>
      </c>
      <c r="DD1" s="253" t="s">
        <v>6</v>
      </c>
      <c r="DE1" s="253" t="s">
        <v>6</v>
      </c>
      <c r="DF1" s="253" t="s">
        <v>6</v>
      </c>
      <c r="DG1" s="253" t="s">
        <v>6</v>
      </c>
      <c r="DH1" s="253" t="s">
        <v>6</v>
      </c>
      <c r="DI1" s="253" t="s">
        <v>6</v>
      </c>
      <c r="DJ1" s="253" t="s">
        <v>6</v>
      </c>
      <c r="DK1" s="253" t="s">
        <v>6</v>
      </c>
      <c r="DL1" s="253" t="s">
        <v>6</v>
      </c>
      <c r="DM1" s="253" t="s">
        <v>6</v>
      </c>
      <c r="DN1" s="253" t="s">
        <v>6</v>
      </c>
      <c r="DO1" s="253" t="s">
        <v>6</v>
      </c>
      <c r="DP1" s="253" t="s">
        <v>6</v>
      </c>
      <c r="DQ1" s="253" t="s">
        <v>6</v>
      </c>
      <c r="DR1" s="253" t="s">
        <v>6</v>
      </c>
      <c r="DS1" s="253" t="s">
        <v>6</v>
      </c>
      <c r="DT1" s="253" t="s">
        <v>6</v>
      </c>
      <c r="DU1" s="253" t="s">
        <v>6</v>
      </c>
      <c r="DV1" s="253" t="s">
        <v>6</v>
      </c>
      <c r="DW1" s="253" t="s">
        <v>6</v>
      </c>
      <c r="DX1" s="253" t="s">
        <v>6</v>
      </c>
      <c r="DY1" s="253" t="s">
        <v>6</v>
      </c>
      <c r="DZ1" s="253" t="s">
        <v>6</v>
      </c>
      <c r="EA1" s="253" t="s">
        <v>6</v>
      </c>
      <c r="EB1" s="253" t="s">
        <v>6</v>
      </c>
      <c r="EC1" s="253" t="s">
        <v>6</v>
      </c>
      <c r="ED1" s="253" t="s">
        <v>6</v>
      </c>
      <c r="EE1" s="253" t="s">
        <v>6</v>
      </c>
      <c r="EF1" s="253" t="s">
        <v>6</v>
      </c>
      <c r="EG1" s="253" t="s">
        <v>6</v>
      </c>
      <c r="EH1" s="253" t="s">
        <v>6</v>
      </c>
      <c r="EI1" s="253" t="s">
        <v>6</v>
      </c>
      <c r="EJ1" s="253" t="s">
        <v>6</v>
      </c>
      <c r="EK1" s="253" t="s">
        <v>6</v>
      </c>
      <c r="EL1" s="253" t="s">
        <v>6</v>
      </c>
      <c r="EM1" s="253" t="s">
        <v>6</v>
      </c>
      <c r="EN1" s="253" t="s">
        <v>6</v>
      </c>
      <c r="EO1" s="253" t="s">
        <v>6</v>
      </c>
      <c r="EP1" s="253" t="s">
        <v>6</v>
      </c>
      <c r="EQ1" s="253" t="s">
        <v>6</v>
      </c>
      <c r="ER1" s="253" t="s">
        <v>6</v>
      </c>
      <c r="ES1" s="253" t="s">
        <v>6</v>
      </c>
      <c r="ET1" s="253" t="s">
        <v>6</v>
      </c>
      <c r="EU1" s="253" t="s">
        <v>6</v>
      </c>
      <c r="EV1" s="253" t="s">
        <v>6</v>
      </c>
      <c r="EW1" s="280" t="s">
        <v>6</v>
      </c>
    </row>
    <row r="2" spans="1:153" ht="13.5">
      <c r="A2" s="277" t="s">
        <v>6</v>
      </c>
      <c r="B2" s="247" t="s">
        <v>6</v>
      </c>
      <c r="C2" s="241" t="s">
        <v>6</v>
      </c>
      <c r="D2" s="241" t="s">
        <v>6</v>
      </c>
      <c r="E2" s="241" t="s">
        <v>6</v>
      </c>
      <c r="F2" s="241" t="s">
        <v>6</v>
      </c>
      <c r="G2" s="241" t="s">
        <v>6</v>
      </c>
      <c r="H2" s="241" t="s">
        <v>6</v>
      </c>
      <c r="I2" s="241" t="s">
        <v>6</v>
      </c>
      <c r="J2" s="243" t="s">
        <v>6</v>
      </c>
      <c r="K2" s="243" t="s">
        <v>6</v>
      </c>
      <c r="L2" s="243" t="s">
        <v>6</v>
      </c>
      <c r="M2" s="243" t="s">
        <v>6</v>
      </c>
      <c r="N2" s="241" t="s">
        <v>6</v>
      </c>
      <c r="O2" s="243" t="s">
        <v>6</v>
      </c>
      <c r="P2" s="243" t="s">
        <v>6</v>
      </c>
      <c r="Q2" s="243" t="s">
        <v>6</v>
      </c>
      <c r="R2" s="243" t="s">
        <v>6</v>
      </c>
      <c r="S2" s="243" t="s">
        <v>6</v>
      </c>
      <c r="T2" s="243" t="s">
        <v>6</v>
      </c>
      <c r="U2" s="243" t="s">
        <v>6</v>
      </c>
      <c r="V2" s="243" t="s">
        <v>6</v>
      </c>
      <c r="W2" s="243" t="s">
        <v>6</v>
      </c>
      <c r="X2" s="243" t="s">
        <v>6</v>
      </c>
      <c r="Y2" s="243" t="s">
        <v>6</v>
      </c>
      <c r="Z2" s="243" t="s">
        <v>6</v>
      </c>
      <c r="AA2" s="243" t="s">
        <v>6</v>
      </c>
      <c r="AB2" s="243" t="s">
        <v>6</v>
      </c>
      <c r="AC2" s="243" t="s">
        <v>6</v>
      </c>
      <c r="AD2" s="243" t="s">
        <v>6</v>
      </c>
      <c r="AE2" s="243" t="s">
        <v>6</v>
      </c>
      <c r="AF2" s="243" t="s">
        <v>6</v>
      </c>
      <c r="AG2" s="243" t="s">
        <v>6</v>
      </c>
      <c r="AH2" s="243" t="s">
        <v>6</v>
      </c>
      <c r="AI2" s="243" t="s">
        <v>6</v>
      </c>
      <c r="AJ2" s="243" t="s">
        <v>6</v>
      </c>
      <c r="AK2" s="243" t="s">
        <v>6</v>
      </c>
      <c r="AL2" s="243" t="s">
        <v>6</v>
      </c>
      <c r="AM2" s="243" t="s">
        <v>6</v>
      </c>
      <c r="AN2" s="243" t="s">
        <v>6</v>
      </c>
      <c r="AO2" s="243" t="s">
        <v>6</v>
      </c>
      <c r="AP2" s="243" t="s">
        <v>6</v>
      </c>
      <c r="AQ2" s="243" t="s">
        <v>6</v>
      </c>
      <c r="AR2" s="243" t="s">
        <v>6</v>
      </c>
      <c r="AS2" s="243" t="s">
        <v>6</v>
      </c>
      <c r="AT2" s="243" t="s">
        <v>6</v>
      </c>
      <c r="AU2" s="243" t="s">
        <v>6</v>
      </c>
      <c r="AV2" s="243" t="s">
        <v>6</v>
      </c>
      <c r="AW2" s="243" t="s">
        <v>6</v>
      </c>
      <c r="AX2" s="243" t="s">
        <v>6</v>
      </c>
      <c r="AY2" s="243" t="s">
        <v>6</v>
      </c>
      <c r="AZ2" s="243" t="s">
        <v>6</v>
      </c>
      <c r="BA2" s="243" t="s">
        <v>6</v>
      </c>
      <c r="BB2" s="243" t="s">
        <v>6</v>
      </c>
      <c r="BC2" s="243" t="s">
        <v>6</v>
      </c>
      <c r="BD2" s="243" t="s">
        <v>6</v>
      </c>
      <c r="BE2" s="243" t="s">
        <v>6</v>
      </c>
      <c r="BF2" s="243" t="s">
        <v>6</v>
      </c>
      <c r="BG2" s="243" t="s">
        <v>6</v>
      </c>
      <c r="BH2" s="243" t="s">
        <v>6</v>
      </c>
      <c r="BI2" s="243" t="s">
        <v>6</v>
      </c>
      <c r="BJ2" s="243" t="s">
        <v>6</v>
      </c>
      <c r="BK2" s="243" t="s">
        <v>6</v>
      </c>
      <c r="BL2" s="243" t="s">
        <v>6</v>
      </c>
      <c r="BM2" s="243" t="s">
        <v>6</v>
      </c>
      <c r="BN2" s="243" t="s">
        <v>6</v>
      </c>
      <c r="BO2" s="243" t="s">
        <v>6</v>
      </c>
      <c r="BP2" s="243" t="s">
        <v>6</v>
      </c>
      <c r="BQ2" s="243" t="s">
        <v>6</v>
      </c>
      <c r="BR2" s="243" t="s">
        <v>6</v>
      </c>
      <c r="BS2" s="243" t="s">
        <v>6</v>
      </c>
      <c r="BT2" s="243" t="s">
        <v>6</v>
      </c>
      <c r="BU2" s="243" t="s">
        <v>6</v>
      </c>
      <c r="BV2" s="243" t="s">
        <v>6</v>
      </c>
      <c r="BW2" s="243" t="s">
        <v>6</v>
      </c>
      <c r="BX2" s="243" t="s">
        <v>6</v>
      </c>
      <c r="BY2" s="243" t="s">
        <v>6</v>
      </c>
      <c r="BZ2" s="243" t="s">
        <v>6</v>
      </c>
      <c r="CA2" s="243" t="s">
        <v>6</v>
      </c>
      <c r="CB2" s="243" t="s">
        <v>6</v>
      </c>
      <c r="CC2" s="243" t="s">
        <v>6</v>
      </c>
      <c r="CD2" s="243" t="s">
        <v>6</v>
      </c>
      <c r="CE2" s="243" t="s">
        <v>6</v>
      </c>
      <c r="CF2" s="243" t="s">
        <v>6</v>
      </c>
      <c r="CG2" s="243" t="s">
        <v>6</v>
      </c>
      <c r="CH2" s="243" t="s">
        <v>6</v>
      </c>
      <c r="CI2" s="243" t="s">
        <v>6</v>
      </c>
      <c r="CJ2" s="243" t="s">
        <v>6</v>
      </c>
      <c r="CK2" s="243" t="s">
        <v>6</v>
      </c>
      <c r="CL2" s="243" t="s">
        <v>6</v>
      </c>
      <c r="CM2" s="243" t="s">
        <v>6</v>
      </c>
      <c r="CN2" s="243" t="s">
        <v>6</v>
      </c>
      <c r="CO2" s="243" t="s">
        <v>6</v>
      </c>
      <c r="CP2" s="243" t="s">
        <v>6</v>
      </c>
      <c r="CQ2" s="243" t="s">
        <v>6</v>
      </c>
      <c r="CR2" s="243" t="s">
        <v>6</v>
      </c>
      <c r="CS2" s="243" t="s">
        <v>6</v>
      </c>
      <c r="CT2" s="243" t="s">
        <v>6</v>
      </c>
      <c r="CU2" s="243" t="s">
        <v>6</v>
      </c>
      <c r="CV2" s="243" t="s">
        <v>6</v>
      </c>
      <c r="CW2" s="243" t="s">
        <v>6</v>
      </c>
      <c r="CX2" s="243" t="s">
        <v>6</v>
      </c>
      <c r="CY2" s="243" t="s">
        <v>6</v>
      </c>
      <c r="CZ2" s="243" t="s">
        <v>6</v>
      </c>
      <c r="DA2" s="243" t="s">
        <v>6</v>
      </c>
      <c r="DB2" s="243" t="s">
        <v>6</v>
      </c>
      <c r="DC2" s="243" t="s">
        <v>6</v>
      </c>
      <c r="DD2" s="243" t="s">
        <v>6</v>
      </c>
      <c r="DE2" s="243" t="s">
        <v>6</v>
      </c>
      <c r="DF2" s="243" t="s">
        <v>6</v>
      </c>
      <c r="DG2" s="243" t="s">
        <v>6</v>
      </c>
      <c r="DH2" s="243" t="s">
        <v>6</v>
      </c>
      <c r="DI2" s="243" t="s">
        <v>6</v>
      </c>
      <c r="DJ2" s="243" t="s">
        <v>6</v>
      </c>
      <c r="DK2" s="243" t="s">
        <v>6</v>
      </c>
      <c r="DL2" s="243" t="s">
        <v>6</v>
      </c>
      <c r="DM2" s="243" t="s">
        <v>6</v>
      </c>
      <c r="DN2" s="243" t="s">
        <v>6</v>
      </c>
      <c r="DO2" s="243" t="s">
        <v>6</v>
      </c>
      <c r="DP2" s="243" t="s">
        <v>6</v>
      </c>
      <c r="DQ2" s="243" t="s">
        <v>6</v>
      </c>
      <c r="DR2" s="243" t="s">
        <v>6</v>
      </c>
      <c r="DS2" s="243" t="s">
        <v>6</v>
      </c>
      <c r="DT2" s="243" t="s">
        <v>6</v>
      </c>
      <c r="DU2" s="243" t="s">
        <v>6</v>
      </c>
      <c r="DV2" s="243" t="s">
        <v>6</v>
      </c>
      <c r="DW2" s="243" t="s">
        <v>6</v>
      </c>
      <c r="DX2" s="243" t="s">
        <v>6</v>
      </c>
      <c r="DY2" s="243" t="s">
        <v>6</v>
      </c>
      <c r="DZ2" s="243" t="s">
        <v>6</v>
      </c>
      <c r="EA2" s="243" t="s">
        <v>6</v>
      </c>
      <c r="EB2" s="243" t="s">
        <v>6</v>
      </c>
      <c r="EC2" s="243" t="s">
        <v>6</v>
      </c>
      <c r="ED2" s="243" t="s">
        <v>6</v>
      </c>
      <c r="EE2" s="243" t="s">
        <v>6</v>
      </c>
      <c r="EF2" s="243" t="s">
        <v>6</v>
      </c>
      <c r="EG2" s="243" t="s">
        <v>6</v>
      </c>
      <c r="EH2" s="243" t="s">
        <v>6</v>
      </c>
      <c r="EI2" s="243" t="s">
        <v>6</v>
      </c>
      <c r="EJ2" s="243" t="s">
        <v>6</v>
      </c>
      <c r="EK2" s="243" t="s">
        <v>6</v>
      </c>
      <c r="EL2" s="243" t="s">
        <v>6</v>
      </c>
      <c r="EM2" s="243" t="s">
        <v>6</v>
      </c>
      <c r="EN2" s="243" t="s">
        <v>6</v>
      </c>
      <c r="EO2" s="243" t="s">
        <v>6</v>
      </c>
      <c r="EP2" s="243" t="s">
        <v>6</v>
      </c>
      <c r="EQ2" s="243" t="s">
        <v>6</v>
      </c>
      <c r="ER2" s="243" t="s">
        <v>6</v>
      </c>
      <c r="ES2" s="243" t="s">
        <v>6</v>
      </c>
      <c r="ET2" s="243" t="s">
        <v>6</v>
      </c>
      <c r="EU2" s="243" t="s">
        <v>6</v>
      </c>
      <c r="EV2" s="243" t="s">
        <v>6</v>
      </c>
      <c r="EW2" s="243" t="s">
        <v>6</v>
      </c>
    </row>
    <row r="3" spans="1:153" ht="13.5">
      <c r="A3" s="277" t="s">
        <v>6</v>
      </c>
      <c r="B3" s="247" t="s">
        <v>6</v>
      </c>
      <c r="C3" s="281" t="s">
        <v>168</v>
      </c>
      <c r="D3" s="281"/>
      <c r="E3" s="281"/>
      <c r="F3" s="243" t="s">
        <v>6</v>
      </c>
      <c r="G3" s="241" t="s">
        <v>6</v>
      </c>
      <c r="H3" s="241" t="s">
        <v>6</v>
      </c>
      <c r="I3" s="241" t="s">
        <v>6</v>
      </c>
      <c r="J3" s="243" t="s">
        <v>6</v>
      </c>
      <c r="K3" s="243" t="s">
        <v>6</v>
      </c>
      <c r="L3" s="243" t="s">
        <v>6</v>
      </c>
      <c r="M3" s="243" t="s">
        <v>6</v>
      </c>
      <c r="N3" s="241" t="s">
        <v>6</v>
      </c>
      <c r="O3" s="243" t="s">
        <v>6</v>
      </c>
      <c r="P3" s="243" t="s">
        <v>6</v>
      </c>
      <c r="Q3" s="243" t="s">
        <v>6</v>
      </c>
      <c r="R3" s="243" t="s">
        <v>6</v>
      </c>
      <c r="S3" s="243" t="s">
        <v>6</v>
      </c>
      <c r="T3" s="243" t="s">
        <v>6</v>
      </c>
      <c r="U3" s="243" t="s">
        <v>6</v>
      </c>
      <c r="V3" s="243" t="s">
        <v>6</v>
      </c>
      <c r="W3" s="243" t="s">
        <v>6</v>
      </c>
      <c r="X3" s="243" t="s">
        <v>6</v>
      </c>
      <c r="Y3" s="243" t="s">
        <v>6</v>
      </c>
      <c r="Z3" s="243" t="s">
        <v>6</v>
      </c>
      <c r="AA3" s="243" t="s">
        <v>6</v>
      </c>
      <c r="AB3" s="243" t="s">
        <v>6</v>
      </c>
      <c r="AC3" s="243" t="s">
        <v>6</v>
      </c>
      <c r="AD3" s="243" t="s">
        <v>6</v>
      </c>
      <c r="AE3" s="243" t="s">
        <v>6</v>
      </c>
      <c r="AF3" s="243" t="s">
        <v>6</v>
      </c>
      <c r="AG3" s="243" t="s">
        <v>6</v>
      </c>
      <c r="AH3" s="243" t="s">
        <v>6</v>
      </c>
      <c r="AI3" s="243" t="s">
        <v>6</v>
      </c>
      <c r="AJ3" s="243" t="s">
        <v>6</v>
      </c>
      <c r="AK3" s="243" t="s">
        <v>6</v>
      </c>
      <c r="AL3" s="243" t="s">
        <v>6</v>
      </c>
      <c r="AM3" s="243" t="s">
        <v>6</v>
      </c>
      <c r="AN3" s="243" t="s">
        <v>6</v>
      </c>
      <c r="AO3" s="243" t="s">
        <v>6</v>
      </c>
      <c r="AP3" s="243" t="s">
        <v>6</v>
      </c>
      <c r="AQ3" s="243" t="s">
        <v>6</v>
      </c>
      <c r="AR3" s="243" t="s">
        <v>6</v>
      </c>
      <c r="AS3" s="243" t="s">
        <v>6</v>
      </c>
      <c r="AT3" s="243" t="s">
        <v>6</v>
      </c>
      <c r="AU3" s="243" t="s">
        <v>6</v>
      </c>
      <c r="AV3" s="243" t="s">
        <v>6</v>
      </c>
      <c r="AW3" s="243" t="s">
        <v>6</v>
      </c>
      <c r="AX3" s="243" t="s">
        <v>6</v>
      </c>
      <c r="AY3" s="243" t="s">
        <v>6</v>
      </c>
      <c r="AZ3" s="243" t="s">
        <v>6</v>
      </c>
      <c r="BA3" s="243" t="s">
        <v>6</v>
      </c>
      <c r="BB3" s="243" t="s">
        <v>6</v>
      </c>
      <c r="BC3" s="243" t="s">
        <v>6</v>
      </c>
      <c r="BD3" s="243" t="s">
        <v>6</v>
      </c>
      <c r="BE3" s="243" t="s">
        <v>6</v>
      </c>
      <c r="BF3" s="243" t="s">
        <v>6</v>
      </c>
      <c r="BG3" s="243" t="s">
        <v>6</v>
      </c>
      <c r="BH3" s="243" t="s">
        <v>6</v>
      </c>
      <c r="BI3" s="243" t="s">
        <v>6</v>
      </c>
      <c r="BJ3" s="243" t="s">
        <v>6</v>
      </c>
      <c r="BK3" s="243" t="s">
        <v>6</v>
      </c>
      <c r="BL3" s="243" t="s">
        <v>6</v>
      </c>
      <c r="BM3" s="243" t="s">
        <v>6</v>
      </c>
      <c r="BN3" s="243" t="s">
        <v>6</v>
      </c>
      <c r="BO3" s="243" t="s">
        <v>6</v>
      </c>
      <c r="BP3" s="243" t="s">
        <v>6</v>
      </c>
      <c r="BQ3" s="243" t="s">
        <v>6</v>
      </c>
      <c r="BR3" s="243" t="s">
        <v>6</v>
      </c>
      <c r="BS3" s="243" t="s">
        <v>6</v>
      </c>
      <c r="BT3" s="243" t="s">
        <v>6</v>
      </c>
      <c r="BU3" s="243" t="s">
        <v>6</v>
      </c>
      <c r="BV3" s="243" t="s">
        <v>6</v>
      </c>
      <c r="BW3" s="243" t="s">
        <v>6</v>
      </c>
      <c r="BX3" s="243" t="s">
        <v>6</v>
      </c>
      <c r="BY3" s="243" t="s">
        <v>6</v>
      </c>
      <c r="BZ3" s="243" t="s">
        <v>6</v>
      </c>
      <c r="CA3" s="243" t="s">
        <v>6</v>
      </c>
      <c r="CB3" s="243" t="s">
        <v>6</v>
      </c>
      <c r="CC3" s="243" t="s">
        <v>6</v>
      </c>
      <c r="CD3" s="243" t="s">
        <v>6</v>
      </c>
      <c r="CE3" s="243" t="s">
        <v>6</v>
      </c>
      <c r="CF3" s="243" t="s">
        <v>6</v>
      </c>
      <c r="CG3" s="243" t="s">
        <v>6</v>
      </c>
      <c r="CH3" s="243" t="s">
        <v>6</v>
      </c>
      <c r="CI3" s="243" t="s">
        <v>6</v>
      </c>
      <c r="CJ3" s="243" t="s">
        <v>6</v>
      </c>
      <c r="CK3" s="243" t="s">
        <v>6</v>
      </c>
      <c r="CL3" s="243" t="s">
        <v>6</v>
      </c>
      <c r="CM3" s="243" t="s">
        <v>6</v>
      </c>
      <c r="CN3" s="243" t="s">
        <v>6</v>
      </c>
      <c r="CO3" s="243" t="s">
        <v>6</v>
      </c>
      <c r="CP3" s="243" t="s">
        <v>6</v>
      </c>
      <c r="CQ3" s="243" t="s">
        <v>6</v>
      </c>
      <c r="CR3" s="243" t="s">
        <v>6</v>
      </c>
      <c r="CS3" s="243" t="s">
        <v>6</v>
      </c>
      <c r="CT3" s="243" t="s">
        <v>6</v>
      </c>
      <c r="CU3" s="243" t="s">
        <v>6</v>
      </c>
      <c r="CV3" s="243" t="s">
        <v>6</v>
      </c>
      <c r="CW3" s="243" t="s">
        <v>6</v>
      </c>
      <c r="CX3" s="243" t="s">
        <v>6</v>
      </c>
      <c r="CY3" s="243" t="s">
        <v>6</v>
      </c>
      <c r="CZ3" s="243" t="s">
        <v>6</v>
      </c>
      <c r="DA3" s="243" t="s">
        <v>6</v>
      </c>
      <c r="DB3" s="243" t="s">
        <v>6</v>
      </c>
      <c r="DC3" s="243" t="s">
        <v>6</v>
      </c>
      <c r="DD3" s="243" t="s">
        <v>6</v>
      </c>
      <c r="DE3" s="243" t="s">
        <v>6</v>
      </c>
      <c r="DF3" s="243" t="s">
        <v>6</v>
      </c>
      <c r="DG3" s="243" t="s">
        <v>6</v>
      </c>
      <c r="DH3" s="243" t="s">
        <v>6</v>
      </c>
      <c r="DI3" s="243" t="s">
        <v>6</v>
      </c>
      <c r="DJ3" s="243" t="s">
        <v>6</v>
      </c>
      <c r="DK3" s="243" t="s">
        <v>6</v>
      </c>
      <c r="DL3" s="243" t="s">
        <v>6</v>
      </c>
      <c r="DM3" s="243" t="s">
        <v>6</v>
      </c>
      <c r="DN3" s="243" t="s">
        <v>6</v>
      </c>
      <c r="DO3" s="243" t="s">
        <v>6</v>
      </c>
      <c r="DP3" s="243" t="s">
        <v>6</v>
      </c>
      <c r="DQ3" s="243" t="s">
        <v>6</v>
      </c>
      <c r="DR3" s="243" t="s">
        <v>6</v>
      </c>
      <c r="DS3" s="243" t="s">
        <v>6</v>
      </c>
      <c r="DT3" s="243" t="s">
        <v>6</v>
      </c>
      <c r="DU3" s="243" t="s">
        <v>6</v>
      </c>
      <c r="DV3" s="243" t="s">
        <v>6</v>
      </c>
      <c r="DW3" s="243" t="s">
        <v>6</v>
      </c>
      <c r="DX3" s="243" t="s">
        <v>6</v>
      </c>
      <c r="DY3" s="243" t="s">
        <v>6</v>
      </c>
      <c r="DZ3" s="243" t="s">
        <v>6</v>
      </c>
      <c r="EA3" s="243" t="s">
        <v>6</v>
      </c>
      <c r="EB3" s="243" t="s">
        <v>6</v>
      </c>
      <c r="EC3" s="243" t="s">
        <v>6</v>
      </c>
      <c r="ED3" s="243" t="s">
        <v>6</v>
      </c>
      <c r="EE3" s="243" t="s">
        <v>6</v>
      </c>
      <c r="EF3" s="243" t="s">
        <v>6</v>
      </c>
      <c r="EG3" s="243" t="s">
        <v>6</v>
      </c>
      <c r="EH3" s="243" t="s">
        <v>6</v>
      </c>
      <c r="EI3" s="243" t="s">
        <v>6</v>
      </c>
      <c r="EJ3" s="243" t="s">
        <v>6</v>
      </c>
      <c r="EK3" s="243" t="s">
        <v>6</v>
      </c>
      <c r="EL3" s="243" t="s">
        <v>6</v>
      </c>
      <c r="EM3" s="243" t="s">
        <v>6</v>
      </c>
      <c r="EN3" s="243" t="s">
        <v>6</v>
      </c>
      <c r="EO3" s="243" t="s">
        <v>6</v>
      </c>
      <c r="EP3" s="243" t="s">
        <v>6</v>
      </c>
      <c r="EQ3" s="243" t="s">
        <v>6</v>
      </c>
      <c r="ER3" s="243" t="s">
        <v>6</v>
      </c>
      <c r="ES3" s="243" t="s">
        <v>6</v>
      </c>
      <c r="ET3" s="243" t="s">
        <v>6</v>
      </c>
      <c r="EU3" s="243" t="s">
        <v>6</v>
      </c>
      <c r="EV3" s="243" t="s">
        <v>6</v>
      </c>
      <c r="EW3" s="243" t="s">
        <v>6</v>
      </c>
    </row>
    <row r="4" spans="1:153" ht="13.5">
      <c r="A4" s="277" t="s">
        <v>6</v>
      </c>
      <c r="B4" s="247" t="s">
        <v>6</v>
      </c>
      <c r="C4" s="241" t="s">
        <v>6</v>
      </c>
      <c r="D4" s="241" t="s">
        <v>6</v>
      </c>
      <c r="E4" s="241" t="s">
        <v>6</v>
      </c>
      <c r="F4" s="282" t="s">
        <v>6</v>
      </c>
      <c r="G4" s="241" t="s">
        <v>6</v>
      </c>
      <c r="H4" s="241" t="s">
        <v>6</v>
      </c>
      <c r="I4" s="241" t="s">
        <v>6</v>
      </c>
      <c r="J4" s="243" t="s">
        <v>6</v>
      </c>
      <c r="K4" s="243" t="s">
        <v>6</v>
      </c>
      <c r="L4" s="243" t="s">
        <v>6</v>
      </c>
      <c r="M4" s="243" t="s">
        <v>6</v>
      </c>
      <c r="N4" s="241" t="s">
        <v>6</v>
      </c>
      <c r="O4" s="243" t="s">
        <v>6</v>
      </c>
      <c r="P4" s="243" t="s">
        <v>6</v>
      </c>
      <c r="Q4" s="243" t="s">
        <v>6</v>
      </c>
      <c r="R4" s="243" t="s">
        <v>6</v>
      </c>
      <c r="S4" s="243" t="s">
        <v>6</v>
      </c>
      <c r="T4" s="243" t="s">
        <v>6</v>
      </c>
      <c r="U4" s="243" t="s">
        <v>6</v>
      </c>
      <c r="V4" s="243" t="s">
        <v>6</v>
      </c>
      <c r="W4" s="243" t="s">
        <v>6</v>
      </c>
      <c r="X4" s="243" t="s">
        <v>6</v>
      </c>
      <c r="Y4" s="243" t="s">
        <v>6</v>
      </c>
      <c r="Z4" s="243" t="s">
        <v>6</v>
      </c>
      <c r="AA4" s="243" t="s">
        <v>6</v>
      </c>
      <c r="AB4" s="243" t="s">
        <v>6</v>
      </c>
      <c r="AC4" s="243" t="s">
        <v>6</v>
      </c>
      <c r="AD4" s="243" t="s">
        <v>6</v>
      </c>
      <c r="AE4" s="243" t="s">
        <v>6</v>
      </c>
      <c r="AF4" s="243" t="s">
        <v>6</v>
      </c>
      <c r="AG4" s="243" t="s">
        <v>6</v>
      </c>
      <c r="AH4" s="243" t="s">
        <v>6</v>
      </c>
      <c r="AI4" s="243" t="s">
        <v>6</v>
      </c>
      <c r="AJ4" s="243" t="s">
        <v>6</v>
      </c>
      <c r="AK4" s="243" t="s">
        <v>6</v>
      </c>
      <c r="AL4" s="243" t="s">
        <v>6</v>
      </c>
      <c r="AM4" s="243" t="s">
        <v>6</v>
      </c>
      <c r="AN4" s="243" t="s">
        <v>6</v>
      </c>
      <c r="AO4" s="243" t="s">
        <v>6</v>
      </c>
      <c r="AP4" s="243" t="s">
        <v>6</v>
      </c>
      <c r="AQ4" s="243" t="s">
        <v>6</v>
      </c>
      <c r="AR4" s="243" t="s">
        <v>6</v>
      </c>
      <c r="AS4" s="243" t="s">
        <v>6</v>
      </c>
      <c r="AT4" s="243" t="s">
        <v>6</v>
      </c>
      <c r="AU4" s="243" t="s">
        <v>6</v>
      </c>
      <c r="AV4" s="243" t="s">
        <v>6</v>
      </c>
      <c r="AW4" s="243" t="s">
        <v>6</v>
      </c>
      <c r="AX4" s="243" t="s">
        <v>6</v>
      </c>
      <c r="AY4" s="243" t="s">
        <v>6</v>
      </c>
      <c r="AZ4" s="243" t="s">
        <v>6</v>
      </c>
      <c r="BA4" s="243" t="s">
        <v>6</v>
      </c>
      <c r="BB4" s="243" t="s">
        <v>6</v>
      </c>
      <c r="BC4" s="243" t="s">
        <v>6</v>
      </c>
      <c r="BD4" s="243" t="s">
        <v>6</v>
      </c>
      <c r="BE4" s="243" t="s">
        <v>6</v>
      </c>
      <c r="BF4" s="243" t="s">
        <v>6</v>
      </c>
      <c r="BG4" s="243" t="s">
        <v>6</v>
      </c>
      <c r="BH4" s="243" t="s">
        <v>6</v>
      </c>
      <c r="BI4" s="243" t="s">
        <v>6</v>
      </c>
      <c r="BJ4" s="243" t="s">
        <v>6</v>
      </c>
      <c r="BK4" s="243" t="s">
        <v>6</v>
      </c>
      <c r="BL4" s="243" t="s">
        <v>6</v>
      </c>
      <c r="BM4" s="243" t="s">
        <v>6</v>
      </c>
      <c r="BN4" s="243" t="s">
        <v>6</v>
      </c>
      <c r="BO4" s="243" t="s">
        <v>6</v>
      </c>
      <c r="BP4" s="243" t="s">
        <v>6</v>
      </c>
      <c r="BQ4" s="243" t="s">
        <v>6</v>
      </c>
      <c r="BR4" s="243" t="s">
        <v>6</v>
      </c>
      <c r="BS4" s="243" t="s">
        <v>6</v>
      </c>
      <c r="BT4" s="243" t="s">
        <v>6</v>
      </c>
      <c r="BU4" s="243" t="s">
        <v>6</v>
      </c>
      <c r="BV4" s="243" t="s">
        <v>6</v>
      </c>
      <c r="BW4" s="243" t="s">
        <v>6</v>
      </c>
      <c r="BX4" s="243" t="s">
        <v>6</v>
      </c>
      <c r="BY4" s="243" t="s">
        <v>6</v>
      </c>
      <c r="BZ4" s="243" t="s">
        <v>6</v>
      </c>
      <c r="CA4" s="243" t="s">
        <v>6</v>
      </c>
      <c r="CB4" s="243" t="s">
        <v>6</v>
      </c>
      <c r="CC4" s="243" t="s">
        <v>6</v>
      </c>
      <c r="CD4" s="243" t="s">
        <v>6</v>
      </c>
      <c r="CE4" s="243" t="s">
        <v>6</v>
      </c>
      <c r="CF4" s="243" t="s">
        <v>6</v>
      </c>
      <c r="CG4" s="243" t="s">
        <v>6</v>
      </c>
      <c r="CH4" s="243" t="s">
        <v>6</v>
      </c>
      <c r="CI4" s="243" t="s">
        <v>6</v>
      </c>
      <c r="CJ4" s="243" t="s">
        <v>6</v>
      </c>
      <c r="CK4" s="243" t="s">
        <v>6</v>
      </c>
      <c r="CL4" s="243" t="s">
        <v>6</v>
      </c>
      <c r="CM4" s="243" t="s">
        <v>6</v>
      </c>
      <c r="CN4" s="243" t="s">
        <v>6</v>
      </c>
      <c r="CO4" s="243" t="s">
        <v>6</v>
      </c>
      <c r="CP4" s="243" t="s">
        <v>6</v>
      </c>
      <c r="CQ4" s="243" t="s">
        <v>6</v>
      </c>
      <c r="CR4" s="243" t="s">
        <v>6</v>
      </c>
      <c r="CS4" s="243" t="s">
        <v>6</v>
      </c>
      <c r="CT4" s="243" t="s">
        <v>6</v>
      </c>
      <c r="CU4" s="243" t="s">
        <v>6</v>
      </c>
      <c r="CV4" s="243" t="s">
        <v>6</v>
      </c>
      <c r="CW4" s="243" t="s">
        <v>6</v>
      </c>
      <c r="CX4" s="243" t="s">
        <v>6</v>
      </c>
      <c r="CY4" s="243" t="s">
        <v>6</v>
      </c>
      <c r="CZ4" s="243" t="s">
        <v>6</v>
      </c>
      <c r="DA4" s="243" t="s">
        <v>6</v>
      </c>
      <c r="DB4" s="243" t="s">
        <v>6</v>
      </c>
      <c r="DC4" s="243" t="s">
        <v>6</v>
      </c>
      <c r="DD4" s="243" t="s">
        <v>6</v>
      </c>
      <c r="DE4" s="243" t="s">
        <v>6</v>
      </c>
      <c r="DF4" s="243" t="s">
        <v>6</v>
      </c>
      <c r="DG4" s="243" t="s">
        <v>6</v>
      </c>
      <c r="DH4" s="243" t="s">
        <v>6</v>
      </c>
      <c r="DI4" s="243" t="s">
        <v>6</v>
      </c>
      <c r="DJ4" s="243" t="s">
        <v>6</v>
      </c>
      <c r="DK4" s="243" t="s">
        <v>6</v>
      </c>
      <c r="DL4" s="243" t="s">
        <v>6</v>
      </c>
      <c r="DM4" s="243" t="s">
        <v>6</v>
      </c>
      <c r="DN4" s="243" t="s">
        <v>6</v>
      </c>
      <c r="DO4" s="243" t="s">
        <v>6</v>
      </c>
      <c r="DP4" s="243" t="s">
        <v>6</v>
      </c>
      <c r="DQ4" s="243" t="s">
        <v>6</v>
      </c>
      <c r="DR4" s="243" t="s">
        <v>6</v>
      </c>
      <c r="DS4" s="243" t="s">
        <v>6</v>
      </c>
      <c r="DT4" s="243" t="s">
        <v>6</v>
      </c>
      <c r="DU4" s="243" t="s">
        <v>6</v>
      </c>
      <c r="DV4" s="243" t="s">
        <v>6</v>
      </c>
      <c r="DW4" s="243" t="s">
        <v>6</v>
      </c>
      <c r="DX4" s="243" t="s">
        <v>6</v>
      </c>
      <c r="DY4" s="243" t="s">
        <v>6</v>
      </c>
      <c r="DZ4" s="243" t="s">
        <v>6</v>
      </c>
      <c r="EA4" s="243" t="s">
        <v>6</v>
      </c>
      <c r="EB4" s="243" t="s">
        <v>6</v>
      </c>
      <c r="EC4" s="243" t="s">
        <v>6</v>
      </c>
      <c r="ED4" s="243" t="s">
        <v>6</v>
      </c>
      <c r="EE4" s="243" t="s">
        <v>6</v>
      </c>
      <c r="EF4" s="243" t="s">
        <v>6</v>
      </c>
      <c r="EG4" s="243" t="s">
        <v>6</v>
      </c>
      <c r="EH4" s="243" t="s">
        <v>6</v>
      </c>
      <c r="EI4" s="243" t="s">
        <v>6</v>
      </c>
      <c r="EJ4" s="243" t="s">
        <v>6</v>
      </c>
      <c r="EK4" s="243" t="s">
        <v>6</v>
      </c>
      <c r="EL4" s="243" t="s">
        <v>6</v>
      </c>
      <c r="EM4" s="243" t="s">
        <v>6</v>
      </c>
      <c r="EN4" s="243" t="s">
        <v>6</v>
      </c>
      <c r="EO4" s="243" t="s">
        <v>6</v>
      </c>
      <c r="EP4" s="243" t="s">
        <v>6</v>
      </c>
      <c r="EQ4" s="243" t="s">
        <v>6</v>
      </c>
      <c r="ER4" s="243" t="s">
        <v>6</v>
      </c>
      <c r="ES4" s="243" t="s">
        <v>6</v>
      </c>
      <c r="ET4" s="243" t="s">
        <v>6</v>
      </c>
      <c r="EU4" s="243" t="s">
        <v>6</v>
      </c>
      <c r="EV4" s="243" t="s">
        <v>6</v>
      </c>
      <c r="EW4" s="243" t="s">
        <v>6</v>
      </c>
    </row>
    <row r="5" spans="1:153" ht="18.75">
      <c r="A5" s="277" t="s">
        <v>6</v>
      </c>
      <c r="B5" s="247" t="s">
        <v>6</v>
      </c>
      <c r="C5" s="283" t="s">
        <v>148</v>
      </c>
      <c r="D5" s="283"/>
      <c r="E5" s="243" t="s">
        <v>6</v>
      </c>
      <c r="F5" s="284" t="s">
        <v>6</v>
      </c>
      <c r="G5" s="243" t="s">
        <v>6</v>
      </c>
      <c r="H5" s="243" t="s">
        <v>6</v>
      </c>
      <c r="I5" s="243" t="s">
        <v>6</v>
      </c>
      <c r="J5" s="243" t="s">
        <v>6</v>
      </c>
      <c r="K5" s="243" t="s">
        <v>6</v>
      </c>
      <c r="L5" s="243" t="s">
        <v>6</v>
      </c>
      <c r="M5" s="243" t="s">
        <v>6</v>
      </c>
      <c r="N5" s="241" t="s">
        <v>6</v>
      </c>
      <c r="O5" s="243" t="s">
        <v>6</v>
      </c>
      <c r="P5" s="243" t="s">
        <v>6</v>
      </c>
      <c r="Q5" s="243" t="s">
        <v>6</v>
      </c>
      <c r="R5" s="243" t="s">
        <v>6</v>
      </c>
      <c r="S5" s="243" t="s">
        <v>6</v>
      </c>
      <c r="T5" s="243" t="s">
        <v>6</v>
      </c>
      <c r="U5" s="243" t="s">
        <v>6</v>
      </c>
      <c r="V5" s="243" t="s">
        <v>6</v>
      </c>
      <c r="W5" s="243" t="s">
        <v>6</v>
      </c>
      <c r="X5" s="243" t="s">
        <v>6</v>
      </c>
      <c r="Y5" s="243" t="s">
        <v>6</v>
      </c>
      <c r="Z5" s="243" t="s">
        <v>6</v>
      </c>
      <c r="AA5" s="243" t="s">
        <v>6</v>
      </c>
      <c r="AB5" s="243" t="s">
        <v>6</v>
      </c>
      <c r="AC5" s="243" t="s">
        <v>6</v>
      </c>
      <c r="AD5" s="243" t="s">
        <v>6</v>
      </c>
      <c r="AE5" s="243" t="s">
        <v>6</v>
      </c>
      <c r="AF5" s="243" t="s">
        <v>6</v>
      </c>
      <c r="AG5" s="243" t="s">
        <v>6</v>
      </c>
      <c r="AH5" s="243" t="s">
        <v>6</v>
      </c>
      <c r="AI5" s="243" t="s">
        <v>6</v>
      </c>
      <c r="AJ5" s="243" t="s">
        <v>6</v>
      </c>
      <c r="AK5" s="243" t="s">
        <v>6</v>
      </c>
      <c r="AL5" s="243" t="s">
        <v>6</v>
      </c>
      <c r="AM5" s="243" t="s">
        <v>6</v>
      </c>
      <c r="AN5" s="243" t="s">
        <v>6</v>
      </c>
      <c r="AO5" s="243" t="s">
        <v>6</v>
      </c>
      <c r="AP5" s="243" t="s">
        <v>6</v>
      </c>
      <c r="AQ5" s="243" t="s">
        <v>6</v>
      </c>
      <c r="AR5" s="243" t="s">
        <v>6</v>
      </c>
      <c r="AS5" s="243" t="s">
        <v>6</v>
      </c>
      <c r="AT5" s="243" t="s">
        <v>6</v>
      </c>
      <c r="AU5" s="243" t="s">
        <v>6</v>
      </c>
      <c r="AV5" s="243" t="s">
        <v>6</v>
      </c>
      <c r="AW5" s="243" t="s">
        <v>6</v>
      </c>
      <c r="AX5" s="243" t="s">
        <v>6</v>
      </c>
      <c r="AY5" s="243" t="s">
        <v>6</v>
      </c>
      <c r="AZ5" s="243" t="s">
        <v>6</v>
      </c>
      <c r="BA5" s="243" t="s">
        <v>6</v>
      </c>
      <c r="BB5" s="243" t="s">
        <v>6</v>
      </c>
      <c r="BC5" s="243" t="s">
        <v>6</v>
      </c>
      <c r="BD5" s="243" t="s">
        <v>6</v>
      </c>
      <c r="BE5" s="243" t="s">
        <v>6</v>
      </c>
      <c r="BF5" s="243" t="s">
        <v>6</v>
      </c>
      <c r="BG5" s="243" t="s">
        <v>6</v>
      </c>
      <c r="BH5" s="243" t="s">
        <v>6</v>
      </c>
      <c r="BI5" s="243" t="s">
        <v>6</v>
      </c>
      <c r="BJ5" s="243" t="s">
        <v>6</v>
      </c>
      <c r="BK5" s="243" t="s">
        <v>6</v>
      </c>
      <c r="BL5" s="243" t="s">
        <v>6</v>
      </c>
      <c r="BM5" s="243" t="s">
        <v>6</v>
      </c>
      <c r="BN5" s="243" t="s">
        <v>6</v>
      </c>
      <c r="BO5" s="243" t="s">
        <v>6</v>
      </c>
      <c r="BP5" s="243" t="s">
        <v>6</v>
      </c>
      <c r="BQ5" s="243" t="s">
        <v>6</v>
      </c>
      <c r="BR5" s="243" t="s">
        <v>6</v>
      </c>
      <c r="BS5" s="243" t="s">
        <v>6</v>
      </c>
      <c r="BT5" s="243" t="s">
        <v>6</v>
      </c>
      <c r="BU5" s="243" t="s">
        <v>6</v>
      </c>
      <c r="BV5" s="243" t="s">
        <v>6</v>
      </c>
      <c r="BW5" s="243" t="s">
        <v>6</v>
      </c>
      <c r="BX5" s="243" t="s">
        <v>6</v>
      </c>
      <c r="BY5" s="243" t="s">
        <v>6</v>
      </c>
      <c r="BZ5" s="243" t="s">
        <v>6</v>
      </c>
      <c r="CA5" s="243" t="s">
        <v>6</v>
      </c>
      <c r="CB5" s="243" t="s">
        <v>6</v>
      </c>
      <c r="CC5" s="243" t="s">
        <v>6</v>
      </c>
      <c r="CD5" s="243" t="s">
        <v>6</v>
      </c>
      <c r="CE5" s="243" t="s">
        <v>6</v>
      </c>
      <c r="CF5" s="243" t="s">
        <v>6</v>
      </c>
      <c r="CG5" s="243" t="s">
        <v>6</v>
      </c>
      <c r="CH5" s="243" t="s">
        <v>6</v>
      </c>
      <c r="CI5" s="243" t="s">
        <v>6</v>
      </c>
      <c r="CJ5" s="243" t="s">
        <v>6</v>
      </c>
      <c r="CK5" s="243" t="s">
        <v>6</v>
      </c>
      <c r="CL5" s="243" t="s">
        <v>6</v>
      </c>
      <c r="CM5" s="243" t="s">
        <v>6</v>
      </c>
      <c r="CN5" s="243" t="s">
        <v>6</v>
      </c>
      <c r="CO5" s="243" t="s">
        <v>6</v>
      </c>
      <c r="CP5" s="243" t="s">
        <v>6</v>
      </c>
      <c r="CQ5" s="243" t="s">
        <v>6</v>
      </c>
      <c r="CR5" s="243" t="s">
        <v>6</v>
      </c>
      <c r="CS5" s="243" t="s">
        <v>6</v>
      </c>
      <c r="CT5" s="243" t="s">
        <v>6</v>
      </c>
      <c r="CU5" s="243" t="s">
        <v>6</v>
      </c>
      <c r="CV5" s="243" t="s">
        <v>6</v>
      </c>
      <c r="CW5" s="243" t="s">
        <v>6</v>
      </c>
      <c r="CX5" s="243" t="s">
        <v>6</v>
      </c>
      <c r="CY5" s="243" t="s">
        <v>6</v>
      </c>
      <c r="CZ5" s="243" t="s">
        <v>6</v>
      </c>
      <c r="DA5" s="243" t="s">
        <v>6</v>
      </c>
      <c r="DB5" s="243" t="s">
        <v>6</v>
      </c>
      <c r="DC5" s="243" t="s">
        <v>6</v>
      </c>
      <c r="DD5" s="243" t="s">
        <v>6</v>
      </c>
      <c r="DE5" s="243" t="s">
        <v>6</v>
      </c>
      <c r="DF5" s="243" t="s">
        <v>6</v>
      </c>
      <c r="DG5" s="243" t="s">
        <v>6</v>
      </c>
      <c r="DH5" s="243" t="s">
        <v>6</v>
      </c>
      <c r="DI5" s="243" t="s">
        <v>6</v>
      </c>
      <c r="DJ5" s="243" t="s">
        <v>6</v>
      </c>
      <c r="DK5" s="243" t="s">
        <v>6</v>
      </c>
      <c r="DL5" s="243" t="s">
        <v>6</v>
      </c>
      <c r="DM5" s="243" t="s">
        <v>6</v>
      </c>
      <c r="DN5" s="243" t="s">
        <v>6</v>
      </c>
      <c r="DO5" s="243" t="s">
        <v>6</v>
      </c>
      <c r="DP5" s="243" t="s">
        <v>6</v>
      </c>
      <c r="DQ5" s="243" t="s">
        <v>6</v>
      </c>
      <c r="DR5" s="243" t="s">
        <v>6</v>
      </c>
      <c r="DS5" s="243" t="s">
        <v>6</v>
      </c>
      <c r="DT5" s="243" t="s">
        <v>6</v>
      </c>
      <c r="DU5" s="243" t="s">
        <v>6</v>
      </c>
      <c r="DV5" s="243" t="s">
        <v>6</v>
      </c>
      <c r="DW5" s="243" t="s">
        <v>6</v>
      </c>
      <c r="DX5" s="243" t="s">
        <v>6</v>
      </c>
      <c r="DY5" s="243" t="s">
        <v>6</v>
      </c>
      <c r="DZ5" s="243" t="s">
        <v>6</v>
      </c>
      <c r="EA5" s="243" t="s">
        <v>6</v>
      </c>
      <c r="EB5" s="243" t="s">
        <v>6</v>
      </c>
      <c r="EC5" s="243" t="s">
        <v>6</v>
      </c>
      <c r="ED5" s="243" t="s">
        <v>6</v>
      </c>
      <c r="EE5" s="243" t="s">
        <v>6</v>
      </c>
      <c r="EF5" s="243" t="s">
        <v>6</v>
      </c>
      <c r="EG5" s="243" t="s">
        <v>6</v>
      </c>
      <c r="EH5" s="243" t="s">
        <v>6</v>
      </c>
      <c r="EI5" s="243" t="s">
        <v>6</v>
      </c>
      <c r="EJ5" s="243" t="s">
        <v>6</v>
      </c>
      <c r="EK5" s="243" t="s">
        <v>6</v>
      </c>
      <c r="EL5" s="243" t="s">
        <v>6</v>
      </c>
      <c r="EM5" s="243" t="s">
        <v>6</v>
      </c>
      <c r="EN5" s="243" t="s">
        <v>6</v>
      </c>
      <c r="EO5" s="243" t="s">
        <v>6</v>
      </c>
      <c r="EP5" s="243" t="s">
        <v>6</v>
      </c>
      <c r="EQ5" s="243" t="s">
        <v>6</v>
      </c>
      <c r="ER5" s="243" t="s">
        <v>6</v>
      </c>
      <c r="ES5" s="243" t="s">
        <v>6</v>
      </c>
      <c r="ET5" s="243" t="s">
        <v>6</v>
      </c>
      <c r="EU5" s="243" t="s">
        <v>6</v>
      </c>
      <c r="EV5" s="243" t="s">
        <v>6</v>
      </c>
      <c r="EW5" s="243" t="s">
        <v>6</v>
      </c>
    </row>
    <row r="6" spans="1:153" ht="18.75">
      <c r="A6" s="277" t="s">
        <v>6</v>
      </c>
      <c r="B6" s="247" t="s">
        <v>6</v>
      </c>
      <c r="C6" s="242" t="s">
        <v>6</v>
      </c>
      <c r="D6" s="244" t="s">
        <v>6</v>
      </c>
      <c r="E6" s="244" t="s">
        <v>6</v>
      </c>
      <c r="F6" s="285" t="s">
        <v>6</v>
      </c>
      <c r="G6" s="244" t="s">
        <v>6</v>
      </c>
      <c r="H6" s="241" t="s">
        <v>6</v>
      </c>
      <c r="I6" s="241" t="s">
        <v>6</v>
      </c>
      <c r="J6" s="243" t="s">
        <v>6</v>
      </c>
      <c r="K6" s="243" t="s">
        <v>6</v>
      </c>
      <c r="L6" s="243" t="s">
        <v>6</v>
      </c>
      <c r="M6" s="243" t="s">
        <v>6</v>
      </c>
      <c r="N6" s="241" t="s">
        <v>6</v>
      </c>
      <c r="O6" s="243" t="s">
        <v>6</v>
      </c>
      <c r="P6" s="243" t="s">
        <v>6</v>
      </c>
      <c r="Q6" s="243" t="s">
        <v>6</v>
      </c>
      <c r="R6" s="243" t="s">
        <v>6</v>
      </c>
      <c r="S6" s="243" t="s">
        <v>6</v>
      </c>
      <c r="T6" s="243" t="s">
        <v>6</v>
      </c>
      <c r="U6" s="243" t="s">
        <v>6</v>
      </c>
      <c r="V6" s="243" t="s">
        <v>6</v>
      </c>
      <c r="W6" s="243" t="s">
        <v>6</v>
      </c>
      <c r="X6" s="243" t="s">
        <v>6</v>
      </c>
      <c r="Y6" s="243" t="s">
        <v>6</v>
      </c>
      <c r="Z6" s="243" t="s">
        <v>6</v>
      </c>
      <c r="AA6" s="243" t="s">
        <v>6</v>
      </c>
      <c r="AB6" s="243" t="s">
        <v>6</v>
      </c>
      <c r="AC6" s="243" t="s">
        <v>6</v>
      </c>
      <c r="AD6" s="243" t="s">
        <v>6</v>
      </c>
      <c r="AE6" s="243" t="s">
        <v>6</v>
      </c>
      <c r="AF6" s="243" t="s">
        <v>6</v>
      </c>
      <c r="AG6" s="243" t="s">
        <v>6</v>
      </c>
      <c r="AH6" s="243" t="s">
        <v>6</v>
      </c>
      <c r="AI6" s="243" t="s">
        <v>6</v>
      </c>
      <c r="AJ6" s="243" t="s">
        <v>6</v>
      </c>
      <c r="AK6" s="243" t="s">
        <v>6</v>
      </c>
      <c r="AL6" s="243" t="s">
        <v>6</v>
      </c>
      <c r="AM6" s="243" t="s">
        <v>6</v>
      </c>
      <c r="AN6" s="243" t="s">
        <v>6</v>
      </c>
      <c r="AO6" s="243" t="s">
        <v>6</v>
      </c>
      <c r="AP6" s="243" t="s">
        <v>6</v>
      </c>
      <c r="AQ6" s="243" t="s">
        <v>6</v>
      </c>
      <c r="AR6" s="243" t="s">
        <v>6</v>
      </c>
      <c r="AS6" s="243" t="s">
        <v>6</v>
      </c>
      <c r="AT6" s="243" t="s">
        <v>6</v>
      </c>
      <c r="AU6" s="243" t="s">
        <v>6</v>
      </c>
      <c r="AV6" s="243" t="s">
        <v>6</v>
      </c>
      <c r="AW6" s="243" t="s">
        <v>6</v>
      </c>
      <c r="AX6" s="243" t="s">
        <v>6</v>
      </c>
      <c r="AY6" s="243" t="s">
        <v>6</v>
      </c>
      <c r="AZ6" s="243" t="s">
        <v>6</v>
      </c>
      <c r="BA6" s="243" t="s">
        <v>6</v>
      </c>
      <c r="BB6" s="243" t="s">
        <v>6</v>
      </c>
      <c r="BC6" s="243" t="s">
        <v>6</v>
      </c>
      <c r="BD6" s="243" t="s">
        <v>6</v>
      </c>
      <c r="BE6" s="243" t="s">
        <v>6</v>
      </c>
      <c r="BF6" s="243" t="s">
        <v>6</v>
      </c>
      <c r="BG6" s="243" t="s">
        <v>6</v>
      </c>
      <c r="BH6" s="243" t="s">
        <v>6</v>
      </c>
      <c r="BI6" s="243" t="s">
        <v>6</v>
      </c>
      <c r="BJ6" s="243" t="s">
        <v>6</v>
      </c>
      <c r="BK6" s="243" t="s">
        <v>6</v>
      </c>
      <c r="BL6" s="243" t="s">
        <v>6</v>
      </c>
      <c r="BM6" s="243" t="s">
        <v>6</v>
      </c>
      <c r="BN6" s="243" t="s">
        <v>6</v>
      </c>
      <c r="BO6" s="243" t="s">
        <v>6</v>
      </c>
      <c r="BP6" s="243" t="s">
        <v>6</v>
      </c>
      <c r="BQ6" s="243" t="s">
        <v>6</v>
      </c>
      <c r="BR6" s="243" t="s">
        <v>6</v>
      </c>
      <c r="BS6" s="243" t="s">
        <v>6</v>
      </c>
      <c r="BT6" s="243" t="s">
        <v>6</v>
      </c>
      <c r="BU6" s="243" t="s">
        <v>6</v>
      </c>
      <c r="BV6" s="243" t="s">
        <v>6</v>
      </c>
      <c r="BW6" s="243" t="s">
        <v>6</v>
      </c>
      <c r="BX6" s="243" t="s">
        <v>6</v>
      </c>
      <c r="BY6" s="243" t="s">
        <v>6</v>
      </c>
      <c r="BZ6" s="243" t="s">
        <v>6</v>
      </c>
      <c r="CA6" s="243" t="s">
        <v>6</v>
      </c>
      <c r="CB6" s="243" t="s">
        <v>6</v>
      </c>
      <c r="CC6" s="243" t="s">
        <v>6</v>
      </c>
      <c r="CD6" s="243" t="s">
        <v>6</v>
      </c>
      <c r="CE6" s="243" t="s">
        <v>6</v>
      </c>
      <c r="CF6" s="243" t="s">
        <v>6</v>
      </c>
      <c r="CG6" s="243" t="s">
        <v>6</v>
      </c>
      <c r="CH6" s="243" t="s">
        <v>6</v>
      </c>
      <c r="CI6" s="243" t="s">
        <v>6</v>
      </c>
      <c r="CJ6" s="243" t="s">
        <v>6</v>
      </c>
      <c r="CK6" s="243" t="s">
        <v>6</v>
      </c>
      <c r="CL6" s="243" t="s">
        <v>6</v>
      </c>
      <c r="CM6" s="243" t="s">
        <v>6</v>
      </c>
      <c r="CN6" s="243" t="s">
        <v>6</v>
      </c>
      <c r="CO6" s="243" t="s">
        <v>6</v>
      </c>
      <c r="CP6" s="243" t="s">
        <v>6</v>
      </c>
      <c r="CQ6" s="243" t="s">
        <v>6</v>
      </c>
      <c r="CR6" s="243" t="s">
        <v>6</v>
      </c>
      <c r="CS6" s="243" t="s">
        <v>6</v>
      </c>
      <c r="CT6" s="243" t="s">
        <v>6</v>
      </c>
      <c r="CU6" s="243" t="s">
        <v>6</v>
      </c>
      <c r="CV6" s="243" t="s">
        <v>6</v>
      </c>
      <c r="CW6" s="243" t="s">
        <v>6</v>
      </c>
      <c r="CX6" s="243" t="s">
        <v>6</v>
      </c>
      <c r="CY6" s="243" t="s">
        <v>6</v>
      </c>
      <c r="CZ6" s="243" t="s">
        <v>6</v>
      </c>
      <c r="DA6" s="243" t="s">
        <v>6</v>
      </c>
      <c r="DB6" s="243" t="s">
        <v>6</v>
      </c>
      <c r="DC6" s="243" t="s">
        <v>6</v>
      </c>
      <c r="DD6" s="243" t="s">
        <v>6</v>
      </c>
      <c r="DE6" s="243" t="s">
        <v>6</v>
      </c>
      <c r="DF6" s="243" t="s">
        <v>6</v>
      </c>
      <c r="DG6" s="243" t="s">
        <v>6</v>
      </c>
      <c r="DH6" s="243" t="s">
        <v>6</v>
      </c>
      <c r="DI6" s="243" t="s">
        <v>6</v>
      </c>
      <c r="DJ6" s="243" t="s">
        <v>6</v>
      </c>
      <c r="DK6" s="243" t="s">
        <v>6</v>
      </c>
      <c r="DL6" s="243" t="s">
        <v>6</v>
      </c>
      <c r="DM6" s="243" t="s">
        <v>6</v>
      </c>
      <c r="DN6" s="243" t="s">
        <v>6</v>
      </c>
      <c r="DO6" s="243" t="s">
        <v>6</v>
      </c>
      <c r="DP6" s="243" t="s">
        <v>6</v>
      </c>
      <c r="DQ6" s="243" t="s">
        <v>6</v>
      </c>
      <c r="DR6" s="243" t="s">
        <v>6</v>
      </c>
      <c r="DS6" s="243" t="s">
        <v>6</v>
      </c>
      <c r="DT6" s="243" t="s">
        <v>6</v>
      </c>
      <c r="DU6" s="243" t="s">
        <v>6</v>
      </c>
      <c r="DV6" s="243" t="s">
        <v>6</v>
      </c>
      <c r="DW6" s="243" t="s">
        <v>6</v>
      </c>
      <c r="DX6" s="243" t="s">
        <v>6</v>
      </c>
      <c r="DY6" s="243" t="s">
        <v>6</v>
      </c>
      <c r="DZ6" s="243" t="s">
        <v>6</v>
      </c>
      <c r="EA6" s="243" t="s">
        <v>6</v>
      </c>
      <c r="EB6" s="243" t="s">
        <v>6</v>
      </c>
      <c r="EC6" s="243" t="s">
        <v>6</v>
      </c>
      <c r="ED6" s="243" t="s">
        <v>6</v>
      </c>
      <c r="EE6" s="243" t="s">
        <v>6</v>
      </c>
      <c r="EF6" s="243" t="s">
        <v>6</v>
      </c>
      <c r="EG6" s="243" t="s">
        <v>6</v>
      </c>
      <c r="EH6" s="243" t="s">
        <v>6</v>
      </c>
      <c r="EI6" s="243" t="s">
        <v>6</v>
      </c>
      <c r="EJ6" s="243" t="s">
        <v>6</v>
      </c>
      <c r="EK6" s="243" t="s">
        <v>6</v>
      </c>
      <c r="EL6" s="243" t="s">
        <v>6</v>
      </c>
      <c r="EM6" s="243" t="s">
        <v>6</v>
      </c>
      <c r="EN6" s="243" t="s">
        <v>6</v>
      </c>
      <c r="EO6" s="243" t="s">
        <v>6</v>
      </c>
      <c r="EP6" s="243" t="s">
        <v>6</v>
      </c>
      <c r="EQ6" s="243" t="s">
        <v>6</v>
      </c>
      <c r="ER6" s="243" t="s">
        <v>6</v>
      </c>
      <c r="ES6" s="243" t="s">
        <v>6</v>
      </c>
      <c r="ET6" s="243" t="s">
        <v>6</v>
      </c>
      <c r="EU6" s="243" t="s">
        <v>6</v>
      </c>
      <c r="EV6" s="243" t="s">
        <v>6</v>
      </c>
      <c r="EW6" s="243" t="s">
        <v>6</v>
      </c>
    </row>
    <row r="7" spans="1:153" ht="13.5">
      <c r="A7" s="277" t="s">
        <v>6</v>
      </c>
      <c r="B7" s="247" t="s">
        <v>6</v>
      </c>
      <c r="C7" s="244" t="s">
        <v>6</v>
      </c>
      <c r="D7" s="244" t="s">
        <v>6</v>
      </c>
      <c r="E7" s="244" t="s">
        <v>6</v>
      </c>
      <c r="F7" s="245" t="s">
        <v>6</v>
      </c>
      <c r="G7" s="245" t="s">
        <v>6</v>
      </c>
      <c r="H7" s="286" t="s">
        <v>169</v>
      </c>
      <c r="I7" s="241" t="s">
        <v>6</v>
      </c>
      <c r="J7" s="286" t="s">
        <v>170</v>
      </c>
      <c r="K7" s="243" t="s">
        <v>6</v>
      </c>
      <c r="L7" s="243" t="s">
        <v>6</v>
      </c>
      <c r="M7" s="243" t="s">
        <v>6</v>
      </c>
      <c r="N7" s="241" t="s">
        <v>6</v>
      </c>
      <c r="O7" s="243" t="s">
        <v>6</v>
      </c>
      <c r="P7" s="243" t="s">
        <v>6</v>
      </c>
      <c r="Q7" s="243" t="s">
        <v>6</v>
      </c>
      <c r="R7" s="243" t="s">
        <v>6</v>
      </c>
      <c r="S7" s="243" t="s">
        <v>6</v>
      </c>
      <c r="T7" s="243" t="s">
        <v>6</v>
      </c>
      <c r="U7" s="243" t="s">
        <v>6</v>
      </c>
      <c r="V7" s="243" t="s">
        <v>6</v>
      </c>
      <c r="W7" s="243" t="s">
        <v>6</v>
      </c>
      <c r="X7" s="243" t="s">
        <v>6</v>
      </c>
      <c r="Y7" s="243" t="s">
        <v>6</v>
      </c>
      <c r="Z7" s="243" t="s">
        <v>6</v>
      </c>
      <c r="AA7" s="243" t="s">
        <v>6</v>
      </c>
      <c r="AB7" s="243" t="s">
        <v>6</v>
      </c>
      <c r="AC7" s="243" t="s">
        <v>6</v>
      </c>
      <c r="AD7" s="243" t="s">
        <v>6</v>
      </c>
      <c r="AE7" s="243" t="s">
        <v>6</v>
      </c>
      <c r="AF7" s="243" t="s">
        <v>6</v>
      </c>
      <c r="AG7" s="243" t="s">
        <v>6</v>
      </c>
      <c r="AH7" s="243" t="s">
        <v>6</v>
      </c>
      <c r="AI7" s="243" t="s">
        <v>6</v>
      </c>
      <c r="AJ7" s="243" t="s">
        <v>6</v>
      </c>
      <c r="AK7" s="243" t="s">
        <v>6</v>
      </c>
      <c r="AL7" s="243" t="s">
        <v>6</v>
      </c>
      <c r="AM7" s="243" t="s">
        <v>6</v>
      </c>
      <c r="AN7" s="243" t="s">
        <v>6</v>
      </c>
      <c r="AO7" s="243" t="s">
        <v>6</v>
      </c>
      <c r="AP7" s="243" t="s">
        <v>6</v>
      </c>
      <c r="AQ7" s="243" t="s">
        <v>6</v>
      </c>
      <c r="AR7" s="243" t="s">
        <v>6</v>
      </c>
      <c r="AS7" s="243" t="s">
        <v>6</v>
      </c>
      <c r="AT7" s="243" t="s">
        <v>6</v>
      </c>
      <c r="AU7" s="243" t="s">
        <v>6</v>
      </c>
      <c r="AV7" s="243" t="s">
        <v>6</v>
      </c>
      <c r="AW7" s="243" t="s">
        <v>6</v>
      </c>
      <c r="AX7" s="243" t="s">
        <v>6</v>
      </c>
      <c r="AY7" s="243" t="s">
        <v>6</v>
      </c>
      <c r="AZ7" s="243" t="s">
        <v>6</v>
      </c>
      <c r="BA7" s="243" t="s">
        <v>6</v>
      </c>
      <c r="BB7" s="243" t="s">
        <v>6</v>
      </c>
      <c r="BC7" s="243" t="s">
        <v>6</v>
      </c>
      <c r="BD7" s="243" t="s">
        <v>6</v>
      </c>
      <c r="BE7" s="243" t="s">
        <v>6</v>
      </c>
      <c r="BF7" s="243" t="s">
        <v>6</v>
      </c>
      <c r="BG7" s="243" t="s">
        <v>6</v>
      </c>
      <c r="BH7" s="243" t="s">
        <v>6</v>
      </c>
      <c r="BI7" s="243" t="s">
        <v>6</v>
      </c>
      <c r="BJ7" s="243" t="s">
        <v>6</v>
      </c>
      <c r="BK7" s="243" t="s">
        <v>6</v>
      </c>
      <c r="BL7" s="243" t="s">
        <v>6</v>
      </c>
      <c r="BM7" s="243" t="s">
        <v>6</v>
      </c>
      <c r="BN7" s="243" t="s">
        <v>6</v>
      </c>
      <c r="BO7" s="243" t="s">
        <v>6</v>
      </c>
      <c r="BP7" s="243" t="s">
        <v>6</v>
      </c>
      <c r="BQ7" s="243" t="s">
        <v>6</v>
      </c>
      <c r="BR7" s="243" t="s">
        <v>6</v>
      </c>
      <c r="BS7" s="243" t="s">
        <v>6</v>
      </c>
      <c r="BT7" s="243" t="s">
        <v>6</v>
      </c>
      <c r="BU7" s="243" t="s">
        <v>6</v>
      </c>
      <c r="BV7" s="243" t="s">
        <v>6</v>
      </c>
      <c r="BW7" s="243" t="s">
        <v>6</v>
      </c>
      <c r="BX7" s="243" t="s">
        <v>6</v>
      </c>
      <c r="BY7" s="243" t="s">
        <v>6</v>
      </c>
      <c r="BZ7" s="243" t="s">
        <v>6</v>
      </c>
      <c r="CA7" s="243" t="s">
        <v>6</v>
      </c>
      <c r="CB7" s="243" t="s">
        <v>6</v>
      </c>
      <c r="CC7" s="243" t="s">
        <v>6</v>
      </c>
      <c r="CD7" s="243" t="s">
        <v>6</v>
      </c>
      <c r="CE7" s="243" t="s">
        <v>6</v>
      </c>
      <c r="CF7" s="243" t="s">
        <v>6</v>
      </c>
      <c r="CG7" s="243" t="s">
        <v>6</v>
      </c>
      <c r="CH7" s="243" t="s">
        <v>6</v>
      </c>
      <c r="CI7" s="243" t="s">
        <v>6</v>
      </c>
      <c r="CJ7" s="243" t="s">
        <v>6</v>
      </c>
      <c r="CK7" s="243" t="s">
        <v>6</v>
      </c>
      <c r="CL7" s="243" t="s">
        <v>6</v>
      </c>
      <c r="CM7" s="243" t="s">
        <v>6</v>
      </c>
      <c r="CN7" s="243" t="s">
        <v>6</v>
      </c>
      <c r="CO7" s="243" t="s">
        <v>6</v>
      </c>
      <c r="CP7" s="243" t="s">
        <v>6</v>
      </c>
      <c r="CQ7" s="243" t="s">
        <v>6</v>
      </c>
      <c r="CR7" s="243" t="s">
        <v>6</v>
      </c>
      <c r="CS7" s="243" t="s">
        <v>6</v>
      </c>
      <c r="CT7" s="243" t="s">
        <v>6</v>
      </c>
      <c r="CU7" s="243" t="s">
        <v>6</v>
      </c>
      <c r="CV7" s="243" t="s">
        <v>6</v>
      </c>
      <c r="CW7" s="243" t="s">
        <v>6</v>
      </c>
      <c r="CX7" s="243" t="s">
        <v>6</v>
      </c>
      <c r="CY7" s="243" t="s">
        <v>6</v>
      </c>
      <c r="CZ7" s="243" t="s">
        <v>6</v>
      </c>
      <c r="DA7" s="243" t="s">
        <v>6</v>
      </c>
      <c r="DB7" s="243" t="s">
        <v>6</v>
      </c>
      <c r="DC7" s="243" t="s">
        <v>6</v>
      </c>
      <c r="DD7" s="243" t="s">
        <v>6</v>
      </c>
      <c r="DE7" s="243" t="s">
        <v>6</v>
      </c>
      <c r="DF7" s="243" t="s">
        <v>6</v>
      </c>
      <c r="DG7" s="243" t="s">
        <v>6</v>
      </c>
      <c r="DH7" s="243" t="s">
        <v>6</v>
      </c>
      <c r="DI7" s="243" t="s">
        <v>6</v>
      </c>
      <c r="DJ7" s="243" t="s">
        <v>6</v>
      </c>
      <c r="DK7" s="243" t="s">
        <v>6</v>
      </c>
      <c r="DL7" s="243" t="s">
        <v>6</v>
      </c>
      <c r="DM7" s="243" t="s">
        <v>6</v>
      </c>
      <c r="DN7" s="243" t="s">
        <v>6</v>
      </c>
      <c r="DO7" s="243" t="s">
        <v>6</v>
      </c>
      <c r="DP7" s="243" t="s">
        <v>6</v>
      </c>
      <c r="DQ7" s="243" t="s">
        <v>6</v>
      </c>
      <c r="DR7" s="243" t="s">
        <v>6</v>
      </c>
      <c r="DS7" s="243" t="s">
        <v>6</v>
      </c>
      <c r="DT7" s="243" t="s">
        <v>6</v>
      </c>
      <c r="DU7" s="243" t="s">
        <v>6</v>
      </c>
      <c r="DV7" s="243" t="s">
        <v>6</v>
      </c>
      <c r="DW7" s="243" t="s">
        <v>6</v>
      </c>
      <c r="DX7" s="243" t="s">
        <v>6</v>
      </c>
      <c r="DY7" s="243" t="s">
        <v>6</v>
      </c>
      <c r="DZ7" s="243" t="s">
        <v>6</v>
      </c>
      <c r="EA7" s="243" t="s">
        <v>6</v>
      </c>
      <c r="EB7" s="243" t="s">
        <v>6</v>
      </c>
      <c r="EC7" s="243" t="s">
        <v>6</v>
      </c>
      <c r="ED7" s="243" t="s">
        <v>6</v>
      </c>
      <c r="EE7" s="243" t="s">
        <v>6</v>
      </c>
      <c r="EF7" s="243" t="s">
        <v>6</v>
      </c>
      <c r="EG7" s="243" t="s">
        <v>6</v>
      </c>
      <c r="EH7" s="243" t="s">
        <v>6</v>
      </c>
      <c r="EI7" s="243" t="s">
        <v>6</v>
      </c>
      <c r="EJ7" s="243" t="s">
        <v>6</v>
      </c>
      <c r="EK7" s="243" t="s">
        <v>6</v>
      </c>
      <c r="EL7" s="243" t="s">
        <v>6</v>
      </c>
      <c r="EM7" s="243" t="s">
        <v>6</v>
      </c>
      <c r="EN7" s="243" t="s">
        <v>6</v>
      </c>
      <c r="EO7" s="243" t="s">
        <v>6</v>
      </c>
      <c r="EP7" s="243" t="s">
        <v>6</v>
      </c>
      <c r="EQ7" s="243" t="s">
        <v>6</v>
      </c>
      <c r="ER7" s="243" t="s">
        <v>6</v>
      </c>
      <c r="ES7" s="243" t="s">
        <v>6</v>
      </c>
      <c r="ET7" s="243" t="s">
        <v>6</v>
      </c>
      <c r="EU7" s="243" t="s">
        <v>6</v>
      </c>
      <c r="EV7" s="243" t="s">
        <v>6</v>
      </c>
      <c r="EW7" s="243" t="s">
        <v>6</v>
      </c>
    </row>
    <row r="8" spans="1:153" ht="13.5">
      <c r="A8" s="277" t="s">
        <v>6</v>
      </c>
      <c r="B8" s="247" t="s">
        <v>6</v>
      </c>
      <c r="C8" s="244" t="s">
        <v>151</v>
      </c>
      <c r="D8" s="244"/>
      <c r="E8" s="244" t="s">
        <v>6</v>
      </c>
      <c r="F8" s="244" t="s">
        <v>6</v>
      </c>
      <c r="G8" s="244" t="s">
        <v>6</v>
      </c>
      <c r="H8" s="287" t="s">
        <v>171</v>
      </c>
      <c r="I8" s="241" t="s">
        <v>6</v>
      </c>
      <c r="J8" s="269" t="s">
        <v>172</v>
      </c>
      <c r="K8" s="243" t="s">
        <v>6</v>
      </c>
      <c r="L8" s="243" t="s">
        <v>6</v>
      </c>
      <c r="M8" s="243" t="s">
        <v>6</v>
      </c>
      <c r="N8" s="241" t="s">
        <v>6</v>
      </c>
      <c r="O8" s="243" t="s">
        <v>6</v>
      </c>
      <c r="P8" s="243" t="s">
        <v>6</v>
      </c>
      <c r="Q8" s="243" t="s">
        <v>6</v>
      </c>
      <c r="R8" s="243" t="s">
        <v>6</v>
      </c>
      <c r="S8" s="243" t="s">
        <v>6</v>
      </c>
      <c r="T8" s="243" t="s">
        <v>6</v>
      </c>
      <c r="U8" s="243" t="s">
        <v>6</v>
      </c>
      <c r="V8" s="243" t="s">
        <v>6</v>
      </c>
      <c r="W8" s="243" t="s">
        <v>6</v>
      </c>
      <c r="X8" s="243" t="s">
        <v>6</v>
      </c>
      <c r="Y8" s="243" t="s">
        <v>6</v>
      </c>
      <c r="Z8" s="243" t="s">
        <v>6</v>
      </c>
      <c r="AA8" s="243" t="s">
        <v>6</v>
      </c>
      <c r="AB8" s="243" t="s">
        <v>6</v>
      </c>
      <c r="AC8" s="243" t="s">
        <v>6</v>
      </c>
      <c r="AD8" s="243" t="s">
        <v>6</v>
      </c>
      <c r="AE8" s="243" t="s">
        <v>6</v>
      </c>
      <c r="AF8" s="243" t="s">
        <v>6</v>
      </c>
      <c r="AG8" s="243" t="s">
        <v>6</v>
      </c>
      <c r="AH8" s="243" t="s">
        <v>6</v>
      </c>
      <c r="AI8" s="243" t="s">
        <v>6</v>
      </c>
      <c r="AJ8" s="243" t="s">
        <v>6</v>
      </c>
      <c r="AK8" s="243" t="s">
        <v>6</v>
      </c>
      <c r="AL8" s="243" t="s">
        <v>6</v>
      </c>
      <c r="AM8" s="243" t="s">
        <v>6</v>
      </c>
      <c r="AN8" s="243" t="s">
        <v>6</v>
      </c>
      <c r="AO8" s="243" t="s">
        <v>6</v>
      </c>
      <c r="AP8" s="243" t="s">
        <v>6</v>
      </c>
      <c r="AQ8" s="243" t="s">
        <v>6</v>
      </c>
      <c r="AR8" s="243" t="s">
        <v>6</v>
      </c>
      <c r="AS8" s="243" t="s">
        <v>6</v>
      </c>
      <c r="AT8" s="243" t="s">
        <v>6</v>
      </c>
      <c r="AU8" s="243" t="s">
        <v>6</v>
      </c>
      <c r="AV8" s="243" t="s">
        <v>6</v>
      </c>
      <c r="AW8" s="243" t="s">
        <v>6</v>
      </c>
      <c r="AX8" s="243" t="s">
        <v>6</v>
      </c>
      <c r="AY8" s="243" t="s">
        <v>6</v>
      </c>
      <c r="AZ8" s="243" t="s">
        <v>6</v>
      </c>
      <c r="BA8" s="243" t="s">
        <v>6</v>
      </c>
      <c r="BB8" s="243" t="s">
        <v>6</v>
      </c>
      <c r="BC8" s="243" t="s">
        <v>6</v>
      </c>
      <c r="BD8" s="243" t="s">
        <v>6</v>
      </c>
      <c r="BE8" s="243" t="s">
        <v>6</v>
      </c>
      <c r="BF8" s="243" t="s">
        <v>6</v>
      </c>
      <c r="BG8" s="243" t="s">
        <v>6</v>
      </c>
      <c r="BH8" s="243" t="s">
        <v>6</v>
      </c>
      <c r="BI8" s="243" t="s">
        <v>6</v>
      </c>
      <c r="BJ8" s="243" t="s">
        <v>6</v>
      </c>
      <c r="BK8" s="243" t="s">
        <v>6</v>
      </c>
      <c r="BL8" s="243" t="s">
        <v>6</v>
      </c>
      <c r="BM8" s="243" t="s">
        <v>6</v>
      </c>
      <c r="BN8" s="243" t="s">
        <v>6</v>
      </c>
      <c r="BO8" s="243" t="s">
        <v>6</v>
      </c>
      <c r="BP8" s="243" t="s">
        <v>6</v>
      </c>
      <c r="BQ8" s="243" t="s">
        <v>6</v>
      </c>
      <c r="BR8" s="243" t="s">
        <v>6</v>
      </c>
      <c r="BS8" s="243" t="s">
        <v>6</v>
      </c>
      <c r="BT8" s="243" t="s">
        <v>6</v>
      </c>
      <c r="BU8" s="243" t="s">
        <v>6</v>
      </c>
      <c r="BV8" s="243" t="s">
        <v>6</v>
      </c>
      <c r="BW8" s="243" t="s">
        <v>6</v>
      </c>
      <c r="BX8" s="243" t="s">
        <v>6</v>
      </c>
      <c r="BY8" s="243" t="s">
        <v>6</v>
      </c>
      <c r="BZ8" s="243" t="s">
        <v>6</v>
      </c>
      <c r="CA8" s="243" t="s">
        <v>6</v>
      </c>
      <c r="CB8" s="243" t="s">
        <v>6</v>
      </c>
      <c r="CC8" s="243" t="s">
        <v>6</v>
      </c>
      <c r="CD8" s="243" t="s">
        <v>6</v>
      </c>
      <c r="CE8" s="243" t="s">
        <v>6</v>
      </c>
      <c r="CF8" s="243" t="s">
        <v>6</v>
      </c>
      <c r="CG8" s="243" t="s">
        <v>6</v>
      </c>
      <c r="CH8" s="243" t="s">
        <v>6</v>
      </c>
      <c r="CI8" s="243" t="s">
        <v>6</v>
      </c>
      <c r="CJ8" s="243" t="s">
        <v>6</v>
      </c>
      <c r="CK8" s="243" t="s">
        <v>6</v>
      </c>
      <c r="CL8" s="243" t="s">
        <v>6</v>
      </c>
      <c r="CM8" s="243" t="s">
        <v>6</v>
      </c>
      <c r="CN8" s="243" t="s">
        <v>6</v>
      </c>
      <c r="CO8" s="243" t="s">
        <v>6</v>
      </c>
      <c r="CP8" s="243" t="s">
        <v>6</v>
      </c>
      <c r="CQ8" s="243" t="s">
        <v>6</v>
      </c>
      <c r="CR8" s="243" t="s">
        <v>6</v>
      </c>
      <c r="CS8" s="243" t="s">
        <v>6</v>
      </c>
      <c r="CT8" s="243" t="s">
        <v>6</v>
      </c>
      <c r="CU8" s="243" t="s">
        <v>6</v>
      </c>
      <c r="CV8" s="243" t="s">
        <v>6</v>
      </c>
      <c r="CW8" s="243" t="s">
        <v>6</v>
      </c>
      <c r="CX8" s="243" t="s">
        <v>6</v>
      </c>
      <c r="CY8" s="243" t="s">
        <v>6</v>
      </c>
      <c r="CZ8" s="243" t="s">
        <v>6</v>
      </c>
      <c r="DA8" s="243" t="s">
        <v>6</v>
      </c>
      <c r="DB8" s="243" t="s">
        <v>6</v>
      </c>
      <c r="DC8" s="243" t="s">
        <v>6</v>
      </c>
      <c r="DD8" s="243" t="s">
        <v>6</v>
      </c>
      <c r="DE8" s="243" t="s">
        <v>6</v>
      </c>
      <c r="DF8" s="243" t="s">
        <v>6</v>
      </c>
      <c r="DG8" s="243" t="s">
        <v>6</v>
      </c>
      <c r="DH8" s="243" t="s">
        <v>6</v>
      </c>
      <c r="DI8" s="243" t="s">
        <v>6</v>
      </c>
      <c r="DJ8" s="243" t="s">
        <v>6</v>
      </c>
      <c r="DK8" s="243" t="s">
        <v>6</v>
      </c>
      <c r="DL8" s="243" t="s">
        <v>6</v>
      </c>
      <c r="DM8" s="243" t="s">
        <v>6</v>
      </c>
      <c r="DN8" s="243" t="s">
        <v>6</v>
      </c>
      <c r="DO8" s="243" t="s">
        <v>6</v>
      </c>
      <c r="DP8" s="243" t="s">
        <v>6</v>
      </c>
      <c r="DQ8" s="243" t="s">
        <v>6</v>
      </c>
      <c r="DR8" s="243" t="s">
        <v>6</v>
      </c>
      <c r="DS8" s="243" t="s">
        <v>6</v>
      </c>
      <c r="DT8" s="243" t="s">
        <v>6</v>
      </c>
      <c r="DU8" s="243" t="s">
        <v>6</v>
      </c>
      <c r="DV8" s="243" t="s">
        <v>6</v>
      </c>
      <c r="DW8" s="243" t="s">
        <v>6</v>
      </c>
      <c r="DX8" s="243" t="s">
        <v>6</v>
      </c>
      <c r="DY8" s="243" t="s">
        <v>6</v>
      </c>
      <c r="DZ8" s="243" t="s">
        <v>6</v>
      </c>
      <c r="EA8" s="243" t="s">
        <v>6</v>
      </c>
      <c r="EB8" s="243" t="s">
        <v>6</v>
      </c>
      <c r="EC8" s="243" t="s">
        <v>6</v>
      </c>
      <c r="ED8" s="243" t="s">
        <v>6</v>
      </c>
      <c r="EE8" s="243" t="s">
        <v>6</v>
      </c>
      <c r="EF8" s="243" t="s">
        <v>6</v>
      </c>
      <c r="EG8" s="243" t="s">
        <v>6</v>
      </c>
      <c r="EH8" s="243" t="s">
        <v>6</v>
      </c>
      <c r="EI8" s="243" t="s">
        <v>6</v>
      </c>
      <c r="EJ8" s="243" t="s">
        <v>6</v>
      </c>
      <c r="EK8" s="243" t="s">
        <v>6</v>
      </c>
      <c r="EL8" s="243" t="s">
        <v>6</v>
      </c>
      <c r="EM8" s="243" t="s">
        <v>6</v>
      </c>
      <c r="EN8" s="243" t="s">
        <v>6</v>
      </c>
      <c r="EO8" s="243" t="s">
        <v>6</v>
      </c>
      <c r="EP8" s="243" t="s">
        <v>6</v>
      </c>
      <c r="EQ8" s="243" t="s">
        <v>6</v>
      </c>
      <c r="ER8" s="243" t="s">
        <v>6</v>
      </c>
      <c r="ES8" s="243" t="s">
        <v>6</v>
      </c>
      <c r="ET8" s="243" t="s">
        <v>6</v>
      </c>
      <c r="EU8" s="243" t="s">
        <v>6</v>
      </c>
      <c r="EV8" s="243" t="s">
        <v>6</v>
      </c>
      <c r="EW8" s="243" t="s">
        <v>6</v>
      </c>
    </row>
    <row r="9" spans="1:153" ht="13.5">
      <c r="A9" s="277" t="s">
        <v>6</v>
      </c>
      <c r="B9" s="247" t="s">
        <v>6</v>
      </c>
      <c r="C9" s="244" t="s">
        <v>152</v>
      </c>
      <c r="D9" s="244"/>
      <c r="E9" s="244" t="s">
        <v>6</v>
      </c>
      <c r="F9" s="244" t="s">
        <v>6</v>
      </c>
      <c r="G9" s="244" t="s">
        <v>6</v>
      </c>
      <c r="H9" s="287">
        <v>68</v>
      </c>
      <c r="I9" s="241" t="s">
        <v>6</v>
      </c>
      <c r="J9" s="244" t="s">
        <v>6</v>
      </c>
      <c r="K9" s="243" t="s">
        <v>6</v>
      </c>
      <c r="L9" s="243" t="s">
        <v>6</v>
      </c>
      <c r="M9" s="243" t="s">
        <v>6</v>
      </c>
      <c r="N9" s="241" t="s">
        <v>6</v>
      </c>
      <c r="O9" s="243" t="s">
        <v>6</v>
      </c>
      <c r="P9" s="243" t="s">
        <v>6</v>
      </c>
      <c r="Q9" s="243" t="s">
        <v>6</v>
      </c>
      <c r="R9" s="243" t="s">
        <v>6</v>
      </c>
      <c r="S9" s="243" t="s">
        <v>6</v>
      </c>
      <c r="T9" s="243" t="s">
        <v>6</v>
      </c>
      <c r="U9" s="243" t="s">
        <v>6</v>
      </c>
      <c r="V9" s="243" t="s">
        <v>6</v>
      </c>
      <c r="W9" s="243" t="s">
        <v>6</v>
      </c>
      <c r="X9" s="243" t="s">
        <v>6</v>
      </c>
      <c r="Y9" s="243" t="s">
        <v>6</v>
      </c>
      <c r="Z9" s="243" t="s">
        <v>6</v>
      </c>
      <c r="AA9" s="243" t="s">
        <v>6</v>
      </c>
      <c r="AB9" s="243" t="s">
        <v>6</v>
      </c>
      <c r="AC9" s="243" t="s">
        <v>6</v>
      </c>
      <c r="AD9" s="243" t="s">
        <v>6</v>
      </c>
      <c r="AE9" s="243" t="s">
        <v>6</v>
      </c>
      <c r="AF9" s="243" t="s">
        <v>6</v>
      </c>
      <c r="AG9" s="243" t="s">
        <v>6</v>
      </c>
      <c r="AH9" s="243" t="s">
        <v>6</v>
      </c>
      <c r="AI9" s="243" t="s">
        <v>6</v>
      </c>
      <c r="AJ9" s="243" t="s">
        <v>6</v>
      </c>
      <c r="AK9" s="243" t="s">
        <v>6</v>
      </c>
      <c r="AL9" s="243" t="s">
        <v>6</v>
      </c>
      <c r="AM9" s="243" t="s">
        <v>6</v>
      </c>
      <c r="AN9" s="243" t="s">
        <v>6</v>
      </c>
      <c r="AO9" s="243" t="s">
        <v>6</v>
      </c>
      <c r="AP9" s="243" t="s">
        <v>6</v>
      </c>
      <c r="AQ9" s="243" t="s">
        <v>6</v>
      </c>
      <c r="AR9" s="243" t="s">
        <v>6</v>
      </c>
      <c r="AS9" s="243" t="s">
        <v>6</v>
      </c>
      <c r="AT9" s="243" t="s">
        <v>6</v>
      </c>
      <c r="AU9" s="243" t="s">
        <v>6</v>
      </c>
      <c r="AV9" s="243" t="s">
        <v>6</v>
      </c>
      <c r="AW9" s="243" t="s">
        <v>6</v>
      </c>
      <c r="AX9" s="243" t="s">
        <v>6</v>
      </c>
      <c r="AY9" s="243" t="s">
        <v>6</v>
      </c>
      <c r="AZ9" s="243" t="s">
        <v>6</v>
      </c>
      <c r="BA9" s="243" t="s">
        <v>6</v>
      </c>
      <c r="BB9" s="243" t="s">
        <v>6</v>
      </c>
      <c r="BC9" s="243" t="s">
        <v>6</v>
      </c>
      <c r="BD9" s="243" t="s">
        <v>6</v>
      </c>
      <c r="BE9" s="243" t="s">
        <v>6</v>
      </c>
      <c r="BF9" s="243" t="s">
        <v>6</v>
      </c>
      <c r="BG9" s="243" t="s">
        <v>6</v>
      </c>
      <c r="BH9" s="243" t="s">
        <v>6</v>
      </c>
      <c r="BI9" s="243" t="s">
        <v>6</v>
      </c>
      <c r="BJ9" s="243" t="s">
        <v>6</v>
      </c>
      <c r="BK9" s="243" t="s">
        <v>6</v>
      </c>
      <c r="BL9" s="243" t="s">
        <v>6</v>
      </c>
      <c r="BM9" s="243" t="s">
        <v>6</v>
      </c>
      <c r="BN9" s="243" t="s">
        <v>6</v>
      </c>
      <c r="BO9" s="243" t="s">
        <v>6</v>
      </c>
      <c r="BP9" s="243" t="s">
        <v>6</v>
      </c>
      <c r="BQ9" s="243" t="s">
        <v>6</v>
      </c>
      <c r="BR9" s="243" t="s">
        <v>6</v>
      </c>
      <c r="BS9" s="243" t="s">
        <v>6</v>
      </c>
      <c r="BT9" s="243" t="s">
        <v>6</v>
      </c>
      <c r="BU9" s="243" t="s">
        <v>6</v>
      </c>
      <c r="BV9" s="243" t="s">
        <v>6</v>
      </c>
      <c r="BW9" s="243" t="s">
        <v>6</v>
      </c>
      <c r="BX9" s="243" t="s">
        <v>6</v>
      </c>
      <c r="BY9" s="243" t="s">
        <v>6</v>
      </c>
      <c r="BZ9" s="243" t="s">
        <v>6</v>
      </c>
      <c r="CA9" s="243" t="s">
        <v>6</v>
      </c>
      <c r="CB9" s="243" t="s">
        <v>6</v>
      </c>
      <c r="CC9" s="243" t="s">
        <v>6</v>
      </c>
      <c r="CD9" s="243" t="s">
        <v>6</v>
      </c>
      <c r="CE9" s="243" t="s">
        <v>6</v>
      </c>
      <c r="CF9" s="243" t="s">
        <v>6</v>
      </c>
      <c r="CG9" s="243" t="s">
        <v>6</v>
      </c>
      <c r="CH9" s="243" t="s">
        <v>6</v>
      </c>
      <c r="CI9" s="243" t="s">
        <v>6</v>
      </c>
      <c r="CJ9" s="243" t="s">
        <v>6</v>
      </c>
      <c r="CK9" s="243" t="s">
        <v>6</v>
      </c>
      <c r="CL9" s="243" t="s">
        <v>6</v>
      </c>
      <c r="CM9" s="243" t="s">
        <v>6</v>
      </c>
      <c r="CN9" s="243" t="s">
        <v>6</v>
      </c>
      <c r="CO9" s="243" t="s">
        <v>6</v>
      </c>
      <c r="CP9" s="243" t="s">
        <v>6</v>
      </c>
      <c r="CQ9" s="243" t="s">
        <v>6</v>
      </c>
      <c r="CR9" s="243" t="s">
        <v>6</v>
      </c>
      <c r="CS9" s="243" t="s">
        <v>6</v>
      </c>
      <c r="CT9" s="243" t="s">
        <v>6</v>
      </c>
      <c r="CU9" s="243" t="s">
        <v>6</v>
      </c>
      <c r="CV9" s="243" t="s">
        <v>6</v>
      </c>
      <c r="CW9" s="243" t="s">
        <v>6</v>
      </c>
      <c r="CX9" s="243" t="s">
        <v>6</v>
      </c>
      <c r="CY9" s="243" t="s">
        <v>6</v>
      </c>
      <c r="CZ9" s="243" t="s">
        <v>6</v>
      </c>
      <c r="DA9" s="243" t="s">
        <v>6</v>
      </c>
      <c r="DB9" s="243" t="s">
        <v>6</v>
      </c>
      <c r="DC9" s="243" t="s">
        <v>6</v>
      </c>
      <c r="DD9" s="243" t="s">
        <v>6</v>
      </c>
      <c r="DE9" s="243" t="s">
        <v>6</v>
      </c>
      <c r="DF9" s="243" t="s">
        <v>6</v>
      </c>
      <c r="DG9" s="243" t="s">
        <v>6</v>
      </c>
      <c r="DH9" s="243" t="s">
        <v>6</v>
      </c>
      <c r="DI9" s="243" t="s">
        <v>6</v>
      </c>
      <c r="DJ9" s="243" t="s">
        <v>6</v>
      </c>
      <c r="DK9" s="243" t="s">
        <v>6</v>
      </c>
      <c r="DL9" s="243" t="s">
        <v>6</v>
      </c>
      <c r="DM9" s="243" t="s">
        <v>6</v>
      </c>
      <c r="DN9" s="243" t="s">
        <v>6</v>
      </c>
      <c r="DO9" s="243" t="s">
        <v>6</v>
      </c>
      <c r="DP9" s="243" t="s">
        <v>6</v>
      </c>
      <c r="DQ9" s="243" t="s">
        <v>6</v>
      </c>
      <c r="DR9" s="243" t="s">
        <v>6</v>
      </c>
      <c r="DS9" s="243" t="s">
        <v>6</v>
      </c>
      <c r="DT9" s="243" t="s">
        <v>6</v>
      </c>
      <c r="DU9" s="243" t="s">
        <v>6</v>
      </c>
      <c r="DV9" s="243" t="s">
        <v>6</v>
      </c>
      <c r="DW9" s="243" t="s">
        <v>6</v>
      </c>
      <c r="DX9" s="243" t="s">
        <v>6</v>
      </c>
      <c r="DY9" s="243" t="s">
        <v>6</v>
      </c>
      <c r="DZ9" s="243" t="s">
        <v>6</v>
      </c>
      <c r="EA9" s="243" t="s">
        <v>6</v>
      </c>
      <c r="EB9" s="243" t="s">
        <v>6</v>
      </c>
      <c r="EC9" s="243" t="s">
        <v>6</v>
      </c>
      <c r="ED9" s="243" t="s">
        <v>6</v>
      </c>
      <c r="EE9" s="243" t="s">
        <v>6</v>
      </c>
      <c r="EF9" s="243" t="s">
        <v>6</v>
      </c>
      <c r="EG9" s="243" t="s">
        <v>6</v>
      </c>
      <c r="EH9" s="243" t="s">
        <v>6</v>
      </c>
      <c r="EI9" s="243" t="s">
        <v>6</v>
      </c>
      <c r="EJ9" s="243" t="s">
        <v>6</v>
      </c>
      <c r="EK9" s="243" t="s">
        <v>6</v>
      </c>
      <c r="EL9" s="243" t="s">
        <v>6</v>
      </c>
      <c r="EM9" s="243" t="s">
        <v>6</v>
      </c>
      <c r="EN9" s="243" t="s">
        <v>6</v>
      </c>
      <c r="EO9" s="243" t="s">
        <v>6</v>
      </c>
      <c r="EP9" s="243" t="s">
        <v>6</v>
      </c>
      <c r="EQ9" s="243" t="s">
        <v>6</v>
      </c>
      <c r="ER9" s="243" t="s">
        <v>6</v>
      </c>
      <c r="ES9" s="243" t="s">
        <v>6</v>
      </c>
      <c r="ET9" s="243" t="s">
        <v>6</v>
      </c>
      <c r="EU9" s="243" t="s">
        <v>6</v>
      </c>
      <c r="EV9" s="243" t="s">
        <v>6</v>
      </c>
      <c r="EW9" s="243" t="s">
        <v>6</v>
      </c>
    </row>
    <row r="10" spans="1:153" ht="13.5">
      <c r="A10" s="277" t="s">
        <v>6</v>
      </c>
      <c r="B10" s="247" t="s">
        <v>6</v>
      </c>
      <c r="C10" s="244" t="s">
        <v>153</v>
      </c>
      <c r="D10" s="244"/>
      <c r="E10" s="244" t="s">
        <v>6</v>
      </c>
      <c r="F10" s="244" t="s">
        <v>6</v>
      </c>
      <c r="G10" s="244" t="s">
        <v>6</v>
      </c>
      <c r="H10" s="287">
        <v>158</v>
      </c>
      <c r="I10" s="241" t="s">
        <v>6</v>
      </c>
      <c r="J10" s="243" t="s">
        <v>6</v>
      </c>
      <c r="K10" s="243" t="s">
        <v>6</v>
      </c>
      <c r="L10" s="243" t="s">
        <v>6</v>
      </c>
      <c r="M10" s="243" t="s">
        <v>6</v>
      </c>
      <c r="N10" s="241" t="s">
        <v>6</v>
      </c>
      <c r="O10" s="243" t="s">
        <v>6</v>
      </c>
      <c r="P10" s="243" t="s">
        <v>6</v>
      </c>
      <c r="Q10" s="243" t="s">
        <v>6</v>
      </c>
      <c r="R10" s="243" t="s">
        <v>6</v>
      </c>
      <c r="S10" s="243" t="s">
        <v>6</v>
      </c>
      <c r="T10" s="243" t="s">
        <v>6</v>
      </c>
      <c r="U10" s="243" t="s">
        <v>6</v>
      </c>
      <c r="V10" s="243" t="s">
        <v>6</v>
      </c>
      <c r="W10" s="243" t="s">
        <v>6</v>
      </c>
      <c r="X10" s="243" t="s">
        <v>6</v>
      </c>
      <c r="Y10" s="243" t="s">
        <v>6</v>
      </c>
      <c r="Z10" s="243" t="s">
        <v>6</v>
      </c>
      <c r="AA10" s="243" t="s">
        <v>6</v>
      </c>
      <c r="AB10" s="243" t="s">
        <v>6</v>
      </c>
      <c r="AC10" s="243" t="s">
        <v>6</v>
      </c>
      <c r="AD10" s="243" t="s">
        <v>6</v>
      </c>
      <c r="AE10" s="243" t="s">
        <v>6</v>
      </c>
      <c r="AF10" s="243" t="s">
        <v>6</v>
      </c>
      <c r="AG10" s="243" t="s">
        <v>6</v>
      </c>
      <c r="AH10" s="243" t="s">
        <v>6</v>
      </c>
      <c r="AI10" s="243" t="s">
        <v>6</v>
      </c>
      <c r="AJ10" s="243" t="s">
        <v>6</v>
      </c>
      <c r="AK10" s="243" t="s">
        <v>6</v>
      </c>
      <c r="AL10" s="243" t="s">
        <v>6</v>
      </c>
      <c r="AM10" s="243" t="s">
        <v>6</v>
      </c>
      <c r="AN10" s="243" t="s">
        <v>6</v>
      </c>
      <c r="AO10" s="243" t="s">
        <v>6</v>
      </c>
      <c r="AP10" s="243" t="s">
        <v>6</v>
      </c>
      <c r="AQ10" s="243" t="s">
        <v>6</v>
      </c>
      <c r="AR10" s="243" t="s">
        <v>6</v>
      </c>
      <c r="AS10" s="243" t="s">
        <v>6</v>
      </c>
      <c r="AT10" s="243" t="s">
        <v>6</v>
      </c>
      <c r="AU10" s="243" t="s">
        <v>6</v>
      </c>
      <c r="AV10" s="243" t="s">
        <v>6</v>
      </c>
      <c r="AW10" s="243" t="s">
        <v>6</v>
      </c>
      <c r="AX10" s="243" t="s">
        <v>6</v>
      </c>
      <c r="AY10" s="243" t="s">
        <v>6</v>
      </c>
      <c r="AZ10" s="243" t="s">
        <v>6</v>
      </c>
      <c r="BA10" s="243" t="s">
        <v>6</v>
      </c>
      <c r="BB10" s="243" t="s">
        <v>6</v>
      </c>
      <c r="BC10" s="243" t="s">
        <v>6</v>
      </c>
      <c r="BD10" s="243" t="s">
        <v>6</v>
      </c>
      <c r="BE10" s="243" t="s">
        <v>6</v>
      </c>
      <c r="BF10" s="243" t="s">
        <v>6</v>
      </c>
      <c r="BG10" s="243" t="s">
        <v>6</v>
      </c>
      <c r="BH10" s="243" t="s">
        <v>6</v>
      </c>
      <c r="BI10" s="243" t="s">
        <v>6</v>
      </c>
      <c r="BJ10" s="243" t="s">
        <v>6</v>
      </c>
      <c r="BK10" s="243" t="s">
        <v>6</v>
      </c>
      <c r="BL10" s="243" t="s">
        <v>6</v>
      </c>
      <c r="BM10" s="243" t="s">
        <v>6</v>
      </c>
      <c r="BN10" s="243" t="s">
        <v>6</v>
      </c>
      <c r="BO10" s="243" t="s">
        <v>6</v>
      </c>
      <c r="BP10" s="243" t="s">
        <v>6</v>
      </c>
      <c r="BQ10" s="243" t="s">
        <v>6</v>
      </c>
      <c r="BR10" s="243" t="s">
        <v>6</v>
      </c>
      <c r="BS10" s="243" t="s">
        <v>6</v>
      </c>
      <c r="BT10" s="243" t="s">
        <v>6</v>
      </c>
      <c r="BU10" s="243" t="s">
        <v>6</v>
      </c>
      <c r="BV10" s="243" t="s">
        <v>6</v>
      </c>
      <c r="BW10" s="243" t="s">
        <v>6</v>
      </c>
      <c r="BX10" s="243" t="s">
        <v>6</v>
      </c>
      <c r="BY10" s="243" t="s">
        <v>6</v>
      </c>
      <c r="BZ10" s="243" t="s">
        <v>6</v>
      </c>
      <c r="CA10" s="243" t="s">
        <v>6</v>
      </c>
      <c r="CB10" s="243" t="s">
        <v>6</v>
      </c>
      <c r="CC10" s="243" t="s">
        <v>6</v>
      </c>
      <c r="CD10" s="243" t="s">
        <v>6</v>
      </c>
      <c r="CE10" s="243" t="s">
        <v>6</v>
      </c>
      <c r="CF10" s="243" t="s">
        <v>6</v>
      </c>
      <c r="CG10" s="243" t="s">
        <v>6</v>
      </c>
      <c r="CH10" s="243" t="s">
        <v>6</v>
      </c>
      <c r="CI10" s="243" t="s">
        <v>6</v>
      </c>
      <c r="CJ10" s="243" t="s">
        <v>6</v>
      </c>
      <c r="CK10" s="243" t="s">
        <v>6</v>
      </c>
      <c r="CL10" s="243" t="s">
        <v>6</v>
      </c>
      <c r="CM10" s="243" t="s">
        <v>6</v>
      </c>
      <c r="CN10" s="243" t="s">
        <v>6</v>
      </c>
      <c r="CO10" s="243" t="s">
        <v>6</v>
      </c>
      <c r="CP10" s="243" t="s">
        <v>6</v>
      </c>
      <c r="CQ10" s="243" t="s">
        <v>6</v>
      </c>
      <c r="CR10" s="243" t="s">
        <v>6</v>
      </c>
      <c r="CS10" s="243" t="s">
        <v>6</v>
      </c>
      <c r="CT10" s="243" t="s">
        <v>6</v>
      </c>
      <c r="CU10" s="243" t="s">
        <v>6</v>
      </c>
      <c r="CV10" s="243" t="s">
        <v>6</v>
      </c>
      <c r="CW10" s="243" t="s">
        <v>6</v>
      </c>
      <c r="CX10" s="243" t="s">
        <v>6</v>
      </c>
      <c r="CY10" s="243" t="s">
        <v>6</v>
      </c>
      <c r="CZ10" s="243" t="s">
        <v>6</v>
      </c>
      <c r="DA10" s="243" t="s">
        <v>6</v>
      </c>
      <c r="DB10" s="243" t="s">
        <v>6</v>
      </c>
      <c r="DC10" s="243" t="s">
        <v>6</v>
      </c>
      <c r="DD10" s="243" t="s">
        <v>6</v>
      </c>
      <c r="DE10" s="243" t="s">
        <v>6</v>
      </c>
      <c r="DF10" s="243" t="s">
        <v>6</v>
      </c>
      <c r="DG10" s="243" t="s">
        <v>6</v>
      </c>
      <c r="DH10" s="243" t="s">
        <v>6</v>
      </c>
      <c r="DI10" s="243" t="s">
        <v>6</v>
      </c>
      <c r="DJ10" s="243" t="s">
        <v>6</v>
      </c>
      <c r="DK10" s="243" t="s">
        <v>6</v>
      </c>
      <c r="DL10" s="243" t="s">
        <v>6</v>
      </c>
      <c r="DM10" s="243" t="s">
        <v>6</v>
      </c>
      <c r="DN10" s="243" t="s">
        <v>6</v>
      </c>
      <c r="DO10" s="243" t="s">
        <v>6</v>
      </c>
      <c r="DP10" s="243" t="s">
        <v>6</v>
      </c>
      <c r="DQ10" s="243" t="s">
        <v>6</v>
      </c>
      <c r="DR10" s="243" t="s">
        <v>6</v>
      </c>
      <c r="DS10" s="243" t="s">
        <v>6</v>
      </c>
      <c r="DT10" s="243" t="s">
        <v>6</v>
      </c>
      <c r="DU10" s="243" t="s">
        <v>6</v>
      </c>
      <c r="DV10" s="243" t="s">
        <v>6</v>
      </c>
      <c r="DW10" s="243" t="s">
        <v>6</v>
      </c>
      <c r="DX10" s="243" t="s">
        <v>6</v>
      </c>
      <c r="DY10" s="243" t="s">
        <v>6</v>
      </c>
      <c r="DZ10" s="243" t="s">
        <v>6</v>
      </c>
      <c r="EA10" s="243" t="s">
        <v>6</v>
      </c>
      <c r="EB10" s="243" t="s">
        <v>6</v>
      </c>
      <c r="EC10" s="243" t="s">
        <v>6</v>
      </c>
      <c r="ED10" s="243" t="s">
        <v>6</v>
      </c>
      <c r="EE10" s="243" t="s">
        <v>6</v>
      </c>
      <c r="EF10" s="243" t="s">
        <v>6</v>
      </c>
      <c r="EG10" s="243" t="s">
        <v>6</v>
      </c>
      <c r="EH10" s="243" t="s">
        <v>6</v>
      </c>
      <c r="EI10" s="243" t="s">
        <v>6</v>
      </c>
      <c r="EJ10" s="243" t="s">
        <v>6</v>
      </c>
      <c r="EK10" s="243" t="s">
        <v>6</v>
      </c>
      <c r="EL10" s="243" t="s">
        <v>6</v>
      </c>
      <c r="EM10" s="243" t="s">
        <v>6</v>
      </c>
      <c r="EN10" s="243" t="s">
        <v>6</v>
      </c>
      <c r="EO10" s="243" t="s">
        <v>6</v>
      </c>
      <c r="EP10" s="243" t="s">
        <v>6</v>
      </c>
      <c r="EQ10" s="243" t="s">
        <v>6</v>
      </c>
      <c r="ER10" s="243" t="s">
        <v>6</v>
      </c>
      <c r="ES10" s="243" t="s">
        <v>6</v>
      </c>
      <c r="ET10" s="243" t="s">
        <v>6</v>
      </c>
      <c r="EU10" s="243" t="s">
        <v>6</v>
      </c>
      <c r="EV10" s="243" t="s">
        <v>6</v>
      </c>
      <c r="EW10" s="243" t="s">
        <v>6</v>
      </c>
    </row>
    <row r="11" spans="1:153" ht="13.5">
      <c r="A11" s="277" t="s">
        <v>6</v>
      </c>
      <c r="B11" s="247" t="s">
        <v>6</v>
      </c>
      <c r="C11" s="244" t="s">
        <v>154</v>
      </c>
      <c r="D11" s="244"/>
      <c r="E11" s="244" t="s">
        <v>6</v>
      </c>
      <c r="F11" s="244" t="s">
        <v>6</v>
      </c>
      <c r="G11" s="244" t="s">
        <v>6</v>
      </c>
      <c r="H11" s="287">
        <v>219</v>
      </c>
      <c r="I11" s="241" t="s">
        <v>6</v>
      </c>
      <c r="J11" s="243" t="s">
        <v>6</v>
      </c>
      <c r="K11" s="243" t="s">
        <v>6</v>
      </c>
      <c r="L11" s="243" t="s">
        <v>6</v>
      </c>
      <c r="M11" s="243" t="s">
        <v>6</v>
      </c>
      <c r="N11" s="241" t="s">
        <v>6</v>
      </c>
      <c r="O11" s="243" t="s">
        <v>6</v>
      </c>
      <c r="P11" s="243" t="s">
        <v>6</v>
      </c>
      <c r="Q11" s="243" t="s">
        <v>6</v>
      </c>
      <c r="R11" s="243" t="s">
        <v>6</v>
      </c>
      <c r="S11" s="243" t="s">
        <v>6</v>
      </c>
      <c r="T11" s="243" t="s">
        <v>6</v>
      </c>
      <c r="U11" s="243" t="s">
        <v>6</v>
      </c>
      <c r="V11" s="243" t="s">
        <v>6</v>
      </c>
      <c r="W11" s="243" t="s">
        <v>6</v>
      </c>
      <c r="X11" s="243" t="s">
        <v>6</v>
      </c>
      <c r="Y11" s="243" t="s">
        <v>6</v>
      </c>
      <c r="Z11" s="243" t="s">
        <v>6</v>
      </c>
      <c r="AA11" s="243" t="s">
        <v>6</v>
      </c>
      <c r="AB11" s="243" t="s">
        <v>6</v>
      </c>
      <c r="AC11" s="243" t="s">
        <v>6</v>
      </c>
      <c r="AD11" s="243" t="s">
        <v>6</v>
      </c>
      <c r="AE11" s="243" t="s">
        <v>6</v>
      </c>
      <c r="AF11" s="243" t="s">
        <v>6</v>
      </c>
      <c r="AG11" s="243" t="s">
        <v>6</v>
      </c>
      <c r="AH11" s="243" t="s">
        <v>6</v>
      </c>
      <c r="AI11" s="243" t="s">
        <v>6</v>
      </c>
      <c r="AJ11" s="243" t="s">
        <v>6</v>
      </c>
      <c r="AK11" s="243" t="s">
        <v>6</v>
      </c>
      <c r="AL11" s="243" t="s">
        <v>6</v>
      </c>
      <c r="AM11" s="243" t="s">
        <v>6</v>
      </c>
      <c r="AN11" s="243" t="s">
        <v>6</v>
      </c>
      <c r="AO11" s="243" t="s">
        <v>6</v>
      </c>
      <c r="AP11" s="243" t="s">
        <v>6</v>
      </c>
      <c r="AQ11" s="243" t="s">
        <v>6</v>
      </c>
      <c r="AR11" s="243" t="s">
        <v>6</v>
      </c>
      <c r="AS11" s="243" t="s">
        <v>6</v>
      </c>
      <c r="AT11" s="243" t="s">
        <v>6</v>
      </c>
      <c r="AU11" s="243" t="s">
        <v>6</v>
      </c>
      <c r="AV11" s="243" t="s">
        <v>6</v>
      </c>
      <c r="AW11" s="243" t="s">
        <v>6</v>
      </c>
      <c r="AX11" s="243" t="s">
        <v>6</v>
      </c>
      <c r="AY11" s="243" t="s">
        <v>6</v>
      </c>
      <c r="AZ11" s="243" t="s">
        <v>6</v>
      </c>
      <c r="BA11" s="243" t="s">
        <v>6</v>
      </c>
      <c r="BB11" s="243" t="s">
        <v>6</v>
      </c>
      <c r="BC11" s="243" t="s">
        <v>6</v>
      </c>
      <c r="BD11" s="243" t="s">
        <v>6</v>
      </c>
      <c r="BE11" s="243" t="s">
        <v>6</v>
      </c>
      <c r="BF11" s="243" t="s">
        <v>6</v>
      </c>
      <c r="BG11" s="243" t="s">
        <v>6</v>
      </c>
      <c r="BH11" s="243" t="s">
        <v>6</v>
      </c>
      <c r="BI11" s="243" t="s">
        <v>6</v>
      </c>
      <c r="BJ11" s="243" t="s">
        <v>6</v>
      </c>
      <c r="BK11" s="243" t="s">
        <v>6</v>
      </c>
      <c r="BL11" s="243" t="s">
        <v>6</v>
      </c>
      <c r="BM11" s="243" t="s">
        <v>6</v>
      </c>
      <c r="BN11" s="243" t="s">
        <v>6</v>
      </c>
      <c r="BO11" s="243" t="s">
        <v>6</v>
      </c>
      <c r="BP11" s="243" t="s">
        <v>6</v>
      </c>
      <c r="BQ11" s="243" t="s">
        <v>6</v>
      </c>
      <c r="BR11" s="243" t="s">
        <v>6</v>
      </c>
      <c r="BS11" s="243" t="s">
        <v>6</v>
      </c>
      <c r="BT11" s="243" t="s">
        <v>6</v>
      </c>
      <c r="BU11" s="243" t="s">
        <v>6</v>
      </c>
      <c r="BV11" s="243" t="s">
        <v>6</v>
      </c>
      <c r="BW11" s="243" t="s">
        <v>6</v>
      </c>
      <c r="BX11" s="243" t="s">
        <v>6</v>
      </c>
      <c r="BY11" s="243" t="s">
        <v>6</v>
      </c>
      <c r="BZ11" s="243" t="s">
        <v>6</v>
      </c>
      <c r="CA11" s="243" t="s">
        <v>6</v>
      </c>
      <c r="CB11" s="243" t="s">
        <v>6</v>
      </c>
      <c r="CC11" s="243" t="s">
        <v>6</v>
      </c>
      <c r="CD11" s="243" t="s">
        <v>6</v>
      </c>
      <c r="CE11" s="243" t="s">
        <v>6</v>
      </c>
      <c r="CF11" s="243" t="s">
        <v>6</v>
      </c>
      <c r="CG11" s="243" t="s">
        <v>6</v>
      </c>
      <c r="CH11" s="243" t="s">
        <v>6</v>
      </c>
      <c r="CI11" s="243" t="s">
        <v>6</v>
      </c>
      <c r="CJ11" s="243" t="s">
        <v>6</v>
      </c>
      <c r="CK11" s="243" t="s">
        <v>6</v>
      </c>
      <c r="CL11" s="243" t="s">
        <v>6</v>
      </c>
      <c r="CM11" s="243" t="s">
        <v>6</v>
      </c>
      <c r="CN11" s="243" t="s">
        <v>6</v>
      </c>
      <c r="CO11" s="243" t="s">
        <v>6</v>
      </c>
      <c r="CP11" s="243" t="s">
        <v>6</v>
      </c>
      <c r="CQ11" s="243" t="s">
        <v>6</v>
      </c>
      <c r="CR11" s="243" t="s">
        <v>6</v>
      </c>
      <c r="CS11" s="243" t="s">
        <v>6</v>
      </c>
      <c r="CT11" s="243" t="s">
        <v>6</v>
      </c>
      <c r="CU11" s="243" t="s">
        <v>6</v>
      </c>
      <c r="CV11" s="243" t="s">
        <v>6</v>
      </c>
      <c r="CW11" s="243" t="s">
        <v>6</v>
      </c>
      <c r="CX11" s="243" t="s">
        <v>6</v>
      </c>
      <c r="CY11" s="243" t="s">
        <v>6</v>
      </c>
      <c r="CZ11" s="243" t="s">
        <v>6</v>
      </c>
      <c r="DA11" s="243" t="s">
        <v>6</v>
      </c>
      <c r="DB11" s="243" t="s">
        <v>6</v>
      </c>
      <c r="DC11" s="243" t="s">
        <v>6</v>
      </c>
      <c r="DD11" s="243" t="s">
        <v>6</v>
      </c>
      <c r="DE11" s="243" t="s">
        <v>6</v>
      </c>
      <c r="DF11" s="243" t="s">
        <v>6</v>
      </c>
      <c r="DG11" s="243" t="s">
        <v>6</v>
      </c>
      <c r="DH11" s="243" t="s">
        <v>6</v>
      </c>
      <c r="DI11" s="243" t="s">
        <v>6</v>
      </c>
      <c r="DJ11" s="243" t="s">
        <v>6</v>
      </c>
      <c r="DK11" s="243" t="s">
        <v>6</v>
      </c>
      <c r="DL11" s="243" t="s">
        <v>6</v>
      </c>
      <c r="DM11" s="243" t="s">
        <v>6</v>
      </c>
      <c r="DN11" s="243" t="s">
        <v>6</v>
      </c>
      <c r="DO11" s="243" t="s">
        <v>6</v>
      </c>
      <c r="DP11" s="243" t="s">
        <v>6</v>
      </c>
      <c r="DQ11" s="243" t="s">
        <v>6</v>
      </c>
      <c r="DR11" s="243" t="s">
        <v>6</v>
      </c>
      <c r="DS11" s="243" t="s">
        <v>6</v>
      </c>
      <c r="DT11" s="243" t="s">
        <v>6</v>
      </c>
      <c r="DU11" s="243" t="s">
        <v>6</v>
      </c>
      <c r="DV11" s="243" t="s">
        <v>6</v>
      </c>
      <c r="DW11" s="243" t="s">
        <v>6</v>
      </c>
      <c r="DX11" s="243" t="s">
        <v>6</v>
      </c>
      <c r="DY11" s="243" t="s">
        <v>6</v>
      </c>
      <c r="DZ11" s="243" t="s">
        <v>6</v>
      </c>
      <c r="EA11" s="243" t="s">
        <v>6</v>
      </c>
      <c r="EB11" s="243" t="s">
        <v>6</v>
      </c>
      <c r="EC11" s="243" t="s">
        <v>6</v>
      </c>
      <c r="ED11" s="243" t="s">
        <v>6</v>
      </c>
      <c r="EE11" s="243" t="s">
        <v>6</v>
      </c>
      <c r="EF11" s="243" t="s">
        <v>6</v>
      </c>
      <c r="EG11" s="243" t="s">
        <v>6</v>
      </c>
      <c r="EH11" s="243" t="s">
        <v>6</v>
      </c>
      <c r="EI11" s="243" t="s">
        <v>6</v>
      </c>
      <c r="EJ11" s="243" t="s">
        <v>6</v>
      </c>
      <c r="EK11" s="243" t="s">
        <v>6</v>
      </c>
      <c r="EL11" s="243" t="s">
        <v>6</v>
      </c>
      <c r="EM11" s="243" t="s">
        <v>6</v>
      </c>
      <c r="EN11" s="243" t="s">
        <v>6</v>
      </c>
      <c r="EO11" s="243" t="s">
        <v>6</v>
      </c>
      <c r="EP11" s="243" t="s">
        <v>6</v>
      </c>
      <c r="EQ11" s="243" t="s">
        <v>6</v>
      </c>
      <c r="ER11" s="243" t="s">
        <v>6</v>
      </c>
      <c r="ES11" s="243" t="s">
        <v>6</v>
      </c>
      <c r="ET11" s="243" t="s">
        <v>6</v>
      </c>
      <c r="EU11" s="243" t="s">
        <v>6</v>
      </c>
      <c r="EV11" s="243" t="s">
        <v>6</v>
      </c>
      <c r="EW11" s="243" t="s">
        <v>6</v>
      </c>
    </row>
    <row r="12" spans="1:153" ht="15.75">
      <c r="A12" s="277" t="s">
        <v>6</v>
      </c>
      <c r="B12" s="247" t="s">
        <v>6</v>
      </c>
      <c r="C12" s="244" t="s">
        <v>6</v>
      </c>
      <c r="D12" s="244" t="s">
        <v>6</v>
      </c>
      <c r="E12" s="234"/>
      <c r="F12" s="244" t="s">
        <v>6</v>
      </c>
      <c r="G12" s="244" t="s">
        <v>6</v>
      </c>
      <c r="H12" s="244" t="s">
        <v>6</v>
      </c>
      <c r="I12" s="244" t="s">
        <v>6</v>
      </c>
      <c r="J12" s="244" t="s">
        <v>6</v>
      </c>
      <c r="K12" s="243" t="s">
        <v>6</v>
      </c>
      <c r="L12" s="243" t="s">
        <v>6</v>
      </c>
      <c r="M12" s="243" t="s">
        <v>6</v>
      </c>
      <c r="N12" s="241" t="s">
        <v>6</v>
      </c>
      <c r="O12" s="243" t="s">
        <v>6</v>
      </c>
      <c r="P12" s="243" t="s">
        <v>6</v>
      </c>
      <c r="Q12" s="243" t="s">
        <v>6</v>
      </c>
      <c r="R12" s="243" t="s">
        <v>6</v>
      </c>
      <c r="S12" s="243" t="s">
        <v>6</v>
      </c>
      <c r="T12" s="243" t="s">
        <v>6</v>
      </c>
      <c r="U12" s="243" t="s">
        <v>6</v>
      </c>
      <c r="V12" s="243" t="s">
        <v>6</v>
      </c>
      <c r="W12" s="243" t="s">
        <v>6</v>
      </c>
      <c r="X12" s="243" t="s">
        <v>6</v>
      </c>
      <c r="Y12" s="243" t="s">
        <v>6</v>
      </c>
      <c r="Z12" s="243" t="s">
        <v>6</v>
      </c>
      <c r="AA12" s="243" t="s">
        <v>6</v>
      </c>
      <c r="AB12" s="243" t="s">
        <v>6</v>
      </c>
      <c r="AC12" s="243" t="s">
        <v>6</v>
      </c>
      <c r="AD12" s="243" t="s">
        <v>6</v>
      </c>
      <c r="AE12" s="243" t="s">
        <v>6</v>
      </c>
      <c r="AF12" s="243" t="s">
        <v>6</v>
      </c>
      <c r="AG12" s="243" t="s">
        <v>6</v>
      </c>
      <c r="AH12" s="243" t="s">
        <v>6</v>
      </c>
      <c r="AI12" s="243" t="s">
        <v>6</v>
      </c>
      <c r="AJ12" s="243" t="s">
        <v>6</v>
      </c>
      <c r="AK12" s="243" t="s">
        <v>6</v>
      </c>
      <c r="AL12" s="243" t="s">
        <v>6</v>
      </c>
      <c r="AM12" s="243" t="s">
        <v>6</v>
      </c>
      <c r="AN12" s="243" t="s">
        <v>6</v>
      </c>
      <c r="AO12" s="243" t="s">
        <v>6</v>
      </c>
      <c r="AP12" s="243" t="s">
        <v>6</v>
      </c>
      <c r="AQ12" s="243" t="s">
        <v>6</v>
      </c>
      <c r="AR12" s="243" t="s">
        <v>6</v>
      </c>
      <c r="AS12" s="243" t="s">
        <v>6</v>
      </c>
      <c r="AT12" s="243" t="s">
        <v>6</v>
      </c>
      <c r="AU12" s="243" t="s">
        <v>6</v>
      </c>
      <c r="AV12" s="243" t="s">
        <v>6</v>
      </c>
      <c r="AW12" s="243" t="s">
        <v>6</v>
      </c>
      <c r="AX12" s="243" t="s">
        <v>6</v>
      </c>
      <c r="AY12" s="243" t="s">
        <v>6</v>
      </c>
      <c r="AZ12" s="243" t="s">
        <v>6</v>
      </c>
      <c r="BA12" s="243" t="s">
        <v>6</v>
      </c>
      <c r="BB12" s="243" t="s">
        <v>6</v>
      </c>
      <c r="BC12" s="243" t="s">
        <v>6</v>
      </c>
      <c r="BD12" s="243" t="s">
        <v>6</v>
      </c>
      <c r="BE12" s="243" t="s">
        <v>6</v>
      </c>
      <c r="BF12" s="243" t="s">
        <v>6</v>
      </c>
      <c r="BG12" s="243" t="s">
        <v>6</v>
      </c>
      <c r="BH12" s="243" t="s">
        <v>6</v>
      </c>
      <c r="BI12" s="243" t="s">
        <v>6</v>
      </c>
      <c r="BJ12" s="243" t="s">
        <v>6</v>
      </c>
      <c r="BK12" s="243" t="s">
        <v>6</v>
      </c>
      <c r="BL12" s="243" t="s">
        <v>6</v>
      </c>
      <c r="BM12" s="243" t="s">
        <v>6</v>
      </c>
      <c r="BN12" s="243" t="s">
        <v>6</v>
      </c>
      <c r="BO12" s="243" t="s">
        <v>6</v>
      </c>
      <c r="BP12" s="243" t="s">
        <v>6</v>
      </c>
      <c r="BQ12" s="243" t="s">
        <v>6</v>
      </c>
      <c r="BR12" s="243" t="s">
        <v>6</v>
      </c>
      <c r="BS12" s="243" t="s">
        <v>6</v>
      </c>
      <c r="BT12" s="243" t="s">
        <v>6</v>
      </c>
      <c r="BU12" s="243" t="s">
        <v>6</v>
      </c>
      <c r="BV12" s="243" t="s">
        <v>6</v>
      </c>
      <c r="BW12" s="243" t="s">
        <v>6</v>
      </c>
      <c r="BX12" s="243" t="s">
        <v>6</v>
      </c>
      <c r="BY12" s="243" t="s">
        <v>6</v>
      </c>
      <c r="BZ12" s="243" t="s">
        <v>6</v>
      </c>
      <c r="CA12" s="243" t="s">
        <v>6</v>
      </c>
      <c r="CB12" s="243" t="s">
        <v>6</v>
      </c>
      <c r="CC12" s="243" t="s">
        <v>6</v>
      </c>
      <c r="CD12" s="243" t="s">
        <v>6</v>
      </c>
      <c r="CE12" s="243" t="s">
        <v>6</v>
      </c>
      <c r="CF12" s="243" t="s">
        <v>6</v>
      </c>
      <c r="CG12" s="243" t="s">
        <v>6</v>
      </c>
      <c r="CH12" s="243" t="s">
        <v>6</v>
      </c>
      <c r="CI12" s="243" t="s">
        <v>6</v>
      </c>
      <c r="CJ12" s="243" t="s">
        <v>6</v>
      </c>
      <c r="CK12" s="243" t="s">
        <v>6</v>
      </c>
      <c r="CL12" s="243" t="s">
        <v>6</v>
      </c>
      <c r="CM12" s="243" t="s">
        <v>6</v>
      </c>
      <c r="CN12" s="243" t="s">
        <v>6</v>
      </c>
      <c r="CO12" s="243" t="s">
        <v>6</v>
      </c>
      <c r="CP12" s="243" t="s">
        <v>6</v>
      </c>
      <c r="CQ12" s="243" t="s">
        <v>6</v>
      </c>
      <c r="CR12" s="243" t="s">
        <v>6</v>
      </c>
      <c r="CS12" s="243" t="s">
        <v>6</v>
      </c>
      <c r="CT12" s="243" t="s">
        <v>6</v>
      </c>
      <c r="CU12" s="243" t="s">
        <v>6</v>
      </c>
      <c r="CV12" s="243" t="s">
        <v>6</v>
      </c>
      <c r="CW12" s="243" t="s">
        <v>6</v>
      </c>
      <c r="CX12" s="243" t="s">
        <v>6</v>
      </c>
      <c r="CY12" s="243" t="s">
        <v>6</v>
      </c>
      <c r="CZ12" s="243" t="s">
        <v>6</v>
      </c>
      <c r="DA12" s="243" t="s">
        <v>6</v>
      </c>
      <c r="DB12" s="243" t="s">
        <v>6</v>
      </c>
      <c r="DC12" s="243" t="s">
        <v>6</v>
      </c>
      <c r="DD12" s="243" t="s">
        <v>6</v>
      </c>
      <c r="DE12" s="243" t="s">
        <v>6</v>
      </c>
      <c r="DF12" s="243" t="s">
        <v>6</v>
      </c>
      <c r="DG12" s="243" t="s">
        <v>6</v>
      </c>
      <c r="DH12" s="243" t="s">
        <v>6</v>
      </c>
      <c r="DI12" s="243" t="s">
        <v>6</v>
      </c>
      <c r="DJ12" s="243" t="s">
        <v>6</v>
      </c>
      <c r="DK12" s="243" t="s">
        <v>6</v>
      </c>
      <c r="DL12" s="243" t="s">
        <v>6</v>
      </c>
      <c r="DM12" s="243" t="s">
        <v>6</v>
      </c>
      <c r="DN12" s="243" t="s">
        <v>6</v>
      </c>
      <c r="DO12" s="243" t="s">
        <v>6</v>
      </c>
      <c r="DP12" s="243" t="s">
        <v>6</v>
      </c>
      <c r="DQ12" s="243" t="s">
        <v>6</v>
      </c>
      <c r="DR12" s="243" t="s">
        <v>6</v>
      </c>
      <c r="DS12" s="243" t="s">
        <v>6</v>
      </c>
      <c r="DT12" s="243" t="s">
        <v>6</v>
      </c>
      <c r="DU12" s="243" t="s">
        <v>6</v>
      </c>
      <c r="DV12" s="243" t="s">
        <v>6</v>
      </c>
      <c r="DW12" s="243" t="s">
        <v>6</v>
      </c>
      <c r="DX12" s="243" t="s">
        <v>6</v>
      </c>
      <c r="DY12" s="243" t="s">
        <v>6</v>
      </c>
      <c r="DZ12" s="243" t="s">
        <v>6</v>
      </c>
      <c r="EA12" s="243" t="s">
        <v>6</v>
      </c>
      <c r="EB12" s="243" t="s">
        <v>6</v>
      </c>
      <c r="EC12" s="243" t="s">
        <v>6</v>
      </c>
      <c r="ED12" s="243" t="s">
        <v>6</v>
      </c>
      <c r="EE12" s="243" t="s">
        <v>6</v>
      </c>
      <c r="EF12" s="243" t="s">
        <v>6</v>
      </c>
      <c r="EG12" s="243" t="s">
        <v>6</v>
      </c>
      <c r="EH12" s="243" t="s">
        <v>6</v>
      </c>
      <c r="EI12" s="243" t="s">
        <v>6</v>
      </c>
      <c r="EJ12" s="243" t="s">
        <v>6</v>
      </c>
      <c r="EK12" s="243" t="s">
        <v>6</v>
      </c>
      <c r="EL12" s="243" t="s">
        <v>6</v>
      </c>
      <c r="EM12" s="243" t="s">
        <v>6</v>
      </c>
      <c r="EN12" s="243" t="s">
        <v>6</v>
      </c>
      <c r="EO12" s="243" t="s">
        <v>6</v>
      </c>
      <c r="EP12" s="243" t="s">
        <v>6</v>
      </c>
      <c r="EQ12" s="243" t="s">
        <v>6</v>
      </c>
      <c r="ER12" s="243" t="s">
        <v>6</v>
      </c>
      <c r="ES12" s="243" t="s">
        <v>6</v>
      </c>
      <c r="ET12" s="243" t="s">
        <v>6</v>
      </c>
      <c r="EU12" s="243" t="s">
        <v>6</v>
      </c>
      <c r="EV12" s="243" t="s">
        <v>6</v>
      </c>
      <c r="EW12" s="243" t="s">
        <v>6</v>
      </c>
    </row>
    <row r="13" spans="1:153" ht="34.5" customHeight="1">
      <c r="A13" s="235"/>
      <c r="B13" s="236"/>
      <c r="C13" s="236"/>
      <c r="D13" s="236"/>
      <c r="E13" s="244" t="s">
        <v>6</v>
      </c>
      <c r="F13" s="236"/>
      <c r="G13" s="236"/>
      <c r="H13" s="236"/>
      <c r="I13" s="236"/>
      <c r="J13" s="236"/>
      <c r="K13" s="236"/>
      <c r="L13" s="236"/>
      <c r="M13" s="236"/>
      <c r="N13" s="236"/>
      <c r="O13" s="236"/>
      <c r="P13" s="236"/>
      <c r="Q13" s="236"/>
      <c r="R13" s="236"/>
      <c r="S13" s="236"/>
      <c r="T13" s="236"/>
      <c r="U13" s="236"/>
      <c r="V13" s="236"/>
      <c r="W13" s="236"/>
      <c r="X13" s="236"/>
      <c r="Y13" s="236"/>
      <c r="Z13" s="236"/>
      <c r="AA13" s="236"/>
      <c r="AB13" s="236"/>
      <c r="AC13" s="236"/>
      <c r="AD13" s="236"/>
      <c r="AE13" s="236"/>
      <c r="AF13" s="236"/>
      <c r="AG13" s="236"/>
      <c r="AH13" s="236"/>
      <c r="AI13" s="236"/>
      <c r="AJ13" s="236"/>
      <c r="AK13" s="236"/>
      <c r="AL13" s="236"/>
      <c r="AM13" s="236"/>
      <c r="AN13" s="236"/>
      <c r="AO13" s="236"/>
      <c r="AP13" s="236"/>
      <c r="AQ13" s="236"/>
      <c r="AR13" s="236"/>
      <c r="AS13" s="236"/>
      <c r="AT13" s="236"/>
      <c r="AU13" s="236"/>
      <c r="AV13" s="236"/>
      <c r="AW13" s="236"/>
      <c r="AX13" s="236"/>
      <c r="AY13" s="236"/>
      <c r="AZ13" s="236"/>
      <c r="BA13" s="236"/>
      <c r="BB13" s="236"/>
      <c r="BC13" s="236"/>
      <c r="BD13" s="236"/>
      <c r="BE13" s="236"/>
      <c r="BF13" s="236"/>
      <c r="BG13" s="236"/>
      <c r="BH13" s="236"/>
      <c r="BI13" s="236"/>
      <c r="BJ13" s="236"/>
      <c r="BK13" s="236"/>
      <c r="BL13" s="236"/>
      <c r="BM13" s="236"/>
      <c r="BN13" s="236"/>
      <c r="BO13" s="236"/>
      <c r="BP13" s="236"/>
      <c r="BQ13" s="236"/>
      <c r="BR13" s="236"/>
      <c r="BS13" s="236"/>
      <c r="BT13" s="236"/>
      <c r="BU13" s="236"/>
      <c r="BV13" s="236"/>
      <c r="BW13" s="236"/>
      <c r="BX13" s="236"/>
      <c r="BY13" s="236"/>
      <c r="BZ13" s="236"/>
      <c r="CA13" s="236"/>
      <c r="CB13" s="236"/>
      <c r="CC13" s="236"/>
      <c r="CD13" s="236"/>
      <c r="CE13" s="236"/>
      <c r="CF13" s="236"/>
      <c r="CG13" s="236"/>
      <c r="CH13" s="236"/>
      <c r="CI13" s="236"/>
      <c r="CJ13" s="236"/>
      <c r="CK13" s="236"/>
      <c r="CL13" s="236"/>
      <c r="CM13" s="236"/>
      <c r="CN13" s="236"/>
      <c r="CO13" s="236"/>
      <c r="CP13" s="236"/>
      <c r="CQ13" s="236"/>
      <c r="CR13" s="236"/>
      <c r="CS13" s="236"/>
      <c r="CT13" s="236"/>
      <c r="CU13" s="236"/>
      <c r="CV13" s="236"/>
      <c r="CW13" s="236"/>
      <c r="CX13" s="236"/>
      <c r="CY13" s="236"/>
      <c r="CZ13" s="236"/>
      <c r="DA13" s="236"/>
      <c r="DB13" s="236"/>
      <c r="DC13" s="236"/>
      <c r="DD13" s="236"/>
      <c r="DE13" s="236"/>
      <c r="DF13" s="236"/>
      <c r="DG13" s="236"/>
      <c r="DH13" s="236"/>
      <c r="DI13" s="236"/>
      <c r="DJ13" s="236"/>
      <c r="DK13" s="236"/>
      <c r="DL13" s="236"/>
      <c r="DM13" s="236"/>
      <c r="DN13" s="236"/>
      <c r="DO13" s="236"/>
      <c r="DP13" s="236"/>
      <c r="DQ13" s="236"/>
      <c r="DR13" s="236"/>
      <c r="DS13" s="236"/>
      <c r="DT13" s="236"/>
      <c r="DU13" s="236"/>
      <c r="DV13" s="236"/>
      <c r="DW13" s="236"/>
      <c r="DX13" s="236"/>
      <c r="DY13" s="236"/>
      <c r="DZ13" s="236"/>
      <c r="EA13" s="236"/>
      <c r="EB13" s="236"/>
      <c r="EC13" s="236"/>
      <c r="ED13" s="236"/>
      <c r="EE13" s="236"/>
      <c r="EF13" s="236"/>
      <c r="EG13" s="236"/>
      <c r="EH13" s="236"/>
      <c r="EI13" s="236"/>
      <c r="EJ13" s="236"/>
      <c r="EK13" s="236"/>
      <c r="EL13" s="236"/>
      <c r="EM13" s="236"/>
      <c r="EN13" s="236"/>
      <c r="EO13" s="236"/>
      <c r="EP13" s="236"/>
      <c r="EQ13" s="236"/>
      <c r="ER13" s="236"/>
      <c r="ES13" s="236"/>
      <c r="ET13" s="236"/>
      <c r="EU13" s="236"/>
      <c r="EV13" s="236"/>
      <c r="EW13" s="236"/>
    </row>
    <row r="14" spans="1:153" ht="30.75" customHeight="1">
      <c r="A14" s="277" t="s">
        <v>6</v>
      </c>
      <c r="B14" s="247" t="s">
        <v>6</v>
      </c>
      <c r="C14" s="245" t="s">
        <v>6</v>
      </c>
      <c r="D14" s="244" t="s">
        <v>6</v>
      </c>
      <c r="E14" s="244" t="s">
        <v>6</v>
      </c>
      <c r="F14" s="288" t="s">
        <v>173</v>
      </c>
      <c r="G14" s="244" t="s">
        <v>6</v>
      </c>
      <c r="H14" s="244" t="s">
        <v>6</v>
      </c>
      <c r="I14" s="244" t="s">
        <v>6</v>
      </c>
      <c r="J14" s="244" t="s">
        <v>6</v>
      </c>
      <c r="K14" s="243" t="s">
        <v>6</v>
      </c>
      <c r="L14" s="243" t="s">
        <v>6</v>
      </c>
      <c r="M14" s="243" t="s">
        <v>6</v>
      </c>
      <c r="N14" s="241" t="s">
        <v>6</v>
      </c>
      <c r="O14" s="243" t="s">
        <v>6</v>
      </c>
      <c r="P14" s="243" t="s">
        <v>6</v>
      </c>
      <c r="Q14" s="243" t="s">
        <v>6</v>
      </c>
      <c r="R14" s="243" t="s">
        <v>6</v>
      </c>
      <c r="S14" s="243" t="s">
        <v>6</v>
      </c>
      <c r="T14" s="243" t="s">
        <v>6</v>
      </c>
      <c r="U14" s="243" t="s">
        <v>6</v>
      </c>
      <c r="V14" s="243" t="s">
        <v>6</v>
      </c>
      <c r="W14" s="243" t="s">
        <v>6</v>
      </c>
      <c r="X14" s="243" t="s">
        <v>6</v>
      </c>
      <c r="Y14" s="243" t="s">
        <v>6</v>
      </c>
      <c r="Z14" s="243" t="s">
        <v>6</v>
      </c>
      <c r="AA14" s="243" t="s">
        <v>6</v>
      </c>
      <c r="AB14" s="243" t="s">
        <v>6</v>
      </c>
      <c r="AC14" s="243" t="s">
        <v>6</v>
      </c>
      <c r="AD14" s="243" t="s">
        <v>6</v>
      </c>
      <c r="AE14" s="243" t="s">
        <v>6</v>
      </c>
      <c r="AF14" s="243" t="s">
        <v>6</v>
      </c>
      <c r="AG14" s="243" t="s">
        <v>6</v>
      </c>
      <c r="AH14" s="243" t="s">
        <v>6</v>
      </c>
      <c r="AI14" s="243" t="s">
        <v>6</v>
      </c>
      <c r="AJ14" s="243" t="s">
        <v>6</v>
      </c>
      <c r="AK14" s="243" t="s">
        <v>6</v>
      </c>
      <c r="AL14" s="243" t="s">
        <v>6</v>
      </c>
      <c r="AM14" s="243" t="s">
        <v>6</v>
      </c>
      <c r="AN14" s="243" t="s">
        <v>6</v>
      </c>
      <c r="AO14" s="243" t="s">
        <v>6</v>
      </c>
      <c r="AP14" s="243" t="s">
        <v>6</v>
      </c>
      <c r="AQ14" s="243" t="s">
        <v>6</v>
      </c>
      <c r="AR14" s="243" t="s">
        <v>6</v>
      </c>
      <c r="AS14" s="243" t="s">
        <v>6</v>
      </c>
      <c r="AT14" s="243" t="s">
        <v>6</v>
      </c>
      <c r="AU14" s="243" t="s">
        <v>6</v>
      </c>
      <c r="AV14" s="243" t="s">
        <v>6</v>
      </c>
      <c r="AW14" s="243" t="s">
        <v>6</v>
      </c>
      <c r="AX14" s="243" t="s">
        <v>6</v>
      </c>
      <c r="AY14" s="243" t="s">
        <v>6</v>
      </c>
      <c r="AZ14" s="243" t="s">
        <v>6</v>
      </c>
      <c r="BA14" s="243" t="s">
        <v>6</v>
      </c>
      <c r="BB14" s="243" t="s">
        <v>6</v>
      </c>
      <c r="BC14" s="243" t="s">
        <v>6</v>
      </c>
      <c r="BD14" s="243" t="s">
        <v>6</v>
      </c>
      <c r="BE14" s="243" t="s">
        <v>6</v>
      </c>
      <c r="BF14" s="243" t="s">
        <v>6</v>
      </c>
      <c r="BG14" s="243" t="s">
        <v>6</v>
      </c>
      <c r="BH14" s="243" t="s">
        <v>6</v>
      </c>
      <c r="BI14" s="243" t="s">
        <v>6</v>
      </c>
      <c r="BJ14" s="243" t="s">
        <v>6</v>
      </c>
      <c r="BK14" s="243" t="s">
        <v>6</v>
      </c>
      <c r="BL14" s="243" t="s">
        <v>6</v>
      </c>
      <c r="BM14" s="243" t="s">
        <v>6</v>
      </c>
      <c r="BN14" s="243" t="s">
        <v>6</v>
      </c>
      <c r="BO14" s="243" t="s">
        <v>6</v>
      </c>
      <c r="BP14" s="243" t="s">
        <v>6</v>
      </c>
      <c r="BQ14" s="243" t="s">
        <v>6</v>
      </c>
      <c r="BR14" s="243" t="s">
        <v>6</v>
      </c>
      <c r="BS14" s="243" t="s">
        <v>6</v>
      </c>
      <c r="BT14" s="243" t="s">
        <v>6</v>
      </c>
      <c r="BU14" s="243" t="s">
        <v>6</v>
      </c>
      <c r="BV14" s="243" t="s">
        <v>6</v>
      </c>
      <c r="BW14" s="243" t="s">
        <v>6</v>
      </c>
      <c r="BX14" s="243" t="s">
        <v>6</v>
      </c>
      <c r="BY14" s="243" t="s">
        <v>6</v>
      </c>
      <c r="BZ14" s="243" t="s">
        <v>6</v>
      </c>
      <c r="CA14" s="243" t="s">
        <v>6</v>
      </c>
      <c r="CB14" s="243" t="s">
        <v>6</v>
      </c>
      <c r="CC14" s="243" t="s">
        <v>6</v>
      </c>
      <c r="CD14" s="243" t="s">
        <v>6</v>
      </c>
      <c r="CE14" s="243" t="s">
        <v>6</v>
      </c>
      <c r="CF14" s="243" t="s">
        <v>6</v>
      </c>
      <c r="CG14" s="243" t="s">
        <v>6</v>
      </c>
      <c r="CH14" s="243" t="s">
        <v>6</v>
      </c>
      <c r="CI14" s="243" t="s">
        <v>6</v>
      </c>
      <c r="CJ14" s="243" t="s">
        <v>6</v>
      </c>
      <c r="CK14" s="243" t="s">
        <v>6</v>
      </c>
      <c r="CL14" s="243" t="s">
        <v>6</v>
      </c>
      <c r="CM14" s="243" t="s">
        <v>6</v>
      </c>
      <c r="CN14" s="243" t="s">
        <v>6</v>
      </c>
      <c r="CO14" s="243" t="s">
        <v>6</v>
      </c>
      <c r="CP14" s="243" t="s">
        <v>6</v>
      </c>
      <c r="CQ14" s="243" t="s">
        <v>6</v>
      </c>
      <c r="CR14" s="243" t="s">
        <v>6</v>
      </c>
      <c r="CS14" s="243" t="s">
        <v>6</v>
      </c>
      <c r="CT14" s="243" t="s">
        <v>6</v>
      </c>
      <c r="CU14" s="243" t="s">
        <v>6</v>
      </c>
      <c r="CV14" s="243" t="s">
        <v>6</v>
      </c>
      <c r="CW14" s="243" t="s">
        <v>6</v>
      </c>
      <c r="CX14" s="243" t="s">
        <v>6</v>
      </c>
      <c r="CY14" s="243" t="s">
        <v>6</v>
      </c>
      <c r="CZ14" s="243" t="s">
        <v>6</v>
      </c>
      <c r="DA14" s="243" t="s">
        <v>6</v>
      </c>
      <c r="DB14" s="243" t="s">
        <v>6</v>
      </c>
      <c r="DC14" s="243" t="s">
        <v>6</v>
      </c>
      <c r="DD14" s="243" t="s">
        <v>6</v>
      </c>
      <c r="DE14" s="243" t="s">
        <v>6</v>
      </c>
      <c r="DF14" s="243" t="s">
        <v>6</v>
      </c>
      <c r="DG14" s="243" t="s">
        <v>6</v>
      </c>
      <c r="DH14" s="243" t="s">
        <v>6</v>
      </c>
      <c r="DI14" s="243" t="s">
        <v>6</v>
      </c>
      <c r="DJ14" s="243" t="s">
        <v>6</v>
      </c>
      <c r="DK14" s="243" t="s">
        <v>6</v>
      </c>
      <c r="DL14" s="243" t="s">
        <v>6</v>
      </c>
      <c r="DM14" s="243" t="s">
        <v>6</v>
      </c>
      <c r="DN14" s="243" t="s">
        <v>6</v>
      </c>
      <c r="DO14" s="243" t="s">
        <v>6</v>
      </c>
      <c r="DP14" s="243" t="s">
        <v>6</v>
      </c>
      <c r="DQ14" s="243" t="s">
        <v>6</v>
      </c>
      <c r="DR14" s="243" t="s">
        <v>6</v>
      </c>
      <c r="DS14" s="243" t="s">
        <v>6</v>
      </c>
      <c r="DT14" s="243" t="s">
        <v>6</v>
      </c>
      <c r="DU14" s="243" t="s">
        <v>6</v>
      </c>
      <c r="DV14" s="243" t="s">
        <v>6</v>
      </c>
      <c r="DW14" s="243" t="s">
        <v>6</v>
      </c>
      <c r="DX14" s="243" t="s">
        <v>6</v>
      </c>
      <c r="DY14" s="243" t="s">
        <v>6</v>
      </c>
      <c r="DZ14" s="243" t="s">
        <v>6</v>
      </c>
      <c r="EA14" s="243" t="s">
        <v>6</v>
      </c>
      <c r="EB14" s="243" t="s">
        <v>6</v>
      </c>
      <c r="EC14" s="243" t="s">
        <v>6</v>
      </c>
      <c r="ED14" s="243" t="s">
        <v>6</v>
      </c>
      <c r="EE14" s="243" t="s">
        <v>6</v>
      </c>
      <c r="EF14" s="243" t="s">
        <v>6</v>
      </c>
      <c r="EG14" s="243" t="s">
        <v>6</v>
      </c>
      <c r="EH14" s="243" t="s">
        <v>6</v>
      </c>
      <c r="EI14" s="243" t="s">
        <v>6</v>
      </c>
      <c r="EJ14" s="243" t="s">
        <v>6</v>
      </c>
      <c r="EK14" s="243" t="s">
        <v>6</v>
      </c>
      <c r="EL14" s="243" t="s">
        <v>6</v>
      </c>
      <c r="EM14" s="243" t="s">
        <v>6</v>
      </c>
      <c r="EN14" s="243" t="s">
        <v>6</v>
      </c>
      <c r="EO14" s="243" t="s">
        <v>6</v>
      </c>
      <c r="EP14" s="243" t="s">
        <v>6</v>
      </c>
      <c r="EQ14" s="243" t="s">
        <v>6</v>
      </c>
      <c r="ER14" s="243" t="s">
        <v>6</v>
      </c>
      <c r="ES14" s="243" t="s">
        <v>6</v>
      </c>
      <c r="ET14" s="243" t="s">
        <v>6</v>
      </c>
      <c r="EU14" s="243" t="s">
        <v>6</v>
      </c>
      <c r="EV14" s="243" t="s">
        <v>6</v>
      </c>
      <c r="EW14" s="243" t="s">
        <v>6</v>
      </c>
    </row>
    <row r="15" spans="1:153" ht="13.5">
      <c r="A15" s="277" t="s">
        <v>6</v>
      </c>
      <c r="B15" s="247" t="s">
        <v>6</v>
      </c>
      <c r="C15" s="244" t="s">
        <v>6</v>
      </c>
      <c r="D15" s="244" t="s">
        <v>6</v>
      </c>
      <c r="E15" s="244" t="s">
        <v>6</v>
      </c>
      <c r="F15" s="244" t="s">
        <v>6</v>
      </c>
      <c r="G15" s="244" t="s">
        <v>6</v>
      </c>
      <c r="H15" s="244" t="s">
        <v>6</v>
      </c>
      <c r="I15" s="244" t="s">
        <v>6</v>
      </c>
      <c r="J15" s="244" t="s">
        <v>6</v>
      </c>
      <c r="K15" s="243" t="s">
        <v>6</v>
      </c>
      <c r="L15" s="243" t="s">
        <v>6</v>
      </c>
      <c r="M15" s="243" t="s">
        <v>6</v>
      </c>
      <c r="N15" s="243" t="s">
        <v>6</v>
      </c>
      <c r="O15" s="243" t="s">
        <v>6</v>
      </c>
      <c r="P15" s="243" t="s">
        <v>6</v>
      </c>
      <c r="Q15" s="243" t="s">
        <v>6</v>
      </c>
      <c r="R15" s="243" t="s">
        <v>6</v>
      </c>
      <c r="S15" s="243" t="s">
        <v>6</v>
      </c>
      <c r="T15" s="243" t="s">
        <v>6</v>
      </c>
      <c r="U15" s="243" t="s">
        <v>6</v>
      </c>
      <c r="V15" s="243" t="s">
        <v>6</v>
      </c>
      <c r="W15" s="243" t="s">
        <v>6</v>
      </c>
      <c r="X15" s="243" t="s">
        <v>6</v>
      </c>
      <c r="Y15" s="243" t="s">
        <v>6</v>
      </c>
      <c r="Z15" s="243" t="s">
        <v>6</v>
      </c>
      <c r="AA15" s="243" t="s">
        <v>6</v>
      </c>
      <c r="AB15" s="243" t="s">
        <v>6</v>
      </c>
      <c r="AC15" s="243" t="s">
        <v>6</v>
      </c>
      <c r="AD15" s="243" t="s">
        <v>6</v>
      </c>
      <c r="AE15" s="243" t="s">
        <v>6</v>
      </c>
      <c r="AF15" s="243" t="s">
        <v>6</v>
      </c>
      <c r="AG15" s="243" t="s">
        <v>6</v>
      </c>
      <c r="AH15" s="243" t="s">
        <v>6</v>
      </c>
      <c r="AI15" s="243" t="s">
        <v>6</v>
      </c>
      <c r="AJ15" s="243" t="s">
        <v>6</v>
      </c>
      <c r="AK15" s="243" t="s">
        <v>6</v>
      </c>
      <c r="AL15" s="243" t="s">
        <v>6</v>
      </c>
      <c r="AM15" s="243" t="s">
        <v>6</v>
      </c>
      <c r="AN15" s="243" t="s">
        <v>6</v>
      </c>
      <c r="AO15" s="243" t="s">
        <v>6</v>
      </c>
      <c r="AP15" s="243" t="s">
        <v>6</v>
      </c>
      <c r="AQ15" s="243" t="s">
        <v>6</v>
      </c>
      <c r="AR15" s="243" t="s">
        <v>6</v>
      </c>
      <c r="AS15" s="243" t="s">
        <v>6</v>
      </c>
      <c r="AT15" s="243" t="s">
        <v>6</v>
      </c>
      <c r="AU15" s="243" t="s">
        <v>6</v>
      </c>
      <c r="AV15" s="243" t="s">
        <v>6</v>
      </c>
      <c r="AW15" s="243" t="s">
        <v>6</v>
      </c>
      <c r="AX15" s="243" t="s">
        <v>6</v>
      </c>
      <c r="AY15" s="243" t="s">
        <v>6</v>
      </c>
      <c r="AZ15" s="243" t="s">
        <v>6</v>
      </c>
      <c r="BA15" s="243" t="s">
        <v>6</v>
      </c>
      <c r="BB15" s="243" t="s">
        <v>6</v>
      </c>
      <c r="BC15" s="243" t="s">
        <v>6</v>
      </c>
      <c r="BD15" s="243" t="s">
        <v>6</v>
      </c>
      <c r="BE15" s="243" t="s">
        <v>6</v>
      </c>
      <c r="BF15" s="243" t="s">
        <v>6</v>
      </c>
      <c r="BG15" s="243" t="s">
        <v>6</v>
      </c>
      <c r="BH15" s="243" t="s">
        <v>6</v>
      </c>
      <c r="BI15" s="243" t="s">
        <v>6</v>
      </c>
      <c r="BJ15" s="243" t="s">
        <v>6</v>
      </c>
      <c r="BK15" s="243" t="s">
        <v>6</v>
      </c>
      <c r="BL15" s="243" t="s">
        <v>6</v>
      </c>
      <c r="BM15" s="243" t="s">
        <v>6</v>
      </c>
      <c r="BN15" s="243" t="s">
        <v>6</v>
      </c>
      <c r="BO15" s="243" t="s">
        <v>6</v>
      </c>
      <c r="BP15" s="243" t="s">
        <v>6</v>
      </c>
      <c r="BQ15" s="243" t="s">
        <v>6</v>
      </c>
      <c r="BR15" s="243" t="s">
        <v>6</v>
      </c>
      <c r="BS15" s="243" t="s">
        <v>6</v>
      </c>
      <c r="BT15" s="243" t="s">
        <v>6</v>
      </c>
      <c r="BU15" s="243" t="s">
        <v>6</v>
      </c>
      <c r="BV15" s="243" t="s">
        <v>6</v>
      </c>
      <c r="BW15" s="243" t="s">
        <v>6</v>
      </c>
      <c r="BX15" s="243" t="s">
        <v>6</v>
      </c>
      <c r="BY15" s="243" t="s">
        <v>6</v>
      </c>
      <c r="BZ15" s="243" t="s">
        <v>6</v>
      </c>
      <c r="CA15" s="243" t="s">
        <v>6</v>
      </c>
      <c r="CB15" s="243" t="s">
        <v>6</v>
      </c>
      <c r="CC15" s="243" t="s">
        <v>6</v>
      </c>
      <c r="CD15" s="243" t="s">
        <v>6</v>
      </c>
      <c r="CE15" s="243" t="s">
        <v>6</v>
      </c>
      <c r="CF15" s="243" t="s">
        <v>6</v>
      </c>
      <c r="CG15" s="243" t="s">
        <v>6</v>
      </c>
      <c r="CH15" s="243" t="s">
        <v>6</v>
      </c>
      <c r="CI15" s="243" t="s">
        <v>6</v>
      </c>
      <c r="CJ15" s="243" t="s">
        <v>6</v>
      </c>
      <c r="CK15" s="243" t="s">
        <v>6</v>
      </c>
      <c r="CL15" s="243" t="s">
        <v>6</v>
      </c>
      <c r="CM15" s="243" t="s">
        <v>6</v>
      </c>
      <c r="CN15" s="243" t="s">
        <v>6</v>
      </c>
      <c r="CO15" s="243" t="s">
        <v>6</v>
      </c>
      <c r="CP15" s="243" t="s">
        <v>6</v>
      </c>
      <c r="CQ15" s="243" t="s">
        <v>6</v>
      </c>
      <c r="CR15" s="243" t="s">
        <v>6</v>
      </c>
      <c r="CS15" s="243" t="s">
        <v>6</v>
      </c>
      <c r="CT15" s="243" t="s">
        <v>6</v>
      </c>
      <c r="CU15" s="243" t="s">
        <v>6</v>
      </c>
      <c r="CV15" s="243" t="s">
        <v>6</v>
      </c>
      <c r="CW15" s="243" t="s">
        <v>6</v>
      </c>
      <c r="CX15" s="243" t="s">
        <v>6</v>
      </c>
      <c r="CY15" s="243" t="s">
        <v>6</v>
      </c>
      <c r="CZ15" s="243" t="s">
        <v>6</v>
      </c>
      <c r="DA15" s="243" t="s">
        <v>6</v>
      </c>
      <c r="DB15" s="243" t="s">
        <v>6</v>
      </c>
      <c r="DC15" s="243" t="s">
        <v>6</v>
      </c>
      <c r="DD15" s="243" t="s">
        <v>6</v>
      </c>
      <c r="DE15" s="243" t="s">
        <v>6</v>
      </c>
      <c r="DF15" s="243" t="s">
        <v>6</v>
      </c>
      <c r="DG15" s="243" t="s">
        <v>6</v>
      </c>
      <c r="DH15" s="243" t="s">
        <v>6</v>
      </c>
      <c r="DI15" s="243" t="s">
        <v>6</v>
      </c>
      <c r="DJ15" s="243" t="s">
        <v>6</v>
      </c>
      <c r="DK15" s="243" t="s">
        <v>6</v>
      </c>
      <c r="DL15" s="243" t="s">
        <v>6</v>
      </c>
      <c r="DM15" s="243" t="s">
        <v>6</v>
      </c>
      <c r="DN15" s="243" t="s">
        <v>6</v>
      </c>
      <c r="DO15" s="243" t="s">
        <v>6</v>
      </c>
      <c r="DP15" s="243" t="s">
        <v>6</v>
      </c>
      <c r="DQ15" s="243" t="s">
        <v>6</v>
      </c>
      <c r="DR15" s="243" t="s">
        <v>6</v>
      </c>
      <c r="DS15" s="243" t="s">
        <v>6</v>
      </c>
      <c r="DT15" s="243" t="s">
        <v>6</v>
      </c>
      <c r="DU15" s="243" t="s">
        <v>6</v>
      </c>
      <c r="DV15" s="243" t="s">
        <v>6</v>
      </c>
      <c r="DW15" s="243" t="s">
        <v>6</v>
      </c>
      <c r="DX15" s="243" t="s">
        <v>6</v>
      </c>
      <c r="DY15" s="243" t="s">
        <v>6</v>
      </c>
      <c r="DZ15" s="243" t="s">
        <v>6</v>
      </c>
      <c r="EA15" s="243" t="s">
        <v>6</v>
      </c>
      <c r="EB15" s="243" t="s">
        <v>6</v>
      </c>
      <c r="EC15" s="243" t="s">
        <v>6</v>
      </c>
      <c r="ED15" s="243" t="s">
        <v>6</v>
      </c>
      <c r="EE15" s="243" t="s">
        <v>6</v>
      </c>
      <c r="EF15" s="243" t="s">
        <v>6</v>
      </c>
      <c r="EG15" s="243" t="s">
        <v>6</v>
      </c>
      <c r="EH15" s="243" t="s">
        <v>6</v>
      </c>
      <c r="EI15" s="243" t="s">
        <v>6</v>
      </c>
      <c r="EJ15" s="243" t="s">
        <v>6</v>
      </c>
      <c r="EK15" s="243" t="s">
        <v>6</v>
      </c>
      <c r="EL15" s="243" t="s">
        <v>6</v>
      </c>
      <c r="EM15" s="243" t="s">
        <v>6</v>
      </c>
      <c r="EN15" s="243" t="s">
        <v>6</v>
      </c>
      <c r="EO15" s="243" t="s">
        <v>6</v>
      </c>
      <c r="EP15" s="243" t="s">
        <v>6</v>
      </c>
      <c r="EQ15" s="243" t="s">
        <v>6</v>
      </c>
      <c r="ER15" s="243" t="s">
        <v>6</v>
      </c>
      <c r="ES15" s="243" t="s">
        <v>6</v>
      </c>
      <c r="ET15" s="243" t="s">
        <v>6</v>
      </c>
      <c r="EU15" s="243" t="s">
        <v>6</v>
      </c>
      <c r="EV15" s="243" t="s">
        <v>6</v>
      </c>
      <c r="EW15" s="243" t="s">
        <v>6</v>
      </c>
    </row>
    <row r="16" spans="1:153" ht="13.5">
      <c r="A16" s="277" t="s">
        <v>6</v>
      </c>
      <c r="B16" s="247" t="s">
        <v>6</v>
      </c>
      <c r="C16" s="244" t="s">
        <v>155</v>
      </c>
      <c r="D16" s="244"/>
      <c r="E16" s="244" t="s">
        <v>6</v>
      </c>
      <c r="F16" s="233">
        <v>1</v>
      </c>
      <c r="G16" s="244" t="s">
        <v>156</v>
      </c>
      <c r="H16" s="268">
        <v>997.74099999999999</v>
      </c>
      <c r="I16" s="244" t="s">
        <v>6</v>
      </c>
      <c r="J16" s="268" t="s">
        <v>174</v>
      </c>
      <c r="K16" s="243" t="s">
        <v>6</v>
      </c>
      <c r="L16" s="243" t="s">
        <v>6</v>
      </c>
      <c r="M16" s="243" t="s">
        <v>6</v>
      </c>
      <c r="N16" s="243" t="s">
        <v>6</v>
      </c>
      <c r="O16" s="243" t="s">
        <v>6</v>
      </c>
      <c r="P16" s="243" t="s">
        <v>6</v>
      </c>
      <c r="Q16" s="243" t="s">
        <v>6</v>
      </c>
      <c r="R16" s="243" t="s">
        <v>6</v>
      </c>
      <c r="S16" s="243" t="s">
        <v>6</v>
      </c>
      <c r="T16" s="243" t="s">
        <v>6</v>
      </c>
      <c r="U16" s="243" t="s">
        <v>6</v>
      </c>
      <c r="V16" s="243" t="s">
        <v>6</v>
      </c>
      <c r="W16" s="243" t="s">
        <v>6</v>
      </c>
      <c r="X16" s="243" t="s">
        <v>6</v>
      </c>
      <c r="Y16" s="243" t="s">
        <v>6</v>
      </c>
      <c r="Z16" s="243" t="s">
        <v>6</v>
      </c>
      <c r="AA16" s="243" t="s">
        <v>6</v>
      </c>
      <c r="AB16" s="243" t="s">
        <v>6</v>
      </c>
      <c r="AC16" s="243" t="s">
        <v>6</v>
      </c>
      <c r="AD16" s="243" t="s">
        <v>6</v>
      </c>
      <c r="AE16" s="243" t="s">
        <v>6</v>
      </c>
      <c r="AF16" s="243" t="s">
        <v>6</v>
      </c>
      <c r="AG16" s="243" t="s">
        <v>6</v>
      </c>
      <c r="AH16" s="243" t="s">
        <v>6</v>
      </c>
      <c r="AI16" s="243" t="s">
        <v>6</v>
      </c>
      <c r="AJ16" s="243" t="s">
        <v>6</v>
      </c>
      <c r="AK16" s="243" t="s">
        <v>6</v>
      </c>
      <c r="AL16" s="243" t="s">
        <v>6</v>
      </c>
      <c r="AM16" s="243" t="s">
        <v>6</v>
      </c>
      <c r="AN16" s="243" t="s">
        <v>6</v>
      </c>
      <c r="AO16" s="243" t="s">
        <v>6</v>
      </c>
      <c r="AP16" s="243" t="s">
        <v>6</v>
      </c>
      <c r="AQ16" s="243" t="s">
        <v>6</v>
      </c>
      <c r="AR16" s="243" t="s">
        <v>6</v>
      </c>
      <c r="AS16" s="243" t="s">
        <v>6</v>
      </c>
      <c r="AT16" s="243" t="s">
        <v>6</v>
      </c>
      <c r="AU16" s="243" t="s">
        <v>6</v>
      </c>
      <c r="AV16" s="243" t="s">
        <v>6</v>
      </c>
      <c r="AW16" s="243" t="s">
        <v>6</v>
      </c>
      <c r="AX16" s="243" t="s">
        <v>6</v>
      </c>
      <c r="AY16" s="243" t="s">
        <v>6</v>
      </c>
      <c r="AZ16" s="243" t="s">
        <v>6</v>
      </c>
      <c r="BA16" s="243" t="s">
        <v>6</v>
      </c>
      <c r="BB16" s="243" t="s">
        <v>6</v>
      </c>
      <c r="BC16" s="243" t="s">
        <v>6</v>
      </c>
      <c r="BD16" s="243" t="s">
        <v>6</v>
      </c>
      <c r="BE16" s="243" t="s">
        <v>6</v>
      </c>
      <c r="BF16" s="243" t="s">
        <v>6</v>
      </c>
      <c r="BG16" s="243" t="s">
        <v>6</v>
      </c>
      <c r="BH16" s="243" t="s">
        <v>6</v>
      </c>
      <c r="BI16" s="243" t="s">
        <v>6</v>
      </c>
      <c r="BJ16" s="243" t="s">
        <v>6</v>
      </c>
      <c r="BK16" s="243" t="s">
        <v>6</v>
      </c>
      <c r="BL16" s="243" t="s">
        <v>6</v>
      </c>
      <c r="BM16" s="243" t="s">
        <v>6</v>
      </c>
      <c r="BN16" s="243" t="s">
        <v>6</v>
      </c>
      <c r="BO16" s="243" t="s">
        <v>6</v>
      </c>
      <c r="BP16" s="243" t="s">
        <v>6</v>
      </c>
      <c r="BQ16" s="243" t="s">
        <v>6</v>
      </c>
      <c r="BR16" s="243" t="s">
        <v>6</v>
      </c>
      <c r="BS16" s="243" t="s">
        <v>6</v>
      </c>
      <c r="BT16" s="243" t="s">
        <v>6</v>
      </c>
      <c r="BU16" s="243" t="s">
        <v>6</v>
      </c>
      <c r="BV16" s="243" t="s">
        <v>6</v>
      </c>
      <c r="BW16" s="243" t="s">
        <v>6</v>
      </c>
      <c r="BX16" s="243" t="s">
        <v>6</v>
      </c>
      <c r="BY16" s="243" t="s">
        <v>6</v>
      </c>
      <c r="BZ16" s="243" t="s">
        <v>6</v>
      </c>
      <c r="CA16" s="243" t="s">
        <v>6</v>
      </c>
      <c r="CB16" s="243" t="s">
        <v>6</v>
      </c>
      <c r="CC16" s="243" t="s">
        <v>6</v>
      </c>
      <c r="CD16" s="243" t="s">
        <v>6</v>
      </c>
      <c r="CE16" s="243" t="s">
        <v>6</v>
      </c>
      <c r="CF16" s="243" t="s">
        <v>6</v>
      </c>
      <c r="CG16" s="243" t="s">
        <v>6</v>
      </c>
      <c r="CH16" s="243" t="s">
        <v>6</v>
      </c>
      <c r="CI16" s="243" t="s">
        <v>6</v>
      </c>
      <c r="CJ16" s="243" t="s">
        <v>6</v>
      </c>
      <c r="CK16" s="243" t="s">
        <v>6</v>
      </c>
      <c r="CL16" s="243" t="s">
        <v>6</v>
      </c>
      <c r="CM16" s="243" t="s">
        <v>6</v>
      </c>
      <c r="CN16" s="243" t="s">
        <v>6</v>
      </c>
      <c r="CO16" s="243" t="s">
        <v>6</v>
      </c>
      <c r="CP16" s="243" t="s">
        <v>6</v>
      </c>
      <c r="CQ16" s="243" t="s">
        <v>6</v>
      </c>
      <c r="CR16" s="243" t="s">
        <v>6</v>
      </c>
      <c r="CS16" s="243" t="s">
        <v>6</v>
      </c>
      <c r="CT16" s="243" t="s">
        <v>6</v>
      </c>
      <c r="CU16" s="243" t="s">
        <v>6</v>
      </c>
      <c r="CV16" s="243" t="s">
        <v>6</v>
      </c>
      <c r="CW16" s="243" t="s">
        <v>6</v>
      </c>
      <c r="CX16" s="243" t="s">
        <v>6</v>
      </c>
      <c r="CY16" s="243" t="s">
        <v>6</v>
      </c>
      <c r="CZ16" s="243" t="s">
        <v>6</v>
      </c>
      <c r="DA16" s="243" t="s">
        <v>6</v>
      </c>
      <c r="DB16" s="243" t="s">
        <v>6</v>
      </c>
      <c r="DC16" s="243" t="s">
        <v>6</v>
      </c>
      <c r="DD16" s="243" t="s">
        <v>6</v>
      </c>
      <c r="DE16" s="243" t="s">
        <v>6</v>
      </c>
      <c r="DF16" s="243" t="s">
        <v>6</v>
      </c>
      <c r="DG16" s="243" t="s">
        <v>6</v>
      </c>
      <c r="DH16" s="243" t="s">
        <v>6</v>
      </c>
      <c r="DI16" s="243" t="s">
        <v>6</v>
      </c>
      <c r="DJ16" s="243" t="s">
        <v>6</v>
      </c>
      <c r="DK16" s="243" t="s">
        <v>6</v>
      </c>
      <c r="DL16" s="243" t="s">
        <v>6</v>
      </c>
      <c r="DM16" s="243" t="s">
        <v>6</v>
      </c>
      <c r="DN16" s="243" t="s">
        <v>6</v>
      </c>
      <c r="DO16" s="243" t="s">
        <v>6</v>
      </c>
      <c r="DP16" s="243" t="s">
        <v>6</v>
      </c>
      <c r="DQ16" s="243" t="s">
        <v>6</v>
      </c>
      <c r="DR16" s="243" t="s">
        <v>6</v>
      </c>
      <c r="DS16" s="243" t="s">
        <v>6</v>
      </c>
      <c r="DT16" s="243" t="s">
        <v>6</v>
      </c>
      <c r="DU16" s="243" t="s">
        <v>6</v>
      </c>
      <c r="DV16" s="243" t="s">
        <v>6</v>
      </c>
      <c r="DW16" s="243" t="s">
        <v>6</v>
      </c>
      <c r="DX16" s="243" t="s">
        <v>6</v>
      </c>
      <c r="DY16" s="243" t="s">
        <v>6</v>
      </c>
      <c r="DZ16" s="243" t="s">
        <v>6</v>
      </c>
      <c r="EA16" s="243" t="s">
        <v>6</v>
      </c>
      <c r="EB16" s="243" t="s">
        <v>6</v>
      </c>
      <c r="EC16" s="243" t="s">
        <v>6</v>
      </c>
      <c r="ED16" s="243" t="s">
        <v>6</v>
      </c>
      <c r="EE16" s="243" t="s">
        <v>6</v>
      </c>
      <c r="EF16" s="243" t="s">
        <v>6</v>
      </c>
      <c r="EG16" s="243" t="s">
        <v>6</v>
      </c>
      <c r="EH16" s="243" t="s">
        <v>6</v>
      </c>
      <c r="EI16" s="243" t="s">
        <v>6</v>
      </c>
      <c r="EJ16" s="243" t="s">
        <v>6</v>
      </c>
      <c r="EK16" s="243" t="s">
        <v>6</v>
      </c>
      <c r="EL16" s="243" t="s">
        <v>6</v>
      </c>
      <c r="EM16" s="243" t="s">
        <v>6</v>
      </c>
      <c r="EN16" s="243" t="s">
        <v>6</v>
      </c>
      <c r="EO16" s="243" t="s">
        <v>6</v>
      </c>
      <c r="EP16" s="243" t="s">
        <v>6</v>
      </c>
      <c r="EQ16" s="243" t="s">
        <v>6</v>
      </c>
      <c r="ER16" s="243" t="s">
        <v>6</v>
      </c>
      <c r="ES16" s="243" t="s">
        <v>6</v>
      </c>
      <c r="ET16" s="243" t="s">
        <v>6</v>
      </c>
      <c r="EU16" s="243" t="s">
        <v>6</v>
      </c>
      <c r="EV16" s="243" t="s">
        <v>6</v>
      </c>
      <c r="EW16" s="243" t="s">
        <v>6</v>
      </c>
    </row>
    <row r="17" spans="1:153" ht="13.5">
      <c r="A17" s="277" t="s">
        <v>6</v>
      </c>
      <c r="B17" s="247" t="s">
        <v>6</v>
      </c>
      <c r="C17" s="244" t="s">
        <v>6</v>
      </c>
      <c r="D17" s="244" t="s">
        <v>6</v>
      </c>
      <c r="E17" s="244" t="s">
        <v>6</v>
      </c>
      <c r="F17" s="244" t="s">
        <v>6</v>
      </c>
      <c r="G17" s="244" t="s">
        <v>6</v>
      </c>
      <c r="H17" s="244" t="s">
        <v>6</v>
      </c>
      <c r="I17" s="244" t="s">
        <v>6</v>
      </c>
      <c r="J17" s="244" t="s">
        <v>6</v>
      </c>
      <c r="K17" s="243" t="s">
        <v>6</v>
      </c>
      <c r="L17" s="243" t="s">
        <v>6</v>
      </c>
      <c r="M17" s="243" t="s">
        <v>6</v>
      </c>
      <c r="N17" s="243" t="s">
        <v>6</v>
      </c>
      <c r="O17" s="243" t="s">
        <v>6</v>
      </c>
      <c r="P17" s="243" t="s">
        <v>6</v>
      </c>
      <c r="Q17" s="243" t="s">
        <v>6</v>
      </c>
      <c r="R17" s="243" t="s">
        <v>6</v>
      </c>
      <c r="S17" s="243" t="s">
        <v>6</v>
      </c>
      <c r="T17" s="243" t="s">
        <v>6</v>
      </c>
      <c r="U17" s="243" t="s">
        <v>6</v>
      </c>
      <c r="V17" s="243" t="s">
        <v>6</v>
      </c>
      <c r="W17" s="243" t="s">
        <v>6</v>
      </c>
      <c r="X17" s="243" t="s">
        <v>6</v>
      </c>
      <c r="Y17" s="243" t="s">
        <v>6</v>
      </c>
      <c r="Z17" s="243" t="s">
        <v>6</v>
      </c>
      <c r="AA17" s="243" t="s">
        <v>6</v>
      </c>
      <c r="AB17" s="243" t="s">
        <v>6</v>
      </c>
      <c r="AC17" s="243" t="s">
        <v>6</v>
      </c>
      <c r="AD17" s="243" t="s">
        <v>6</v>
      </c>
      <c r="AE17" s="243" t="s">
        <v>6</v>
      </c>
      <c r="AF17" s="243" t="s">
        <v>6</v>
      </c>
      <c r="AG17" s="243" t="s">
        <v>6</v>
      </c>
      <c r="AH17" s="243" t="s">
        <v>6</v>
      </c>
      <c r="AI17" s="243" t="s">
        <v>6</v>
      </c>
      <c r="AJ17" s="243" t="s">
        <v>6</v>
      </c>
      <c r="AK17" s="243" t="s">
        <v>6</v>
      </c>
      <c r="AL17" s="243" t="s">
        <v>6</v>
      </c>
      <c r="AM17" s="243" t="s">
        <v>6</v>
      </c>
      <c r="AN17" s="243" t="s">
        <v>6</v>
      </c>
      <c r="AO17" s="243" t="s">
        <v>6</v>
      </c>
      <c r="AP17" s="243" t="s">
        <v>6</v>
      </c>
      <c r="AQ17" s="243" t="s">
        <v>6</v>
      </c>
      <c r="AR17" s="243" t="s">
        <v>6</v>
      </c>
      <c r="AS17" s="243" t="s">
        <v>6</v>
      </c>
      <c r="AT17" s="243" t="s">
        <v>6</v>
      </c>
      <c r="AU17" s="243" t="s">
        <v>6</v>
      </c>
      <c r="AV17" s="243" t="s">
        <v>6</v>
      </c>
      <c r="AW17" s="243" t="s">
        <v>6</v>
      </c>
      <c r="AX17" s="243" t="s">
        <v>6</v>
      </c>
      <c r="AY17" s="243" t="s">
        <v>6</v>
      </c>
      <c r="AZ17" s="243" t="s">
        <v>6</v>
      </c>
      <c r="BA17" s="243" t="s">
        <v>6</v>
      </c>
      <c r="BB17" s="243" t="s">
        <v>6</v>
      </c>
      <c r="BC17" s="243" t="s">
        <v>6</v>
      </c>
      <c r="BD17" s="243" t="s">
        <v>6</v>
      </c>
      <c r="BE17" s="243" t="s">
        <v>6</v>
      </c>
      <c r="BF17" s="243" t="s">
        <v>6</v>
      </c>
      <c r="BG17" s="243" t="s">
        <v>6</v>
      </c>
      <c r="BH17" s="243" t="s">
        <v>6</v>
      </c>
      <c r="BI17" s="243" t="s">
        <v>6</v>
      </c>
      <c r="BJ17" s="243" t="s">
        <v>6</v>
      </c>
      <c r="BK17" s="243" t="s">
        <v>6</v>
      </c>
      <c r="BL17" s="243" t="s">
        <v>6</v>
      </c>
      <c r="BM17" s="243" t="s">
        <v>6</v>
      </c>
      <c r="BN17" s="243" t="s">
        <v>6</v>
      </c>
      <c r="BO17" s="243" t="s">
        <v>6</v>
      </c>
      <c r="BP17" s="243" t="s">
        <v>6</v>
      </c>
      <c r="BQ17" s="243" t="s">
        <v>6</v>
      </c>
      <c r="BR17" s="243" t="s">
        <v>6</v>
      </c>
      <c r="BS17" s="243" t="s">
        <v>6</v>
      </c>
      <c r="BT17" s="243" t="s">
        <v>6</v>
      </c>
      <c r="BU17" s="243" t="s">
        <v>6</v>
      </c>
      <c r="BV17" s="243" t="s">
        <v>6</v>
      </c>
      <c r="BW17" s="243" t="s">
        <v>6</v>
      </c>
      <c r="BX17" s="243" t="s">
        <v>6</v>
      </c>
      <c r="BY17" s="243" t="s">
        <v>6</v>
      </c>
      <c r="BZ17" s="243" t="s">
        <v>6</v>
      </c>
      <c r="CA17" s="243" t="s">
        <v>6</v>
      </c>
      <c r="CB17" s="243" t="s">
        <v>6</v>
      </c>
      <c r="CC17" s="243" t="s">
        <v>6</v>
      </c>
      <c r="CD17" s="243" t="s">
        <v>6</v>
      </c>
      <c r="CE17" s="243" t="s">
        <v>6</v>
      </c>
      <c r="CF17" s="243" t="s">
        <v>6</v>
      </c>
      <c r="CG17" s="243" t="s">
        <v>6</v>
      </c>
      <c r="CH17" s="243" t="s">
        <v>6</v>
      </c>
      <c r="CI17" s="243" t="s">
        <v>6</v>
      </c>
      <c r="CJ17" s="243" t="s">
        <v>6</v>
      </c>
      <c r="CK17" s="243" t="s">
        <v>6</v>
      </c>
      <c r="CL17" s="243" t="s">
        <v>6</v>
      </c>
      <c r="CM17" s="243" t="s">
        <v>6</v>
      </c>
      <c r="CN17" s="243" t="s">
        <v>6</v>
      </c>
      <c r="CO17" s="243" t="s">
        <v>6</v>
      </c>
      <c r="CP17" s="243" t="s">
        <v>6</v>
      </c>
      <c r="CQ17" s="243" t="s">
        <v>6</v>
      </c>
      <c r="CR17" s="243" t="s">
        <v>6</v>
      </c>
      <c r="CS17" s="243" t="s">
        <v>6</v>
      </c>
      <c r="CT17" s="243" t="s">
        <v>6</v>
      </c>
      <c r="CU17" s="243" t="s">
        <v>6</v>
      </c>
      <c r="CV17" s="243" t="s">
        <v>6</v>
      </c>
      <c r="CW17" s="243" t="s">
        <v>6</v>
      </c>
      <c r="CX17" s="243" t="s">
        <v>6</v>
      </c>
      <c r="CY17" s="243" t="s">
        <v>6</v>
      </c>
      <c r="CZ17" s="243" t="s">
        <v>6</v>
      </c>
      <c r="DA17" s="243" t="s">
        <v>6</v>
      </c>
      <c r="DB17" s="243" t="s">
        <v>6</v>
      </c>
      <c r="DC17" s="243" t="s">
        <v>6</v>
      </c>
      <c r="DD17" s="243" t="s">
        <v>6</v>
      </c>
      <c r="DE17" s="243" t="s">
        <v>6</v>
      </c>
      <c r="DF17" s="243" t="s">
        <v>6</v>
      </c>
      <c r="DG17" s="243" t="s">
        <v>6</v>
      </c>
      <c r="DH17" s="243" t="s">
        <v>6</v>
      </c>
      <c r="DI17" s="243" t="s">
        <v>6</v>
      </c>
      <c r="DJ17" s="243" t="s">
        <v>6</v>
      </c>
      <c r="DK17" s="243" t="s">
        <v>6</v>
      </c>
      <c r="DL17" s="243" t="s">
        <v>6</v>
      </c>
      <c r="DM17" s="243" t="s">
        <v>6</v>
      </c>
      <c r="DN17" s="243" t="s">
        <v>6</v>
      </c>
      <c r="DO17" s="243" t="s">
        <v>6</v>
      </c>
      <c r="DP17" s="243" t="s">
        <v>6</v>
      </c>
      <c r="DQ17" s="243" t="s">
        <v>6</v>
      </c>
      <c r="DR17" s="243" t="s">
        <v>6</v>
      </c>
      <c r="DS17" s="243" t="s">
        <v>6</v>
      </c>
      <c r="DT17" s="243" t="s">
        <v>6</v>
      </c>
      <c r="DU17" s="243" t="s">
        <v>6</v>
      </c>
      <c r="DV17" s="243" t="s">
        <v>6</v>
      </c>
      <c r="DW17" s="243" t="s">
        <v>6</v>
      </c>
      <c r="DX17" s="243" t="s">
        <v>6</v>
      </c>
      <c r="DY17" s="243" t="s">
        <v>6</v>
      </c>
      <c r="DZ17" s="243" t="s">
        <v>6</v>
      </c>
      <c r="EA17" s="243" t="s">
        <v>6</v>
      </c>
      <c r="EB17" s="243" t="s">
        <v>6</v>
      </c>
      <c r="EC17" s="243" t="s">
        <v>6</v>
      </c>
      <c r="ED17" s="243" t="s">
        <v>6</v>
      </c>
      <c r="EE17" s="243" t="s">
        <v>6</v>
      </c>
      <c r="EF17" s="243" t="s">
        <v>6</v>
      </c>
      <c r="EG17" s="243" t="s">
        <v>6</v>
      </c>
      <c r="EH17" s="243" t="s">
        <v>6</v>
      </c>
      <c r="EI17" s="243" t="s">
        <v>6</v>
      </c>
      <c r="EJ17" s="243" t="s">
        <v>6</v>
      </c>
      <c r="EK17" s="243" t="s">
        <v>6</v>
      </c>
      <c r="EL17" s="243" t="s">
        <v>6</v>
      </c>
      <c r="EM17" s="243" t="s">
        <v>6</v>
      </c>
      <c r="EN17" s="243" t="s">
        <v>6</v>
      </c>
      <c r="EO17" s="243" t="s">
        <v>6</v>
      </c>
      <c r="EP17" s="243" t="s">
        <v>6</v>
      </c>
      <c r="EQ17" s="243" t="s">
        <v>6</v>
      </c>
      <c r="ER17" s="243" t="s">
        <v>6</v>
      </c>
      <c r="ES17" s="243" t="s">
        <v>6</v>
      </c>
      <c r="ET17" s="243" t="s">
        <v>6</v>
      </c>
      <c r="EU17" s="243" t="s">
        <v>6</v>
      </c>
      <c r="EV17" s="243" t="s">
        <v>6</v>
      </c>
      <c r="EW17" s="243" t="s">
        <v>6</v>
      </c>
    </row>
    <row r="18" spans="1:153" ht="13.5">
      <c r="A18" s="277" t="s">
        <v>6</v>
      </c>
      <c r="B18" s="247" t="s">
        <v>6</v>
      </c>
      <c r="C18" s="244" t="s">
        <v>157</v>
      </c>
      <c r="D18" s="244"/>
      <c r="E18" s="244" t="s">
        <v>6</v>
      </c>
      <c r="F18" s="233">
        <v>1</v>
      </c>
      <c r="G18" s="244" t="s">
        <v>156</v>
      </c>
      <c r="H18" s="268">
        <v>51.427</v>
      </c>
      <c r="I18" s="244" t="s">
        <v>6</v>
      </c>
      <c r="J18" s="268">
        <v>539.08900000000006</v>
      </c>
      <c r="K18" s="243" t="s">
        <v>6</v>
      </c>
      <c r="L18" s="243" t="s">
        <v>6</v>
      </c>
      <c r="M18" s="243" t="s">
        <v>6</v>
      </c>
      <c r="N18" s="243" t="s">
        <v>6</v>
      </c>
      <c r="O18" s="243" t="s">
        <v>6</v>
      </c>
      <c r="P18" s="243" t="s">
        <v>6</v>
      </c>
      <c r="Q18" s="243" t="s">
        <v>6</v>
      </c>
      <c r="R18" s="243" t="s">
        <v>6</v>
      </c>
      <c r="S18" s="243" t="s">
        <v>6</v>
      </c>
      <c r="T18" s="243" t="s">
        <v>6</v>
      </c>
      <c r="U18" s="243" t="s">
        <v>6</v>
      </c>
      <c r="V18" s="243" t="s">
        <v>6</v>
      </c>
      <c r="W18" s="243" t="s">
        <v>6</v>
      </c>
      <c r="X18" s="243" t="s">
        <v>6</v>
      </c>
      <c r="Y18" s="243" t="s">
        <v>6</v>
      </c>
      <c r="Z18" s="243" t="s">
        <v>6</v>
      </c>
      <c r="AA18" s="243" t="s">
        <v>6</v>
      </c>
      <c r="AB18" s="243" t="s">
        <v>6</v>
      </c>
      <c r="AC18" s="243" t="s">
        <v>6</v>
      </c>
      <c r="AD18" s="243" t="s">
        <v>6</v>
      </c>
      <c r="AE18" s="243" t="s">
        <v>6</v>
      </c>
      <c r="AF18" s="243" t="s">
        <v>6</v>
      </c>
      <c r="AG18" s="243" t="s">
        <v>6</v>
      </c>
      <c r="AH18" s="243" t="s">
        <v>6</v>
      </c>
      <c r="AI18" s="243" t="s">
        <v>6</v>
      </c>
      <c r="AJ18" s="243" t="s">
        <v>6</v>
      </c>
      <c r="AK18" s="243" t="s">
        <v>6</v>
      </c>
      <c r="AL18" s="243" t="s">
        <v>6</v>
      </c>
      <c r="AM18" s="243" t="s">
        <v>6</v>
      </c>
      <c r="AN18" s="243" t="s">
        <v>6</v>
      </c>
      <c r="AO18" s="243" t="s">
        <v>6</v>
      </c>
      <c r="AP18" s="243" t="s">
        <v>6</v>
      </c>
      <c r="AQ18" s="243" t="s">
        <v>6</v>
      </c>
      <c r="AR18" s="243" t="s">
        <v>6</v>
      </c>
      <c r="AS18" s="243" t="s">
        <v>6</v>
      </c>
      <c r="AT18" s="243" t="s">
        <v>6</v>
      </c>
      <c r="AU18" s="243" t="s">
        <v>6</v>
      </c>
      <c r="AV18" s="243" t="s">
        <v>6</v>
      </c>
      <c r="AW18" s="243" t="s">
        <v>6</v>
      </c>
      <c r="AX18" s="243" t="s">
        <v>6</v>
      </c>
      <c r="AY18" s="243" t="s">
        <v>6</v>
      </c>
      <c r="AZ18" s="243" t="s">
        <v>6</v>
      </c>
      <c r="BA18" s="243" t="s">
        <v>6</v>
      </c>
      <c r="BB18" s="243" t="s">
        <v>6</v>
      </c>
      <c r="BC18" s="243" t="s">
        <v>6</v>
      </c>
      <c r="BD18" s="243" t="s">
        <v>6</v>
      </c>
      <c r="BE18" s="243" t="s">
        <v>6</v>
      </c>
      <c r="BF18" s="243" t="s">
        <v>6</v>
      </c>
      <c r="BG18" s="243" t="s">
        <v>6</v>
      </c>
      <c r="BH18" s="243" t="s">
        <v>6</v>
      </c>
      <c r="BI18" s="243" t="s">
        <v>6</v>
      </c>
      <c r="BJ18" s="243" t="s">
        <v>6</v>
      </c>
      <c r="BK18" s="243" t="s">
        <v>6</v>
      </c>
      <c r="BL18" s="243" t="s">
        <v>6</v>
      </c>
      <c r="BM18" s="243" t="s">
        <v>6</v>
      </c>
      <c r="BN18" s="243" t="s">
        <v>6</v>
      </c>
      <c r="BO18" s="243" t="s">
        <v>6</v>
      </c>
      <c r="BP18" s="243" t="s">
        <v>6</v>
      </c>
      <c r="BQ18" s="243" t="s">
        <v>6</v>
      </c>
      <c r="BR18" s="243" t="s">
        <v>6</v>
      </c>
      <c r="BS18" s="243" t="s">
        <v>6</v>
      </c>
      <c r="BT18" s="243" t="s">
        <v>6</v>
      </c>
      <c r="BU18" s="243" t="s">
        <v>6</v>
      </c>
      <c r="BV18" s="243" t="s">
        <v>6</v>
      </c>
      <c r="BW18" s="243" t="s">
        <v>6</v>
      </c>
      <c r="BX18" s="243" t="s">
        <v>6</v>
      </c>
      <c r="BY18" s="243" t="s">
        <v>6</v>
      </c>
      <c r="BZ18" s="243" t="s">
        <v>6</v>
      </c>
      <c r="CA18" s="243" t="s">
        <v>6</v>
      </c>
      <c r="CB18" s="243" t="s">
        <v>6</v>
      </c>
      <c r="CC18" s="243" t="s">
        <v>6</v>
      </c>
      <c r="CD18" s="243" t="s">
        <v>6</v>
      </c>
      <c r="CE18" s="243" t="s">
        <v>6</v>
      </c>
      <c r="CF18" s="243" t="s">
        <v>6</v>
      </c>
      <c r="CG18" s="243" t="s">
        <v>6</v>
      </c>
      <c r="CH18" s="243" t="s">
        <v>6</v>
      </c>
      <c r="CI18" s="243" t="s">
        <v>6</v>
      </c>
      <c r="CJ18" s="243" t="s">
        <v>6</v>
      </c>
      <c r="CK18" s="243" t="s">
        <v>6</v>
      </c>
      <c r="CL18" s="243" t="s">
        <v>6</v>
      </c>
      <c r="CM18" s="243" t="s">
        <v>6</v>
      </c>
      <c r="CN18" s="243" t="s">
        <v>6</v>
      </c>
      <c r="CO18" s="243" t="s">
        <v>6</v>
      </c>
      <c r="CP18" s="243" t="s">
        <v>6</v>
      </c>
      <c r="CQ18" s="243" t="s">
        <v>6</v>
      </c>
      <c r="CR18" s="243" t="s">
        <v>6</v>
      </c>
      <c r="CS18" s="243" t="s">
        <v>6</v>
      </c>
      <c r="CT18" s="243" t="s">
        <v>6</v>
      </c>
      <c r="CU18" s="243" t="s">
        <v>6</v>
      </c>
      <c r="CV18" s="243" t="s">
        <v>6</v>
      </c>
      <c r="CW18" s="243" t="s">
        <v>6</v>
      </c>
      <c r="CX18" s="243" t="s">
        <v>6</v>
      </c>
      <c r="CY18" s="243" t="s">
        <v>6</v>
      </c>
      <c r="CZ18" s="243" t="s">
        <v>6</v>
      </c>
      <c r="DA18" s="243" t="s">
        <v>6</v>
      </c>
      <c r="DB18" s="243" t="s">
        <v>6</v>
      </c>
      <c r="DC18" s="243" t="s">
        <v>6</v>
      </c>
      <c r="DD18" s="243" t="s">
        <v>6</v>
      </c>
      <c r="DE18" s="243" t="s">
        <v>6</v>
      </c>
      <c r="DF18" s="243" t="s">
        <v>6</v>
      </c>
      <c r="DG18" s="243" t="s">
        <v>6</v>
      </c>
      <c r="DH18" s="243" t="s">
        <v>6</v>
      </c>
      <c r="DI18" s="243" t="s">
        <v>6</v>
      </c>
      <c r="DJ18" s="243" t="s">
        <v>6</v>
      </c>
      <c r="DK18" s="243" t="s">
        <v>6</v>
      </c>
      <c r="DL18" s="243" t="s">
        <v>6</v>
      </c>
      <c r="DM18" s="243" t="s">
        <v>6</v>
      </c>
      <c r="DN18" s="243" t="s">
        <v>6</v>
      </c>
      <c r="DO18" s="243" t="s">
        <v>6</v>
      </c>
      <c r="DP18" s="243" t="s">
        <v>6</v>
      </c>
      <c r="DQ18" s="243" t="s">
        <v>6</v>
      </c>
      <c r="DR18" s="243" t="s">
        <v>6</v>
      </c>
      <c r="DS18" s="243" t="s">
        <v>6</v>
      </c>
      <c r="DT18" s="243" t="s">
        <v>6</v>
      </c>
      <c r="DU18" s="243" t="s">
        <v>6</v>
      </c>
      <c r="DV18" s="243" t="s">
        <v>6</v>
      </c>
      <c r="DW18" s="243" t="s">
        <v>6</v>
      </c>
      <c r="DX18" s="243" t="s">
        <v>6</v>
      </c>
      <c r="DY18" s="243" t="s">
        <v>6</v>
      </c>
      <c r="DZ18" s="243" t="s">
        <v>6</v>
      </c>
      <c r="EA18" s="243" t="s">
        <v>6</v>
      </c>
      <c r="EB18" s="243" t="s">
        <v>6</v>
      </c>
      <c r="EC18" s="243" t="s">
        <v>6</v>
      </c>
      <c r="ED18" s="243" t="s">
        <v>6</v>
      </c>
      <c r="EE18" s="243" t="s">
        <v>6</v>
      </c>
      <c r="EF18" s="243" t="s">
        <v>6</v>
      </c>
      <c r="EG18" s="243" t="s">
        <v>6</v>
      </c>
      <c r="EH18" s="243" t="s">
        <v>6</v>
      </c>
      <c r="EI18" s="243" t="s">
        <v>6</v>
      </c>
      <c r="EJ18" s="243" t="s">
        <v>6</v>
      </c>
      <c r="EK18" s="243" t="s">
        <v>6</v>
      </c>
      <c r="EL18" s="243" t="s">
        <v>6</v>
      </c>
      <c r="EM18" s="243" t="s">
        <v>6</v>
      </c>
      <c r="EN18" s="243" t="s">
        <v>6</v>
      </c>
      <c r="EO18" s="243" t="s">
        <v>6</v>
      </c>
      <c r="EP18" s="243" t="s">
        <v>6</v>
      </c>
      <c r="EQ18" s="243" t="s">
        <v>6</v>
      </c>
      <c r="ER18" s="243" t="s">
        <v>6</v>
      </c>
      <c r="ES18" s="243" t="s">
        <v>6</v>
      </c>
      <c r="ET18" s="243" t="s">
        <v>6</v>
      </c>
      <c r="EU18" s="243" t="s">
        <v>6</v>
      </c>
      <c r="EV18" s="243" t="s">
        <v>6</v>
      </c>
      <c r="EW18" s="243" t="s">
        <v>6</v>
      </c>
    </row>
    <row r="19" spans="1:153" ht="13.5">
      <c r="A19" s="277" t="s">
        <v>6</v>
      </c>
      <c r="B19" s="247" t="s">
        <v>6</v>
      </c>
      <c r="C19" s="244" t="s">
        <v>6</v>
      </c>
      <c r="D19" s="244" t="s">
        <v>6</v>
      </c>
      <c r="E19" s="244" t="s">
        <v>6</v>
      </c>
      <c r="F19" s="244" t="s">
        <v>6</v>
      </c>
      <c r="G19" s="244" t="s">
        <v>6</v>
      </c>
      <c r="H19" s="244" t="s">
        <v>6</v>
      </c>
      <c r="I19" s="244" t="s">
        <v>6</v>
      </c>
      <c r="J19" s="244" t="s">
        <v>6</v>
      </c>
      <c r="K19" s="243" t="s">
        <v>6</v>
      </c>
      <c r="L19" s="243" t="s">
        <v>6</v>
      </c>
      <c r="M19" s="243" t="s">
        <v>6</v>
      </c>
      <c r="N19" s="243" t="s">
        <v>6</v>
      </c>
      <c r="O19" s="243" t="s">
        <v>6</v>
      </c>
      <c r="P19" s="243" t="s">
        <v>6</v>
      </c>
      <c r="Q19" s="243" t="s">
        <v>6</v>
      </c>
      <c r="R19" s="243" t="s">
        <v>6</v>
      </c>
      <c r="S19" s="243" t="s">
        <v>6</v>
      </c>
      <c r="T19" s="243" t="s">
        <v>6</v>
      </c>
      <c r="U19" s="243" t="s">
        <v>6</v>
      </c>
      <c r="V19" s="243" t="s">
        <v>6</v>
      </c>
      <c r="W19" s="243" t="s">
        <v>6</v>
      </c>
      <c r="X19" s="243" t="s">
        <v>6</v>
      </c>
      <c r="Y19" s="243" t="s">
        <v>6</v>
      </c>
      <c r="Z19" s="243" t="s">
        <v>6</v>
      </c>
      <c r="AA19" s="243" t="s">
        <v>6</v>
      </c>
      <c r="AB19" s="243" t="s">
        <v>6</v>
      </c>
      <c r="AC19" s="243" t="s">
        <v>6</v>
      </c>
      <c r="AD19" s="243" t="s">
        <v>6</v>
      </c>
      <c r="AE19" s="243" t="s">
        <v>6</v>
      </c>
      <c r="AF19" s="243" t="s">
        <v>6</v>
      </c>
      <c r="AG19" s="243" t="s">
        <v>6</v>
      </c>
      <c r="AH19" s="243" t="s">
        <v>6</v>
      </c>
      <c r="AI19" s="243" t="s">
        <v>6</v>
      </c>
      <c r="AJ19" s="243" t="s">
        <v>6</v>
      </c>
      <c r="AK19" s="243" t="s">
        <v>6</v>
      </c>
      <c r="AL19" s="243" t="s">
        <v>6</v>
      </c>
      <c r="AM19" s="243" t="s">
        <v>6</v>
      </c>
      <c r="AN19" s="243" t="s">
        <v>6</v>
      </c>
      <c r="AO19" s="243" t="s">
        <v>6</v>
      </c>
      <c r="AP19" s="243" t="s">
        <v>6</v>
      </c>
      <c r="AQ19" s="243" t="s">
        <v>6</v>
      </c>
      <c r="AR19" s="243" t="s">
        <v>6</v>
      </c>
      <c r="AS19" s="243" t="s">
        <v>6</v>
      </c>
      <c r="AT19" s="243" t="s">
        <v>6</v>
      </c>
      <c r="AU19" s="243" t="s">
        <v>6</v>
      </c>
      <c r="AV19" s="243" t="s">
        <v>6</v>
      </c>
      <c r="AW19" s="243" t="s">
        <v>6</v>
      </c>
      <c r="AX19" s="243" t="s">
        <v>6</v>
      </c>
      <c r="AY19" s="243" t="s">
        <v>6</v>
      </c>
      <c r="AZ19" s="243" t="s">
        <v>6</v>
      </c>
      <c r="BA19" s="243" t="s">
        <v>6</v>
      </c>
      <c r="BB19" s="243" t="s">
        <v>6</v>
      </c>
      <c r="BC19" s="243" t="s">
        <v>6</v>
      </c>
      <c r="BD19" s="243" t="s">
        <v>6</v>
      </c>
      <c r="BE19" s="243" t="s">
        <v>6</v>
      </c>
      <c r="BF19" s="243" t="s">
        <v>6</v>
      </c>
      <c r="BG19" s="243" t="s">
        <v>6</v>
      </c>
      <c r="BH19" s="243" t="s">
        <v>6</v>
      </c>
      <c r="BI19" s="243" t="s">
        <v>6</v>
      </c>
      <c r="BJ19" s="243" t="s">
        <v>6</v>
      </c>
      <c r="BK19" s="243" t="s">
        <v>6</v>
      </c>
      <c r="BL19" s="243" t="s">
        <v>6</v>
      </c>
      <c r="BM19" s="243" t="s">
        <v>6</v>
      </c>
      <c r="BN19" s="243" t="s">
        <v>6</v>
      </c>
      <c r="BO19" s="243" t="s">
        <v>6</v>
      </c>
      <c r="BP19" s="243" t="s">
        <v>6</v>
      </c>
      <c r="BQ19" s="243" t="s">
        <v>6</v>
      </c>
      <c r="BR19" s="243" t="s">
        <v>6</v>
      </c>
      <c r="BS19" s="243" t="s">
        <v>6</v>
      </c>
      <c r="BT19" s="243" t="s">
        <v>6</v>
      </c>
      <c r="BU19" s="243" t="s">
        <v>6</v>
      </c>
      <c r="BV19" s="243" t="s">
        <v>6</v>
      </c>
      <c r="BW19" s="243" t="s">
        <v>6</v>
      </c>
      <c r="BX19" s="243" t="s">
        <v>6</v>
      </c>
      <c r="BY19" s="243" t="s">
        <v>6</v>
      </c>
      <c r="BZ19" s="243" t="s">
        <v>6</v>
      </c>
      <c r="CA19" s="243" t="s">
        <v>6</v>
      </c>
      <c r="CB19" s="243" t="s">
        <v>6</v>
      </c>
      <c r="CC19" s="243" t="s">
        <v>6</v>
      </c>
      <c r="CD19" s="243" t="s">
        <v>6</v>
      </c>
      <c r="CE19" s="243" t="s">
        <v>6</v>
      </c>
      <c r="CF19" s="243" t="s">
        <v>6</v>
      </c>
      <c r="CG19" s="243" t="s">
        <v>6</v>
      </c>
      <c r="CH19" s="243" t="s">
        <v>6</v>
      </c>
      <c r="CI19" s="243" t="s">
        <v>6</v>
      </c>
      <c r="CJ19" s="243" t="s">
        <v>6</v>
      </c>
      <c r="CK19" s="243" t="s">
        <v>6</v>
      </c>
      <c r="CL19" s="243" t="s">
        <v>6</v>
      </c>
      <c r="CM19" s="243" t="s">
        <v>6</v>
      </c>
      <c r="CN19" s="243" t="s">
        <v>6</v>
      </c>
      <c r="CO19" s="243" t="s">
        <v>6</v>
      </c>
      <c r="CP19" s="243" t="s">
        <v>6</v>
      </c>
      <c r="CQ19" s="243" t="s">
        <v>6</v>
      </c>
      <c r="CR19" s="243" t="s">
        <v>6</v>
      </c>
      <c r="CS19" s="243" t="s">
        <v>6</v>
      </c>
      <c r="CT19" s="243" t="s">
        <v>6</v>
      </c>
      <c r="CU19" s="243" t="s">
        <v>6</v>
      </c>
      <c r="CV19" s="243" t="s">
        <v>6</v>
      </c>
      <c r="CW19" s="243" t="s">
        <v>6</v>
      </c>
      <c r="CX19" s="243" t="s">
        <v>6</v>
      </c>
      <c r="CY19" s="243" t="s">
        <v>6</v>
      </c>
      <c r="CZ19" s="243" t="s">
        <v>6</v>
      </c>
      <c r="DA19" s="243" t="s">
        <v>6</v>
      </c>
      <c r="DB19" s="243" t="s">
        <v>6</v>
      </c>
      <c r="DC19" s="243" t="s">
        <v>6</v>
      </c>
      <c r="DD19" s="243" t="s">
        <v>6</v>
      </c>
      <c r="DE19" s="243" t="s">
        <v>6</v>
      </c>
      <c r="DF19" s="243" t="s">
        <v>6</v>
      </c>
      <c r="DG19" s="243" t="s">
        <v>6</v>
      </c>
      <c r="DH19" s="243" t="s">
        <v>6</v>
      </c>
      <c r="DI19" s="243" t="s">
        <v>6</v>
      </c>
      <c r="DJ19" s="243" t="s">
        <v>6</v>
      </c>
      <c r="DK19" s="243" t="s">
        <v>6</v>
      </c>
      <c r="DL19" s="243" t="s">
        <v>6</v>
      </c>
      <c r="DM19" s="243" t="s">
        <v>6</v>
      </c>
      <c r="DN19" s="243" t="s">
        <v>6</v>
      </c>
      <c r="DO19" s="243" t="s">
        <v>6</v>
      </c>
      <c r="DP19" s="243" t="s">
        <v>6</v>
      </c>
      <c r="DQ19" s="243" t="s">
        <v>6</v>
      </c>
      <c r="DR19" s="243" t="s">
        <v>6</v>
      </c>
      <c r="DS19" s="243" t="s">
        <v>6</v>
      </c>
      <c r="DT19" s="243" t="s">
        <v>6</v>
      </c>
      <c r="DU19" s="243" t="s">
        <v>6</v>
      </c>
      <c r="DV19" s="243" t="s">
        <v>6</v>
      </c>
      <c r="DW19" s="243" t="s">
        <v>6</v>
      </c>
      <c r="DX19" s="243" t="s">
        <v>6</v>
      </c>
      <c r="DY19" s="243" t="s">
        <v>6</v>
      </c>
      <c r="DZ19" s="243" t="s">
        <v>6</v>
      </c>
      <c r="EA19" s="243" t="s">
        <v>6</v>
      </c>
      <c r="EB19" s="243" t="s">
        <v>6</v>
      </c>
      <c r="EC19" s="243" t="s">
        <v>6</v>
      </c>
      <c r="ED19" s="243" t="s">
        <v>6</v>
      </c>
      <c r="EE19" s="243" t="s">
        <v>6</v>
      </c>
      <c r="EF19" s="243" t="s">
        <v>6</v>
      </c>
      <c r="EG19" s="243" t="s">
        <v>6</v>
      </c>
      <c r="EH19" s="243" t="s">
        <v>6</v>
      </c>
      <c r="EI19" s="243" t="s">
        <v>6</v>
      </c>
      <c r="EJ19" s="243" t="s">
        <v>6</v>
      </c>
      <c r="EK19" s="243" t="s">
        <v>6</v>
      </c>
      <c r="EL19" s="243" t="s">
        <v>6</v>
      </c>
      <c r="EM19" s="243" t="s">
        <v>6</v>
      </c>
      <c r="EN19" s="243" t="s">
        <v>6</v>
      </c>
      <c r="EO19" s="243" t="s">
        <v>6</v>
      </c>
      <c r="EP19" s="243" t="s">
        <v>6</v>
      </c>
      <c r="EQ19" s="243" t="s">
        <v>6</v>
      </c>
      <c r="ER19" s="243" t="s">
        <v>6</v>
      </c>
      <c r="ES19" s="243" t="s">
        <v>6</v>
      </c>
      <c r="ET19" s="243" t="s">
        <v>6</v>
      </c>
      <c r="EU19" s="243" t="s">
        <v>6</v>
      </c>
      <c r="EV19" s="243" t="s">
        <v>6</v>
      </c>
      <c r="EW19" s="243" t="s">
        <v>6</v>
      </c>
    </row>
    <row r="20" spans="1:153" ht="13.5">
      <c r="A20" s="277" t="s">
        <v>6</v>
      </c>
      <c r="B20" s="247" t="s">
        <v>6</v>
      </c>
      <c r="C20" s="244" t="s">
        <v>158</v>
      </c>
      <c r="D20" s="244"/>
      <c r="E20" s="244" t="s">
        <v>6</v>
      </c>
      <c r="F20" s="233">
        <v>1</v>
      </c>
      <c r="G20" s="244" t="s">
        <v>156</v>
      </c>
      <c r="H20" s="268">
        <v>810.91200000000003</v>
      </c>
      <c r="I20" s="244" t="s">
        <v>6</v>
      </c>
      <c r="J20" s="268">
        <v>660.53899999999999</v>
      </c>
      <c r="K20" s="243" t="s">
        <v>6</v>
      </c>
      <c r="L20" s="243" t="s">
        <v>6</v>
      </c>
      <c r="M20" s="243" t="s">
        <v>6</v>
      </c>
      <c r="N20" s="243" t="s">
        <v>6</v>
      </c>
      <c r="O20" s="243" t="s">
        <v>6</v>
      </c>
      <c r="P20" s="243" t="s">
        <v>6</v>
      </c>
      <c r="Q20" s="243" t="s">
        <v>6</v>
      </c>
      <c r="R20" s="243" t="s">
        <v>6</v>
      </c>
      <c r="S20" s="243" t="s">
        <v>6</v>
      </c>
      <c r="T20" s="243" t="s">
        <v>6</v>
      </c>
      <c r="U20" s="243" t="s">
        <v>6</v>
      </c>
      <c r="V20" s="243" t="s">
        <v>6</v>
      </c>
      <c r="W20" s="243" t="s">
        <v>6</v>
      </c>
      <c r="X20" s="243" t="s">
        <v>6</v>
      </c>
      <c r="Y20" s="243" t="s">
        <v>6</v>
      </c>
      <c r="Z20" s="243" t="s">
        <v>6</v>
      </c>
      <c r="AA20" s="243" t="s">
        <v>6</v>
      </c>
      <c r="AB20" s="243" t="s">
        <v>6</v>
      </c>
      <c r="AC20" s="243" t="s">
        <v>6</v>
      </c>
      <c r="AD20" s="243" t="s">
        <v>6</v>
      </c>
      <c r="AE20" s="243" t="s">
        <v>6</v>
      </c>
      <c r="AF20" s="243" t="s">
        <v>6</v>
      </c>
      <c r="AG20" s="243" t="s">
        <v>6</v>
      </c>
      <c r="AH20" s="243" t="s">
        <v>6</v>
      </c>
      <c r="AI20" s="243" t="s">
        <v>6</v>
      </c>
      <c r="AJ20" s="243" t="s">
        <v>6</v>
      </c>
      <c r="AK20" s="243" t="s">
        <v>6</v>
      </c>
      <c r="AL20" s="243" t="s">
        <v>6</v>
      </c>
      <c r="AM20" s="243" t="s">
        <v>6</v>
      </c>
      <c r="AN20" s="243" t="s">
        <v>6</v>
      </c>
      <c r="AO20" s="243" t="s">
        <v>6</v>
      </c>
      <c r="AP20" s="243" t="s">
        <v>6</v>
      </c>
      <c r="AQ20" s="243" t="s">
        <v>6</v>
      </c>
      <c r="AR20" s="243" t="s">
        <v>6</v>
      </c>
      <c r="AS20" s="243" t="s">
        <v>6</v>
      </c>
      <c r="AT20" s="243" t="s">
        <v>6</v>
      </c>
      <c r="AU20" s="243" t="s">
        <v>6</v>
      </c>
      <c r="AV20" s="243" t="s">
        <v>6</v>
      </c>
      <c r="AW20" s="243" t="s">
        <v>6</v>
      </c>
      <c r="AX20" s="243" t="s">
        <v>6</v>
      </c>
      <c r="AY20" s="243" t="s">
        <v>6</v>
      </c>
      <c r="AZ20" s="243" t="s">
        <v>6</v>
      </c>
      <c r="BA20" s="243" t="s">
        <v>6</v>
      </c>
      <c r="BB20" s="243" t="s">
        <v>6</v>
      </c>
      <c r="BC20" s="243" t="s">
        <v>6</v>
      </c>
      <c r="BD20" s="243" t="s">
        <v>6</v>
      </c>
      <c r="BE20" s="243" t="s">
        <v>6</v>
      </c>
      <c r="BF20" s="243" t="s">
        <v>6</v>
      </c>
      <c r="BG20" s="243" t="s">
        <v>6</v>
      </c>
      <c r="BH20" s="243" t="s">
        <v>6</v>
      </c>
      <c r="BI20" s="243" t="s">
        <v>6</v>
      </c>
      <c r="BJ20" s="243" t="s">
        <v>6</v>
      </c>
      <c r="BK20" s="243" t="s">
        <v>6</v>
      </c>
      <c r="BL20" s="243" t="s">
        <v>6</v>
      </c>
      <c r="BM20" s="243" t="s">
        <v>6</v>
      </c>
      <c r="BN20" s="243" t="s">
        <v>6</v>
      </c>
      <c r="BO20" s="243" t="s">
        <v>6</v>
      </c>
      <c r="BP20" s="243" t="s">
        <v>6</v>
      </c>
      <c r="BQ20" s="243" t="s">
        <v>6</v>
      </c>
      <c r="BR20" s="243" t="s">
        <v>6</v>
      </c>
      <c r="BS20" s="243" t="s">
        <v>6</v>
      </c>
      <c r="BT20" s="243" t="s">
        <v>6</v>
      </c>
      <c r="BU20" s="243" t="s">
        <v>6</v>
      </c>
      <c r="BV20" s="243" t="s">
        <v>6</v>
      </c>
      <c r="BW20" s="243" t="s">
        <v>6</v>
      </c>
      <c r="BX20" s="243" t="s">
        <v>6</v>
      </c>
      <c r="BY20" s="243" t="s">
        <v>6</v>
      </c>
      <c r="BZ20" s="243" t="s">
        <v>6</v>
      </c>
      <c r="CA20" s="243" t="s">
        <v>6</v>
      </c>
      <c r="CB20" s="243" t="s">
        <v>6</v>
      </c>
      <c r="CC20" s="243" t="s">
        <v>6</v>
      </c>
      <c r="CD20" s="243" t="s">
        <v>6</v>
      </c>
      <c r="CE20" s="243" t="s">
        <v>6</v>
      </c>
      <c r="CF20" s="243" t="s">
        <v>6</v>
      </c>
      <c r="CG20" s="243" t="s">
        <v>6</v>
      </c>
      <c r="CH20" s="243" t="s">
        <v>6</v>
      </c>
      <c r="CI20" s="243" t="s">
        <v>6</v>
      </c>
      <c r="CJ20" s="243" t="s">
        <v>6</v>
      </c>
      <c r="CK20" s="243" t="s">
        <v>6</v>
      </c>
      <c r="CL20" s="243" t="s">
        <v>6</v>
      </c>
      <c r="CM20" s="243" t="s">
        <v>6</v>
      </c>
      <c r="CN20" s="243" t="s">
        <v>6</v>
      </c>
      <c r="CO20" s="243" t="s">
        <v>6</v>
      </c>
      <c r="CP20" s="243" t="s">
        <v>6</v>
      </c>
      <c r="CQ20" s="243" t="s">
        <v>6</v>
      </c>
      <c r="CR20" s="243" t="s">
        <v>6</v>
      </c>
      <c r="CS20" s="243" t="s">
        <v>6</v>
      </c>
      <c r="CT20" s="243" t="s">
        <v>6</v>
      </c>
      <c r="CU20" s="243" t="s">
        <v>6</v>
      </c>
      <c r="CV20" s="243" t="s">
        <v>6</v>
      </c>
      <c r="CW20" s="243" t="s">
        <v>6</v>
      </c>
      <c r="CX20" s="243" t="s">
        <v>6</v>
      </c>
      <c r="CY20" s="243" t="s">
        <v>6</v>
      </c>
      <c r="CZ20" s="243" t="s">
        <v>6</v>
      </c>
      <c r="DA20" s="243" t="s">
        <v>6</v>
      </c>
      <c r="DB20" s="243" t="s">
        <v>6</v>
      </c>
      <c r="DC20" s="243" t="s">
        <v>6</v>
      </c>
      <c r="DD20" s="243" t="s">
        <v>6</v>
      </c>
      <c r="DE20" s="243" t="s">
        <v>6</v>
      </c>
      <c r="DF20" s="243" t="s">
        <v>6</v>
      </c>
      <c r="DG20" s="243" t="s">
        <v>6</v>
      </c>
      <c r="DH20" s="243" t="s">
        <v>6</v>
      </c>
      <c r="DI20" s="243" t="s">
        <v>6</v>
      </c>
      <c r="DJ20" s="243" t="s">
        <v>6</v>
      </c>
      <c r="DK20" s="243" t="s">
        <v>6</v>
      </c>
      <c r="DL20" s="243" t="s">
        <v>6</v>
      </c>
      <c r="DM20" s="243" t="s">
        <v>6</v>
      </c>
      <c r="DN20" s="243" t="s">
        <v>6</v>
      </c>
      <c r="DO20" s="243" t="s">
        <v>6</v>
      </c>
      <c r="DP20" s="243" t="s">
        <v>6</v>
      </c>
      <c r="DQ20" s="243" t="s">
        <v>6</v>
      </c>
      <c r="DR20" s="243" t="s">
        <v>6</v>
      </c>
      <c r="DS20" s="243" t="s">
        <v>6</v>
      </c>
      <c r="DT20" s="243" t="s">
        <v>6</v>
      </c>
      <c r="DU20" s="243" t="s">
        <v>6</v>
      </c>
      <c r="DV20" s="243" t="s">
        <v>6</v>
      </c>
      <c r="DW20" s="243" t="s">
        <v>6</v>
      </c>
      <c r="DX20" s="243" t="s">
        <v>6</v>
      </c>
      <c r="DY20" s="243" t="s">
        <v>6</v>
      </c>
      <c r="DZ20" s="243" t="s">
        <v>6</v>
      </c>
      <c r="EA20" s="243" t="s">
        <v>6</v>
      </c>
      <c r="EB20" s="243" t="s">
        <v>6</v>
      </c>
      <c r="EC20" s="243" t="s">
        <v>6</v>
      </c>
      <c r="ED20" s="243" t="s">
        <v>6</v>
      </c>
      <c r="EE20" s="243" t="s">
        <v>6</v>
      </c>
      <c r="EF20" s="243" t="s">
        <v>6</v>
      </c>
      <c r="EG20" s="243" t="s">
        <v>6</v>
      </c>
      <c r="EH20" s="243" t="s">
        <v>6</v>
      </c>
      <c r="EI20" s="243" t="s">
        <v>6</v>
      </c>
      <c r="EJ20" s="243" t="s">
        <v>6</v>
      </c>
      <c r="EK20" s="243" t="s">
        <v>6</v>
      </c>
      <c r="EL20" s="243" t="s">
        <v>6</v>
      </c>
      <c r="EM20" s="243" t="s">
        <v>6</v>
      </c>
      <c r="EN20" s="243" t="s">
        <v>6</v>
      </c>
      <c r="EO20" s="243" t="s">
        <v>6</v>
      </c>
      <c r="EP20" s="243" t="s">
        <v>6</v>
      </c>
      <c r="EQ20" s="243" t="s">
        <v>6</v>
      </c>
      <c r="ER20" s="243" t="s">
        <v>6</v>
      </c>
      <c r="ES20" s="243" t="s">
        <v>6</v>
      </c>
      <c r="ET20" s="243" t="s">
        <v>6</v>
      </c>
      <c r="EU20" s="243" t="s">
        <v>6</v>
      </c>
      <c r="EV20" s="243" t="s">
        <v>6</v>
      </c>
      <c r="EW20" s="243" t="s">
        <v>6</v>
      </c>
    </row>
    <row r="21" spans="1:153" ht="13.5">
      <c r="A21" s="277" t="s">
        <v>6</v>
      </c>
      <c r="B21" s="247" t="s">
        <v>6</v>
      </c>
      <c r="C21" s="244" t="s">
        <v>6</v>
      </c>
      <c r="D21" s="244" t="s">
        <v>6</v>
      </c>
      <c r="E21" s="244" t="s">
        <v>6</v>
      </c>
      <c r="F21" s="244" t="s">
        <v>6</v>
      </c>
      <c r="G21" s="244" t="s">
        <v>6</v>
      </c>
      <c r="H21" s="244" t="s">
        <v>6</v>
      </c>
      <c r="I21" s="244" t="s">
        <v>6</v>
      </c>
      <c r="J21" s="244" t="s">
        <v>6</v>
      </c>
      <c r="K21" s="243" t="s">
        <v>6</v>
      </c>
      <c r="L21" s="243" t="s">
        <v>6</v>
      </c>
      <c r="M21" s="243" t="s">
        <v>6</v>
      </c>
      <c r="N21" s="243" t="s">
        <v>6</v>
      </c>
      <c r="O21" s="243" t="s">
        <v>6</v>
      </c>
      <c r="P21" s="243" t="s">
        <v>6</v>
      </c>
      <c r="Q21" s="243" t="s">
        <v>6</v>
      </c>
      <c r="R21" s="243" t="s">
        <v>6</v>
      </c>
      <c r="S21" s="243" t="s">
        <v>6</v>
      </c>
      <c r="T21" s="243" t="s">
        <v>6</v>
      </c>
      <c r="U21" s="243" t="s">
        <v>6</v>
      </c>
      <c r="V21" s="243" t="s">
        <v>6</v>
      </c>
      <c r="W21" s="243" t="s">
        <v>6</v>
      </c>
      <c r="X21" s="243" t="s">
        <v>6</v>
      </c>
      <c r="Y21" s="243" t="s">
        <v>6</v>
      </c>
      <c r="Z21" s="243" t="s">
        <v>6</v>
      </c>
      <c r="AA21" s="243" t="s">
        <v>6</v>
      </c>
      <c r="AB21" s="243" t="s">
        <v>6</v>
      </c>
      <c r="AC21" s="243" t="s">
        <v>6</v>
      </c>
      <c r="AD21" s="243" t="s">
        <v>6</v>
      </c>
      <c r="AE21" s="243" t="s">
        <v>6</v>
      </c>
      <c r="AF21" s="243" t="s">
        <v>6</v>
      </c>
      <c r="AG21" s="243" t="s">
        <v>6</v>
      </c>
      <c r="AH21" s="243" t="s">
        <v>6</v>
      </c>
      <c r="AI21" s="243" t="s">
        <v>6</v>
      </c>
      <c r="AJ21" s="243" t="s">
        <v>6</v>
      </c>
      <c r="AK21" s="243" t="s">
        <v>6</v>
      </c>
      <c r="AL21" s="243" t="s">
        <v>6</v>
      </c>
      <c r="AM21" s="243" t="s">
        <v>6</v>
      </c>
      <c r="AN21" s="243" t="s">
        <v>6</v>
      </c>
      <c r="AO21" s="243" t="s">
        <v>6</v>
      </c>
      <c r="AP21" s="243" t="s">
        <v>6</v>
      </c>
      <c r="AQ21" s="243" t="s">
        <v>6</v>
      </c>
      <c r="AR21" s="243" t="s">
        <v>6</v>
      </c>
      <c r="AS21" s="243" t="s">
        <v>6</v>
      </c>
      <c r="AT21" s="243" t="s">
        <v>6</v>
      </c>
      <c r="AU21" s="243" t="s">
        <v>6</v>
      </c>
      <c r="AV21" s="243" t="s">
        <v>6</v>
      </c>
      <c r="AW21" s="243" t="s">
        <v>6</v>
      </c>
      <c r="AX21" s="243" t="s">
        <v>6</v>
      </c>
      <c r="AY21" s="243" t="s">
        <v>6</v>
      </c>
      <c r="AZ21" s="243" t="s">
        <v>6</v>
      </c>
      <c r="BA21" s="243" t="s">
        <v>6</v>
      </c>
      <c r="BB21" s="243" t="s">
        <v>6</v>
      </c>
      <c r="BC21" s="243" t="s">
        <v>6</v>
      </c>
      <c r="BD21" s="243" t="s">
        <v>6</v>
      </c>
      <c r="BE21" s="243" t="s">
        <v>6</v>
      </c>
      <c r="BF21" s="243" t="s">
        <v>6</v>
      </c>
      <c r="BG21" s="243" t="s">
        <v>6</v>
      </c>
      <c r="BH21" s="243" t="s">
        <v>6</v>
      </c>
      <c r="BI21" s="243" t="s">
        <v>6</v>
      </c>
      <c r="BJ21" s="243" t="s">
        <v>6</v>
      </c>
      <c r="BK21" s="243" t="s">
        <v>6</v>
      </c>
      <c r="BL21" s="243" t="s">
        <v>6</v>
      </c>
      <c r="BM21" s="243" t="s">
        <v>6</v>
      </c>
      <c r="BN21" s="243" t="s">
        <v>6</v>
      </c>
      <c r="BO21" s="243" t="s">
        <v>6</v>
      </c>
      <c r="BP21" s="243" t="s">
        <v>6</v>
      </c>
      <c r="BQ21" s="243" t="s">
        <v>6</v>
      </c>
      <c r="BR21" s="243" t="s">
        <v>6</v>
      </c>
      <c r="BS21" s="243" t="s">
        <v>6</v>
      </c>
      <c r="BT21" s="243" t="s">
        <v>6</v>
      </c>
      <c r="BU21" s="243" t="s">
        <v>6</v>
      </c>
      <c r="BV21" s="243" t="s">
        <v>6</v>
      </c>
      <c r="BW21" s="243" t="s">
        <v>6</v>
      </c>
      <c r="BX21" s="243" t="s">
        <v>6</v>
      </c>
      <c r="BY21" s="243" t="s">
        <v>6</v>
      </c>
      <c r="BZ21" s="243" t="s">
        <v>6</v>
      </c>
      <c r="CA21" s="243" t="s">
        <v>6</v>
      </c>
      <c r="CB21" s="243" t="s">
        <v>6</v>
      </c>
      <c r="CC21" s="243" t="s">
        <v>6</v>
      </c>
      <c r="CD21" s="243" t="s">
        <v>6</v>
      </c>
      <c r="CE21" s="243" t="s">
        <v>6</v>
      </c>
      <c r="CF21" s="243" t="s">
        <v>6</v>
      </c>
      <c r="CG21" s="243" t="s">
        <v>6</v>
      </c>
      <c r="CH21" s="243" t="s">
        <v>6</v>
      </c>
      <c r="CI21" s="243" t="s">
        <v>6</v>
      </c>
      <c r="CJ21" s="243" t="s">
        <v>6</v>
      </c>
      <c r="CK21" s="243" t="s">
        <v>6</v>
      </c>
      <c r="CL21" s="243" t="s">
        <v>6</v>
      </c>
      <c r="CM21" s="243" t="s">
        <v>6</v>
      </c>
      <c r="CN21" s="243" t="s">
        <v>6</v>
      </c>
      <c r="CO21" s="243" t="s">
        <v>6</v>
      </c>
      <c r="CP21" s="243" t="s">
        <v>6</v>
      </c>
      <c r="CQ21" s="243" t="s">
        <v>6</v>
      </c>
      <c r="CR21" s="243" t="s">
        <v>6</v>
      </c>
      <c r="CS21" s="243" t="s">
        <v>6</v>
      </c>
      <c r="CT21" s="243" t="s">
        <v>6</v>
      </c>
      <c r="CU21" s="243" t="s">
        <v>6</v>
      </c>
      <c r="CV21" s="243" t="s">
        <v>6</v>
      </c>
      <c r="CW21" s="243" t="s">
        <v>6</v>
      </c>
      <c r="CX21" s="243" t="s">
        <v>6</v>
      </c>
      <c r="CY21" s="243" t="s">
        <v>6</v>
      </c>
      <c r="CZ21" s="243" t="s">
        <v>6</v>
      </c>
      <c r="DA21" s="243" t="s">
        <v>6</v>
      </c>
      <c r="DB21" s="243" t="s">
        <v>6</v>
      </c>
      <c r="DC21" s="243" t="s">
        <v>6</v>
      </c>
      <c r="DD21" s="243" t="s">
        <v>6</v>
      </c>
      <c r="DE21" s="243" t="s">
        <v>6</v>
      </c>
      <c r="DF21" s="243" t="s">
        <v>6</v>
      </c>
      <c r="DG21" s="243" t="s">
        <v>6</v>
      </c>
      <c r="DH21" s="243" t="s">
        <v>6</v>
      </c>
      <c r="DI21" s="243" t="s">
        <v>6</v>
      </c>
      <c r="DJ21" s="243" t="s">
        <v>6</v>
      </c>
      <c r="DK21" s="243" t="s">
        <v>6</v>
      </c>
      <c r="DL21" s="243" t="s">
        <v>6</v>
      </c>
      <c r="DM21" s="243" t="s">
        <v>6</v>
      </c>
      <c r="DN21" s="243" t="s">
        <v>6</v>
      </c>
      <c r="DO21" s="243" t="s">
        <v>6</v>
      </c>
      <c r="DP21" s="243" t="s">
        <v>6</v>
      </c>
      <c r="DQ21" s="243" t="s">
        <v>6</v>
      </c>
      <c r="DR21" s="243" t="s">
        <v>6</v>
      </c>
      <c r="DS21" s="243" t="s">
        <v>6</v>
      </c>
      <c r="DT21" s="243" t="s">
        <v>6</v>
      </c>
      <c r="DU21" s="243" t="s">
        <v>6</v>
      </c>
      <c r="DV21" s="243" t="s">
        <v>6</v>
      </c>
      <c r="DW21" s="243" t="s">
        <v>6</v>
      </c>
      <c r="DX21" s="243" t="s">
        <v>6</v>
      </c>
      <c r="DY21" s="243" t="s">
        <v>6</v>
      </c>
      <c r="DZ21" s="243" t="s">
        <v>6</v>
      </c>
      <c r="EA21" s="243" t="s">
        <v>6</v>
      </c>
      <c r="EB21" s="243" t="s">
        <v>6</v>
      </c>
      <c r="EC21" s="243" t="s">
        <v>6</v>
      </c>
      <c r="ED21" s="243" t="s">
        <v>6</v>
      </c>
      <c r="EE21" s="243" t="s">
        <v>6</v>
      </c>
      <c r="EF21" s="243" t="s">
        <v>6</v>
      </c>
      <c r="EG21" s="243" t="s">
        <v>6</v>
      </c>
      <c r="EH21" s="243" t="s">
        <v>6</v>
      </c>
      <c r="EI21" s="243" t="s">
        <v>6</v>
      </c>
      <c r="EJ21" s="243" t="s">
        <v>6</v>
      </c>
      <c r="EK21" s="243" t="s">
        <v>6</v>
      </c>
      <c r="EL21" s="243" t="s">
        <v>6</v>
      </c>
      <c r="EM21" s="243" t="s">
        <v>6</v>
      </c>
      <c r="EN21" s="243" t="s">
        <v>6</v>
      </c>
      <c r="EO21" s="243" t="s">
        <v>6</v>
      </c>
      <c r="EP21" s="243" t="s">
        <v>6</v>
      </c>
      <c r="EQ21" s="243" t="s">
        <v>6</v>
      </c>
      <c r="ER21" s="243" t="s">
        <v>6</v>
      </c>
      <c r="ES21" s="243" t="s">
        <v>6</v>
      </c>
      <c r="ET21" s="243" t="s">
        <v>6</v>
      </c>
      <c r="EU21" s="243" t="s">
        <v>6</v>
      </c>
      <c r="EV21" s="243" t="s">
        <v>6</v>
      </c>
      <c r="EW21" s="243" t="s">
        <v>6</v>
      </c>
    </row>
    <row r="22" spans="1:153" ht="13.5">
      <c r="A22" s="277" t="s">
        <v>6</v>
      </c>
      <c r="B22" s="247" t="s">
        <v>6</v>
      </c>
      <c r="C22" s="244" t="s">
        <v>159</v>
      </c>
      <c r="D22" s="244"/>
      <c r="E22" s="244" t="s">
        <v>6</v>
      </c>
      <c r="F22" s="233">
        <v>1</v>
      </c>
      <c r="G22" s="244" t="s">
        <v>156</v>
      </c>
      <c r="H22" s="268">
        <v>674.49199999999996</v>
      </c>
      <c r="I22" s="244" t="s">
        <v>6</v>
      </c>
      <c r="J22" s="268">
        <v>674.49199999999996</v>
      </c>
      <c r="K22" s="243" t="s">
        <v>6</v>
      </c>
      <c r="L22" s="243" t="s">
        <v>6</v>
      </c>
      <c r="M22" s="243" t="s">
        <v>6</v>
      </c>
      <c r="N22" s="243" t="s">
        <v>6</v>
      </c>
      <c r="O22" s="243" t="s">
        <v>6</v>
      </c>
      <c r="P22" s="243" t="s">
        <v>6</v>
      </c>
      <c r="Q22" s="243" t="s">
        <v>6</v>
      </c>
      <c r="R22" s="243" t="s">
        <v>6</v>
      </c>
      <c r="S22" s="243" t="s">
        <v>6</v>
      </c>
      <c r="T22" s="243" t="s">
        <v>6</v>
      </c>
      <c r="U22" s="243" t="s">
        <v>6</v>
      </c>
      <c r="V22" s="243" t="s">
        <v>6</v>
      </c>
      <c r="W22" s="243" t="s">
        <v>6</v>
      </c>
      <c r="X22" s="243" t="s">
        <v>6</v>
      </c>
      <c r="Y22" s="243" t="s">
        <v>6</v>
      </c>
      <c r="Z22" s="243" t="s">
        <v>6</v>
      </c>
      <c r="AA22" s="243" t="s">
        <v>6</v>
      </c>
      <c r="AB22" s="243" t="s">
        <v>6</v>
      </c>
      <c r="AC22" s="243" t="s">
        <v>6</v>
      </c>
      <c r="AD22" s="243" t="s">
        <v>6</v>
      </c>
      <c r="AE22" s="243" t="s">
        <v>6</v>
      </c>
      <c r="AF22" s="243" t="s">
        <v>6</v>
      </c>
      <c r="AG22" s="243" t="s">
        <v>6</v>
      </c>
      <c r="AH22" s="243" t="s">
        <v>6</v>
      </c>
      <c r="AI22" s="243" t="s">
        <v>6</v>
      </c>
      <c r="AJ22" s="243" t="s">
        <v>6</v>
      </c>
      <c r="AK22" s="243" t="s">
        <v>6</v>
      </c>
      <c r="AL22" s="243" t="s">
        <v>6</v>
      </c>
      <c r="AM22" s="243" t="s">
        <v>6</v>
      </c>
      <c r="AN22" s="243" t="s">
        <v>6</v>
      </c>
      <c r="AO22" s="243" t="s">
        <v>6</v>
      </c>
      <c r="AP22" s="243" t="s">
        <v>6</v>
      </c>
      <c r="AQ22" s="243" t="s">
        <v>6</v>
      </c>
      <c r="AR22" s="243" t="s">
        <v>6</v>
      </c>
      <c r="AS22" s="243" t="s">
        <v>6</v>
      </c>
      <c r="AT22" s="243" t="s">
        <v>6</v>
      </c>
      <c r="AU22" s="243" t="s">
        <v>6</v>
      </c>
      <c r="AV22" s="243" t="s">
        <v>6</v>
      </c>
      <c r="AW22" s="243" t="s">
        <v>6</v>
      </c>
      <c r="AX22" s="243" t="s">
        <v>6</v>
      </c>
      <c r="AY22" s="243" t="s">
        <v>6</v>
      </c>
      <c r="AZ22" s="243" t="s">
        <v>6</v>
      </c>
      <c r="BA22" s="243" t="s">
        <v>6</v>
      </c>
      <c r="BB22" s="243" t="s">
        <v>6</v>
      </c>
      <c r="BC22" s="243" t="s">
        <v>6</v>
      </c>
      <c r="BD22" s="243" t="s">
        <v>6</v>
      </c>
      <c r="BE22" s="243" t="s">
        <v>6</v>
      </c>
      <c r="BF22" s="243" t="s">
        <v>6</v>
      </c>
      <c r="BG22" s="243" t="s">
        <v>6</v>
      </c>
      <c r="BH22" s="243" t="s">
        <v>6</v>
      </c>
      <c r="BI22" s="243" t="s">
        <v>6</v>
      </c>
      <c r="BJ22" s="243" t="s">
        <v>6</v>
      </c>
      <c r="BK22" s="243" t="s">
        <v>6</v>
      </c>
      <c r="BL22" s="243" t="s">
        <v>6</v>
      </c>
      <c r="BM22" s="243" t="s">
        <v>6</v>
      </c>
      <c r="BN22" s="243" t="s">
        <v>6</v>
      </c>
      <c r="BO22" s="243" t="s">
        <v>6</v>
      </c>
      <c r="BP22" s="243" t="s">
        <v>6</v>
      </c>
      <c r="BQ22" s="243" t="s">
        <v>6</v>
      </c>
      <c r="BR22" s="243" t="s">
        <v>6</v>
      </c>
      <c r="BS22" s="243" t="s">
        <v>6</v>
      </c>
      <c r="BT22" s="243" t="s">
        <v>6</v>
      </c>
      <c r="BU22" s="243" t="s">
        <v>6</v>
      </c>
      <c r="BV22" s="243" t="s">
        <v>6</v>
      </c>
      <c r="BW22" s="243" t="s">
        <v>6</v>
      </c>
      <c r="BX22" s="243" t="s">
        <v>6</v>
      </c>
      <c r="BY22" s="243" t="s">
        <v>6</v>
      </c>
      <c r="BZ22" s="243" t="s">
        <v>6</v>
      </c>
      <c r="CA22" s="243" t="s">
        <v>6</v>
      </c>
      <c r="CB22" s="243" t="s">
        <v>6</v>
      </c>
      <c r="CC22" s="243" t="s">
        <v>6</v>
      </c>
      <c r="CD22" s="243" t="s">
        <v>6</v>
      </c>
      <c r="CE22" s="243" t="s">
        <v>6</v>
      </c>
      <c r="CF22" s="243" t="s">
        <v>6</v>
      </c>
      <c r="CG22" s="243" t="s">
        <v>6</v>
      </c>
      <c r="CH22" s="243" t="s">
        <v>6</v>
      </c>
      <c r="CI22" s="243" t="s">
        <v>6</v>
      </c>
      <c r="CJ22" s="243" t="s">
        <v>6</v>
      </c>
      <c r="CK22" s="243" t="s">
        <v>6</v>
      </c>
      <c r="CL22" s="243" t="s">
        <v>6</v>
      </c>
      <c r="CM22" s="243" t="s">
        <v>6</v>
      </c>
      <c r="CN22" s="243" t="s">
        <v>6</v>
      </c>
      <c r="CO22" s="243" t="s">
        <v>6</v>
      </c>
      <c r="CP22" s="243" t="s">
        <v>6</v>
      </c>
      <c r="CQ22" s="243" t="s">
        <v>6</v>
      </c>
      <c r="CR22" s="243" t="s">
        <v>6</v>
      </c>
      <c r="CS22" s="243" t="s">
        <v>6</v>
      </c>
      <c r="CT22" s="243" t="s">
        <v>6</v>
      </c>
      <c r="CU22" s="243" t="s">
        <v>6</v>
      </c>
      <c r="CV22" s="243" t="s">
        <v>6</v>
      </c>
      <c r="CW22" s="243" t="s">
        <v>6</v>
      </c>
      <c r="CX22" s="243" t="s">
        <v>6</v>
      </c>
      <c r="CY22" s="243" t="s">
        <v>6</v>
      </c>
      <c r="CZ22" s="243" t="s">
        <v>6</v>
      </c>
      <c r="DA22" s="243" t="s">
        <v>6</v>
      </c>
      <c r="DB22" s="243" t="s">
        <v>6</v>
      </c>
      <c r="DC22" s="243" t="s">
        <v>6</v>
      </c>
      <c r="DD22" s="243" t="s">
        <v>6</v>
      </c>
      <c r="DE22" s="243" t="s">
        <v>6</v>
      </c>
      <c r="DF22" s="243" t="s">
        <v>6</v>
      </c>
      <c r="DG22" s="243" t="s">
        <v>6</v>
      </c>
      <c r="DH22" s="243" t="s">
        <v>6</v>
      </c>
      <c r="DI22" s="243" t="s">
        <v>6</v>
      </c>
      <c r="DJ22" s="243" t="s">
        <v>6</v>
      </c>
      <c r="DK22" s="243" t="s">
        <v>6</v>
      </c>
      <c r="DL22" s="243" t="s">
        <v>6</v>
      </c>
      <c r="DM22" s="243" t="s">
        <v>6</v>
      </c>
      <c r="DN22" s="243" t="s">
        <v>6</v>
      </c>
      <c r="DO22" s="243" t="s">
        <v>6</v>
      </c>
      <c r="DP22" s="243" t="s">
        <v>6</v>
      </c>
      <c r="DQ22" s="243" t="s">
        <v>6</v>
      </c>
      <c r="DR22" s="243" t="s">
        <v>6</v>
      </c>
      <c r="DS22" s="243" t="s">
        <v>6</v>
      </c>
      <c r="DT22" s="243" t="s">
        <v>6</v>
      </c>
      <c r="DU22" s="243" t="s">
        <v>6</v>
      </c>
      <c r="DV22" s="243" t="s">
        <v>6</v>
      </c>
      <c r="DW22" s="243" t="s">
        <v>6</v>
      </c>
      <c r="DX22" s="243" t="s">
        <v>6</v>
      </c>
      <c r="DY22" s="243" t="s">
        <v>6</v>
      </c>
      <c r="DZ22" s="243" t="s">
        <v>6</v>
      </c>
      <c r="EA22" s="243" t="s">
        <v>6</v>
      </c>
      <c r="EB22" s="243" t="s">
        <v>6</v>
      </c>
      <c r="EC22" s="243" t="s">
        <v>6</v>
      </c>
      <c r="ED22" s="243" t="s">
        <v>6</v>
      </c>
      <c r="EE22" s="243" t="s">
        <v>6</v>
      </c>
      <c r="EF22" s="243" t="s">
        <v>6</v>
      </c>
      <c r="EG22" s="243" t="s">
        <v>6</v>
      </c>
      <c r="EH22" s="243" t="s">
        <v>6</v>
      </c>
      <c r="EI22" s="243" t="s">
        <v>6</v>
      </c>
      <c r="EJ22" s="243" t="s">
        <v>6</v>
      </c>
      <c r="EK22" s="243" t="s">
        <v>6</v>
      </c>
      <c r="EL22" s="243" t="s">
        <v>6</v>
      </c>
      <c r="EM22" s="243" t="s">
        <v>6</v>
      </c>
      <c r="EN22" s="243" t="s">
        <v>6</v>
      </c>
      <c r="EO22" s="243" t="s">
        <v>6</v>
      </c>
      <c r="EP22" s="243" t="s">
        <v>6</v>
      </c>
      <c r="EQ22" s="243" t="s">
        <v>6</v>
      </c>
      <c r="ER22" s="243" t="s">
        <v>6</v>
      </c>
      <c r="ES22" s="243" t="s">
        <v>6</v>
      </c>
      <c r="ET22" s="243" t="s">
        <v>6</v>
      </c>
      <c r="EU22" s="243" t="s">
        <v>6</v>
      </c>
      <c r="EV22" s="243" t="s">
        <v>6</v>
      </c>
      <c r="EW22" s="243" t="s">
        <v>6</v>
      </c>
    </row>
    <row r="23" spans="1:153" ht="13.5">
      <c r="A23" s="277" t="s">
        <v>6</v>
      </c>
      <c r="B23" s="247" t="s">
        <v>6</v>
      </c>
      <c r="C23" s="244" t="s">
        <v>6</v>
      </c>
      <c r="D23" s="244" t="s">
        <v>6</v>
      </c>
      <c r="E23" s="244" t="s">
        <v>6</v>
      </c>
      <c r="F23" s="244" t="s">
        <v>6</v>
      </c>
      <c r="G23" s="244" t="s">
        <v>6</v>
      </c>
      <c r="H23" s="244" t="s">
        <v>6</v>
      </c>
      <c r="I23" s="244" t="s">
        <v>6</v>
      </c>
      <c r="J23" s="244" t="s">
        <v>6</v>
      </c>
      <c r="K23" s="243" t="s">
        <v>6</v>
      </c>
      <c r="L23" s="243" t="s">
        <v>6</v>
      </c>
      <c r="M23" s="243" t="s">
        <v>6</v>
      </c>
      <c r="N23" s="243" t="s">
        <v>6</v>
      </c>
      <c r="O23" s="243" t="s">
        <v>6</v>
      </c>
      <c r="P23" s="243" t="s">
        <v>6</v>
      </c>
      <c r="Q23" s="243" t="s">
        <v>6</v>
      </c>
      <c r="R23" s="243" t="s">
        <v>6</v>
      </c>
      <c r="S23" s="243" t="s">
        <v>6</v>
      </c>
      <c r="T23" s="243" t="s">
        <v>6</v>
      </c>
      <c r="U23" s="243" t="s">
        <v>6</v>
      </c>
      <c r="V23" s="243" t="s">
        <v>6</v>
      </c>
      <c r="W23" s="243" t="s">
        <v>6</v>
      </c>
      <c r="X23" s="243" t="s">
        <v>6</v>
      </c>
      <c r="Y23" s="243" t="s">
        <v>6</v>
      </c>
      <c r="Z23" s="243" t="s">
        <v>6</v>
      </c>
      <c r="AA23" s="243" t="s">
        <v>6</v>
      </c>
      <c r="AB23" s="243" t="s">
        <v>6</v>
      </c>
      <c r="AC23" s="243" t="s">
        <v>6</v>
      </c>
      <c r="AD23" s="243" t="s">
        <v>6</v>
      </c>
      <c r="AE23" s="243" t="s">
        <v>6</v>
      </c>
      <c r="AF23" s="243" t="s">
        <v>6</v>
      </c>
      <c r="AG23" s="243" t="s">
        <v>6</v>
      </c>
      <c r="AH23" s="243" t="s">
        <v>6</v>
      </c>
      <c r="AI23" s="243" t="s">
        <v>6</v>
      </c>
      <c r="AJ23" s="243" t="s">
        <v>6</v>
      </c>
      <c r="AK23" s="243" t="s">
        <v>6</v>
      </c>
      <c r="AL23" s="243" t="s">
        <v>6</v>
      </c>
      <c r="AM23" s="243" t="s">
        <v>6</v>
      </c>
      <c r="AN23" s="243" t="s">
        <v>6</v>
      </c>
      <c r="AO23" s="243" t="s">
        <v>6</v>
      </c>
      <c r="AP23" s="243" t="s">
        <v>6</v>
      </c>
      <c r="AQ23" s="243" t="s">
        <v>6</v>
      </c>
      <c r="AR23" s="243" t="s">
        <v>6</v>
      </c>
      <c r="AS23" s="243" t="s">
        <v>6</v>
      </c>
      <c r="AT23" s="243" t="s">
        <v>6</v>
      </c>
      <c r="AU23" s="243" t="s">
        <v>6</v>
      </c>
      <c r="AV23" s="243" t="s">
        <v>6</v>
      </c>
      <c r="AW23" s="243" t="s">
        <v>6</v>
      </c>
      <c r="AX23" s="243" t="s">
        <v>6</v>
      </c>
      <c r="AY23" s="243" t="s">
        <v>6</v>
      </c>
      <c r="AZ23" s="243" t="s">
        <v>6</v>
      </c>
      <c r="BA23" s="243" t="s">
        <v>6</v>
      </c>
      <c r="BB23" s="243" t="s">
        <v>6</v>
      </c>
      <c r="BC23" s="243" t="s">
        <v>6</v>
      </c>
      <c r="BD23" s="243" t="s">
        <v>6</v>
      </c>
      <c r="BE23" s="243" t="s">
        <v>6</v>
      </c>
      <c r="BF23" s="243" t="s">
        <v>6</v>
      </c>
      <c r="BG23" s="243" t="s">
        <v>6</v>
      </c>
      <c r="BH23" s="243" t="s">
        <v>6</v>
      </c>
      <c r="BI23" s="243" t="s">
        <v>6</v>
      </c>
      <c r="BJ23" s="243" t="s">
        <v>6</v>
      </c>
      <c r="BK23" s="243" t="s">
        <v>6</v>
      </c>
      <c r="BL23" s="243" t="s">
        <v>6</v>
      </c>
      <c r="BM23" s="243" t="s">
        <v>6</v>
      </c>
      <c r="BN23" s="243" t="s">
        <v>6</v>
      </c>
      <c r="BO23" s="243" t="s">
        <v>6</v>
      </c>
      <c r="BP23" s="243" t="s">
        <v>6</v>
      </c>
      <c r="BQ23" s="243" t="s">
        <v>6</v>
      </c>
      <c r="BR23" s="243" t="s">
        <v>6</v>
      </c>
      <c r="BS23" s="243" t="s">
        <v>6</v>
      </c>
      <c r="BT23" s="243" t="s">
        <v>6</v>
      </c>
      <c r="BU23" s="243" t="s">
        <v>6</v>
      </c>
      <c r="BV23" s="243" t="s">
        <v>6</v>
      </c>
      <c r="BW23" s="243" t="s">
        <v>6</v>
      </c>
      <c r="BX23" s="243" t="s">
        <v>6</v>
      </c>
      <c r="BY23" s="243" t="s">
        <v>6</v>
      </c>
      <c r="BZ23" s="243" t="s">
        <v>6</v>
      </c>
      <c r="CA23" s="243" t="s">
        <v>6</v>
      </c>
      <c r="CB23" s="243" t="s">
        <v>6</v>
      </c>
      <c r="CC23" s="243" t="s">
        <v>6</v>
      </c>
      <c r="CD23" s="243" t="s">
        <v>6</v>
      </c>
      <c r="CE23" s="243" t="s">
        <v>6</v>
      </c>
      <c r="CF23" s="243" t="s">
        <v>6</v>
      </c>
      <c r="CG23" s="243" t="s">
        <v>6</v>
      </c>
      <c r="CH23" s="243" t="s">
        <v>6</v>
      </c>
      <c r="CI23" s="243" t="s">
        <v>6</v>
      </c>
      <c r="CJ23" s="243" t="s">
        <v>6</v>
      </c>
      <c r="CK23" s="243" t="s">
        <v>6</v>
      </c>
      <c r="CL23" s="243" t="s">
        <v>6</v>
      </c>
      <c r="CM23" s="243" t="s">
        <v>6</v>
      </c>
      <c r="CN23" s="243" t="s">
        <v>6</v>
      </c>
      <c r="CO23" s="243" t="s">
        <v>6</v>
      </c>
      <c r="CP23" s="243" t="s">
        <v>6</v>
      </c>
      <c r="CQ23" s="243" t="s">
        <v>6</v>
      </c>
      <c r="CR23" s="243" t="s">
        <v>6</v>
      </c>
      <c r="CS23" s="243" t="s">
        <v>6</v>
      </c>
      <c r="CT23" s="243" t="s">
        <v>6</v>
      </c>
      <c r="CU23" s="243" t="s">
        <v>6</v>
      </c>
      <c r="CV23" s="243" t="s">
        <v>6</v>
      </c>
      <c r="CW23" s="243" t="s">
        <v>6</v>
      </c>
      <c r="CX23" s="243" t="s">
        <v>6</v>
      </c>
      <c r="CY23" s="243" t="s">
        <v>6</v>
      </c>
      <c r="CZ23" s="243" t="s">
        <v>6</v>
      </c>
      <c r="DA23" s="243" t="s">
        <v>6</v>
      </c>
      <c r="DB23" s="243" t="s">
        <v>6</v>
      </c>
      <c r="DC23" s="243" t="s">
        <v>6</v>
      </c>
      <c r="DD23" s="243" t="s">
        <v>6</v>
      </c>
      <c r="DE23" s="243" t="s">
        <v>6</v>
      </c>
      <c r="DF23" s="243" t="s">
        <v>6</v>
      </c>
      <c r="DG23" s="243" t="s">
        <v>6</v>
      </c>
      <c r="DH23" s="243" t="s">
        <v>6</v>
      </c>
      <c r="DI23" s="243" t="s">
        <v>6</v>
      </c>
      <c r="DJ23" s="243" t="s">
        <v>6</v>
      </c>
      <c r="DK23" s="243" t="s">
        <v>6</v>
      </c>
      <c r="DL23" s="243" t="s">
        <v>6</v>
      </c>
      <c r="DM23" s="243" t="s">
        <v>6</v>
      </c>
      <c r="DN23" s="243" t="s">
        <v>6</v>
      </c>
      <c r="DO23" s="243" t="s">
        <v>6</v>
      </c>
      <c r="DP23" s="243" t="s">
        <v>6</v>
      </c>
      <c r="DQ23" s="243" t="s">
        <v>6</v>
      </c>
      <c r="DR23" s="243" t="s">
        <v>6</v>
      </c>
      <c r="DS23" s="243" t="s">
        <v>6</v>
      </c>
      <c r="DT23" s="243" t="s">
        <v>6</v>
      </c>
      <c r="DU23" s="243" t="s">
        <v>6</v>
      </c>
      <c r="DV23" s="243" t="s">
        <v>6</v>
      </c>
      <c r="DW23" s="243" t="s">
        <v>6</v>
      </c>
      <c r="DX23" s="243" t="s">
        <v>6</v>
      </c>
      <c r="DY23" s="243" t="s">
        <v>6</v>
      </c>
      <c r="DZ23" s="243" t="s">
        <v>6</v>
      </c>
      <c r="EA23" s="243" t="s">
        <v>6</v>
      </c>
      <c r="EB23" s="243" t="s">
        <v>6</v>
      </c>
      <c r="EC23" s="243" t="s">
        <v>6</v>
      </c>
      <c r="ED23" s="243" t="s">
        <v>6</v>
      </c>
      <c r="EE23" s="243" t="s">
        <v>6</v>
      </c>
      <c r="EF23" s="243" t="s">
        <v>6</v>
      </c>
      <c r="EG23" s="243" t="s">
        <v>6</v>
      </c>
      <c r="EH23" s="243" t="s">
        <v>6</v>
      </c>
      <c r="EI23" s="243" t="s">
        <v>6</v>
      </c>
      <c r="EJ23" s="243" t="s">
        <v>6</v>
      </c>
      <c r="EK23" s="243" t="s">
        <v>6</v>
      </c>
      <c r="EL23" s="243" t="s">
        <v>6</v>
      </c>
      <c r="EM23" s="243" t="s">
        <v>6</v>
      </c>
      <c r="EN23" s="243" t="s">
        <v>6</v>
      </c>
      <c r="EO23" s="243" t="s">
        <v>6</v>
      </c>
      <c r="EP23" s="243" t="s">
        <v>6</v>
      </c>
      <c r="EQ23" s="243" t="s">
        <v>6</v>
      </c>
      <c r="ER23" s="243" t="s">
        <v>6</v>
      </c>
      <c r="ES23" s="243" t="s">
        <v>6</v>
      </c>
      <c r="ET23" s="243" t="s">
        <v>6</v>
      </c>
      <c r="EU23" s="243" t="s">
        <v>6</v>
      </c>
      <c r="EV23" s="243" t="s">
        <v>6</v>
      </c>
      <c r="EW23" s="243" t="s">
        <v>6</v>
      </c>
    </row>
    <row r="24" spans="1:153" ht="13.5">
      <c r="A24" s="277" t="s">
        <v>6</v>
      </c>
      <c r="B24" s="247" t="s">
        <v>6</v>
      </c>
      <c r="C24" s="244" t="s">
        <v>160</v>
      </c>
      <c r="D24" s="244"/>
      <c r="E24" s="244" t="s">
        <v>6</v>
      </c>
      <c r="F24" s="233">
        <v>1</v>
      </c>
      <c r="G24" s="244" t="s">
        <v>156</v>
      </c>
      <c r="H24" s="268">
        <v>539.08900000000006</v>
      </c>
      <c r="I24" s="244" t="s">
        <v>6</v>
      </c>
      <c r="J24" s="268">
        <v>539.08900000000006</v>
      </c>
      <c r="K24" s="243" t="s">
        <v>6</v>
      </c>
      <c r="L24" s="243" t="s">
        <v>6</v>
      </c>
      <c r="M24" s="243" t="s">
        <v>6</v>
      </c>
      <c r="N24" s="243" t="s">
        <v>6</v>
      </c>
      <c r="O24" s="243" t="s">
        <v>6</v>
      </c>
      <c r="P24" s="243" t="s">
        <v>6</v>
      </c>
      <c r="Q24" s="243" t="s">
        <v>6</v>
      </c>
      <c r="R24" s="243" t="s">
        <v>6</v>
      </c>
      <c r="S24" s="243" t="s">
        <v>6</v>
      </c>
      <c r="T24" s="243" t="s">
        <v>6</v>
      </c>
      <c r="U24" s="243" t="s">
        <v>6</v>
      </c>
      <c r="V24" s="243" t="s">
        <v>6</v>
      </c>
      <c r="W24" s="243" t="s">
        <v>6</v>
      </c>
      <c r="X24" s="243" t="s">
        <v>6</v>
      </c>
      <c r="Y24" s="243" t="s">
        <v>6</v>
      </c>
      <c r="Z24" s="243" t="s">
        <v>6</v>
      </c>
      <c r="AA24" s="243" t="s">
        <v>6</v>
      </c>
      <c r="AB24" s="243" t="s">
        <v>6</v>
      </c>
      <c r="AC24" s="243" t="s">
        <v>6</v>
      </c>
      <c r="AD24" s="243" t="s">
        <v>6</v>
      </c>
      <c r="AE24" s="243" t="s">
        <v>6</v>
      </c>
      <c r="AF24" s="243" t="s">
        <v>6</v>
      </c>
      <c r="AG24" s="243" t="s">
        <v>6</v>
      </c>
      <c r="AH24" s="243" t="s">
        <v>6</v>
      </c>
      <c r="AI24" s="243" t="s">
        <v>6</v>
      </c>
      <c r="AJ24" s="243" t="s">
        <v>6</v>
      </c>
      <c r="AK24" s="243" t="s">
        <v>6</v>
      </c>
      <c r="AL24" s="243" t="s">
        <v>6</v>
      </c>
      <c r="AM24" s="243" t="s">
        <v>6</v>
      </c>
      <c r="AN24" s="243" t="s">
        <v>6</v>
      </c>
      <c r="AO24" s="243" t="s">
        <v>6</v>
      </c>
      <c r="AP24" s="243" t="s">
        <v>6</v>
      </c>
      <c r="AQ24" s="243" t="s">
        <v>6</v>
      </c>
      <c r="AR24" s="243" t="s">
        <v>6</v>
      </c>
      <c r="AS24" s="243" t="s">
        <v>6</v>
      </c>
      <c r="AT24" s="243" t="s">
        <v>6</v>
      </c>
      <c r="AU24" s="243" t="s">
        <v>6</v>
      </c>
      <c r="AV24" s="243" t="s">
        <v>6</v>
      </c>
      <c r="AW24" s="243" t="s">
        <v>6</v>
      </c>
      <c r="AX24" s="243" t="s">
        <v>6</v>
      </c>
      <c r="AY24" s="243" t="s">
        <v>6</v>
      </c>
      <c r="AZ24" s="243" t="s">
        <v>6</v>
      </c>
      <c r="BA24" s="243" t="s">
        <v>6</v>
      </c>
      <c r="BB24" s="243" t="s">
        <v>6</v>
      </c>
      <c r="BC24" s="243" t="s">
        <v>6</v>
      </c>
      <c r="BD24" s="243" t="s">
        <v>6</v>
      </c>
      <c r="BE24" s="243" t="s">
        <v>6</v>
      </c>
      <c r="BF24" s="243" t="s">
        <v>6</v>
      </c>
      <c r="BG24" s="243" t="s">
        <v>6</v>
      </c>
      <c r="BH24" s="243" t="s">
        <v>6</v>
      </c>
      <c r="BI24" s="243" t="s">
        <v>6</v>
      </c>
      <c r="BJ24" s="243" t="s">
        <v>6</v>
      </c>
      <c r="BK24" s="243" t="s">
        <v>6</v>
      </c>
      <c r="BL24" s="243" t="s">
        <v>6</v>
      </c>
      <c r="BM24" s="243" t="s">
        <v>6</v>
      </c>
      <c r="BN24" s="243" t="s">
        <v>6</v>
      </c>
      <c r="BO24" s="243" t="s">
        <v>6</v>
      </c>
      <c r="BP24" s="243" t="s">
        <v>6</v>
      </c>
      <c r="BQ24" s="243" t="s">
        <v>6</v>
      </c>
      <c r="BR24" s="243" t="s">
        <v>6</v>
      </c>
      <c r="BS24" s="243" t="s">
        <v>6</v>
      </c>
      <c r="BT24" s="243" t="s">
        <v>6</v>
      </c>
      <c r="BU24" s="243" t="s">
        <v>6</v>
      </c>
      <c r="BV24" s="243" t="s">
        <v>6</v>
      </c>
      <c r="BW24" s="243" t="s">
        <v>6</v>
      </c>
      <c r="BX24" s="243" t="s">
        <v>6</v>
      </c>
      <c r="BY24" s="243" t="s">
        <v>6</v>
      </c>
      <c r="BZ24" s="243" t="s">
        <v>6</v>
      </c>
      <c r="CA24" s="243" t="s">
        <v>6</v>
      </c>
      <c r="CB24" s="243" t="s">
        <v>6</v>
      </c>
      <c r="CC24" s="243" t="s">
        <v>6</v>
      </c>
      <c r="CD24" s="243" t="s">
        <v>6</v>
      </c>
      <c r="CE24" s="243" t="s">
        <v>6</v>
      </c>
      <c r="CF24" s="243" t="s">
        <v>6</v>
      </c>
      <c r="CG24" s="243" t="s">
        <v>6</v>
      </c>
      <c r="CH24" s="243" t="s">
        <v>6</v>
      </c>
      <c r="CI24" s="243" t="s">
        <v>6</v>
      </c>
      <c r="CJ24" s="243" t="s">
        <v>6</v>
      </c>
      <c r="CK24" s="243" t="s">
        <v>6</v>
      </c>
      <c r="CL24" s="243" t="s">
        <v>6</v>
      </c>
      <c r="CM24" s="243" t="s">
        <v>6</v>
      </c>
      <c r="CN24" s="243" t="s">
        <v>6</v>
      </c>
      <c r="CO24" s="243" t="s">
        <v>6</v>
      </c>
      <c r="CP24" s="243" t="s">
        <v>6</v>
      </c>
      <c r="CQ24" s="243" t="s">
        <v>6</v>
      </c>
      <c r="CR24" s="243" t="s">
        <v>6</v>
      </c>
      <c r="CS24" s="243" t="s">
        <v>6</v>
      </c>
      <c r="CT24" s="243" t="s">
        <v>6</v>
      </c>
      <c r="CU24" s="243" t="s">
        <v>6</v>
      </c>
      <c r="CV24" s="243" t="s">
        <v>6</v>
      </c>
      <c r="CW24" s="243" t="s">
        <v>6</v>
      </c>
      <c r="CX24" s="243" t="s">
        <v>6</v>
      </c>
      <c r="CY24" s="243" t="s">
        <v>6</v>
      </c>
      <c r="CZ24" s="243" t="s">
        <v>6</v>
      </c>
      <c r="DA24" s="243" t="s">
        <v>6</v>
      </c>
      <c r="DB24" s="243" t="s">
        <v>6</v>
      </c>
      <c r="DC24" s="243" t="s">
        <v>6</v>
      </c>
      <c r="DD24" s="243" t="s">
        <v>6</v>
      </c>
      <c r="DE24" s="243" t="s">
        <v>6</v>
      </c>
      <c r="DF24" s="243" t="s">
        <v>6</v>
      </c>
      <c r="DG24" s="243" t="s">
        <v>6</v>
      </c>
      <c r="DH24" s="243" t="s">
        <v>6</v>
      </c>
      <c r="DI24" s="243" t="s">
        <v>6</v>
      </c>
      <c r="DJ24" s="243" t="s">
        <v>6</v>
      </c>
      <c r="DK24" s="243" t="s">
        <v>6</v>
      </c>
      <c r="DL24" s="243" t="s">
        <v>6</v>
      </c>
      <c r="DM24" s="243" t="s">
        <v>6</v>
      </c>
      <c r="DN24" s="243" t="s">
        <v>6</v>
      </c>
      <c r="DO24" s="243" t="s">
        <v>6</v>
      </c>
      <c r="DP24" s="243" t="s">
        <v>6</v>
      </c>
      <c r="DQ24" s="243" t="s">
        <v>6</v>
      </c>
      <c r="DR24" s="243" t="s">
        <v>6</v>
      </c>
      <c r="DS24" s="243" t="s">
        <v>6</v>
      </c>
      <c r="DT24" s="243" t="s">
        <v>6</v>
      </c>
      <c r="DU24" s="243" t="s">
        <v>6</v>
      </c>
      <c r="DV24" s="243" t="s">
        <v>6</v>
      </c>
      <c r="DW24" s="243" t="s">
        <v>6</v>
      </c>
      <c r="DX24" s="243" t="s">
        <v>6</v>
      </c>
      <c r="DY24" s="243" t="s">
        <v>6</v>
      </c>
      <c r="DZ24" s="243" t="s">
        <v>6</v>
      </c>
      <c r="EA24" s="243" t="s">
        <v>6</v>
      </c>
      <c r="EB24" s="243" t="s">
        <v>6</v>
      </c>
      <c r="EC24" s="243" t="s">
        <v>6</v>
      </c>
      <c r="ED24" s="243" t="s">
        <v>6</v>
      </c>
      <c r="EE24" s="243" t="s">
        <v>6</v>
      </c>
      <c r="EF24" s="243" t="s">
        <v>6</v>
      </c>
      <c r="EG24" s="243" t="s">
        <v>6</v>
      </c>
      <c r="EH24" s="243" t="s">
        <v>6</v>
      </c>
      <c r="EI24" s="243" t="s">
        <v>6</v>
      </c>
      <c r="EJ24" s="243" t="s">
        <v>6</v>
      </c>
      <c r="EK24" s="243" t="s">
        <v>6</v>
      </c>
      <c r="EL24" s="243" t="s">
        <v>6</v>
      </c>
      <c r="EM24" s="243" t="s">
        <v>6</v>
      </c>
      <c r="EN24" s="243" t="s">
        <v>6</v>
      </c>
      <c r="EO24" s="243" t="s">
        <v>6</v>
      </c>
      <c r="EP24" s="243" t="s">
        <v>6</v>
      </c>
      <c r="EQ24" s="243" t="s">
        <v>6</v>
      </c>
      <c r="ER24" s="243" t="s">
        <v>6</v>
      </c>
      <c r="ES24" s="243" t="s">
        <v>6</v>
      </c>
      <c r="ET24" s="243" t="s">
        <v>6</v>
      </c>
      <c r="EU24" s="243" t="s">
        <v>6</v>
      </c>
      <c r="EV24" s="243" t="s">
        <v>6</v>
      </c>
      <c r="EW24" s="243" t="s">
        <v>6</v>
      </c>
    </row>
    <row r="25" spans="1:153" ht="13.5">
      <c r="A25" s="277" t="s">
        <v>6</v>
      </c>
      <c r="B25" s="247" t="s">
        <v>6</v>
      </c>
      <c r="C25" s="244" t="s">
        <v>6</v>
      </c>
      <c r="D25" s="244" t="s">
        <v>6</v>
      </c>
      <c r="E25" s="244" t="s">
        <v>6</v>
      </c>
      <c r="F25" s="244" t="s">
        <v>6</v>
      </c>
      <c r="G25" s="244" t="s">
        <v>6</v>
      </c>
      <c r="H25" s="244" t="s">
        <v>6</v>
      </c>
      <c r="I25" s="244" t="s">
        <v>6</v>
      </c>
      <c r="J25" s="244" t="s">
        <v>6</v>
      </c>
      <c r="K25" s="243" t="s">
        <v>6</v>
      </c>
      <c r="L25" s="243" t="s">
        <v>6</v>
      </c>
      <c r="M25" s="243" t="s">
        <v>6</v>
      </c>
      <c r="N25" s="243" t="s">
        <v>6</v>
      </c>
      <c r="O25" s="243" t="s">
        <v>6</v>
      </c>
      <c r="P25" s="243" t="s">
        <v>6</v>
      </c>
      <c r="Q25" s="243" t="s">
        <v>6</v>
      </c>
      <c r="R25" s="243" t="s">
        <v>6</v>
      </c>
      <c r="S25" s="243" t="s">
        <v>6</v>
      </c>
      <c r="T25" s="243" t="s">
        <v>6</v>
      </c>
      <c r="U25" s="243" t="s">
        <v>6</v>
      </c>
      <c r="V25" s="243" t="s">
        <v>6</v>
      </c>
      <c r="W25" s="243" t="s">
        <v>6</v>
      </c>
      <c r="X25" s="243" t="s">
        <v>6</v>
      </c>
      <c r="Y25" s="243" t="s">
        <v>6</v>
      </c>
      <c r="Z25" s="243" t="s">
        <v>6</v>
      </c>
      <c r="AA25" s="243" t="s">
        <v>6</v>
      </c>
      <c r="AB25" s="243" t="s">
        <v>6</v>
      </c>
      <c r="AC25" s="243" t="s">
        <v>6</v>
      </c>
      <c r="AD25" s="243" t="s">
        <v>6</v>
      </c>
      <c r="AE25" s="243" t="s">
        <v>6</v>
      </c>
      <c r="AF25" s="243" t="s">
        <v>6</v>
      </c>
      <c r="AG25" s="243" t="s">
        <v>6</v>
      </c>
      <c r="AH25" s="243" t="s">
        <v>6</v>
      </c>
      <c r="AI25" s="243" t="s">
        <v>6</v>
      </c>
      <c r="AJ25" s="243" t="s">
        <v>6</v>
      </c>
      <c r="AK25" s="243" t="s">
        <v>6</v>
      </c>
      <c r="AL25" s="243" t="s">
        <v>6</v>
      </c>
      <c r="AM25" s="243" t="s">
        <v>6</v>
      </c>
      <c r="AN25" s="243" t="s">
        <v>6</v>
      </c>
      <c r="AO25" s="243" t="s">
        <v>6</v>
      </c>
      <c r="AP25" s="243" t="s">
        <v>6</v>
      </c>
      <c r="AQ25" s="243" t="s">
        <v>6</v>
      </c>
      <c r="AR25" s="243" t="s">
        <v>6</v>
      </c>
      <c r="AS25" s="243" t="s">
        <v>6</v>
      </c>
      <c r="AT25" s="243" t="s">
        <v>6</v>
      </c>
      <c r="AU25" s="243" t="s">
        <v>6</v>
      </c>
      <c r="AV25" s="243" t="s">
        <v>6</v>
      </c>
      <c r="AW25" s="243" t="s">
        <v>6</v>
      </c>
      <c r="AX25" s="243" t="s">
        <v>6</v>
      </c>
      <c r="AY25" s="243" t="s">
        <v>6</v>
      </c>
      <c r="AZ25" s="243" t="s">
        <v>6</v>
      </c>
      <c r="BA25" s="243" t="s">
        <v>6</v>
      </c>
      <c r="BB25" s="243" t="s">
        <v>6</v>
      </c>
      <c r="BC25" s="243" t="s">
        <v>6</v>
      </c>
      <c r="BD25" s="243" t="s">
        <v>6</v>
      </c>
      <c r="BE25" s="243" t="s">
        <v>6</v>
      </c>
      <c r="BF25" s="243" t="s">
        <v>6</v>
      </c>
      <c r="BG25" s="243" t="s">
        <v>6</v>
      </c>
      <c r="BH25" s="243" t="s">
        <v>6</v>
      </c>
      <c r="BI25" s="243" t="s">
        <v>6</v>
      </c>
      <c r="BJ25" s="243" t="s">
        <v>6</v>
      </c>
      <c r="BK25" s="243" t="s">
        <v>6</v>
      </c>
      <c r="BL25" s="243" t="s">
        <v>6</v>
      </c>
      <c r="BM25" s="243" t="s">
        <v>6</v>
      </c>
      <c r="BN25" s="243" t="s">
        <v>6</v>
      </c>
      <c r="BO25" s="243" t="s">
        <v>6</v>
      </c>
      <c r="BP25" s="243" t="s">
        <v>6</v>
      </c>
      <c r="BQ25" s="243" t="s">
        <v>6</v>
      </c>
      <c r="BR25" s="243" t="s">
        <v>6</v>
      </c>
      <c r="BS25" s="243" t="s">
        <v>6</v>
      </c>
      <c r="BT25" s="243" t="s">
        <v>6</v>
      </c>
      <c r="BU25" s="243" t="s">
        <v>6</v>
      </c>
      <c r="BV25" s="243" t="s">
        <v>6</v>
      </c>
      <c r="BW25" s="243" t="s">
        <v>6</v>
      </c>
      <c r="BX25" s="243" t="s">
        <v>6</v>
      </c>
      <c r="BY25" s="243" t="s">
        <v>6</v>
      </c>
      <c r="BZ25" s="243" t="s">
        <v>6</v>
      </c>
      <c r="CA25" s="243" t="s">
        <v>6</v>
      </c>
      <c r="CB25" s="243" t="s">
        <v>6</v>
      </c>
      <c r="CC25" s="243" t="s">
        <v>6</v>
      </c>
      <c r="CD25" s="243" t="s">
        <v>6</v>
      </c>
      <c r="CE25" s="243" t="s">
        <v>6</v>
      </c>
      <c r="CF25" s="243" t="s">
        <v>6</v>
      </c>
      <c r="CG25" s="243" t="s">
        <v>6</v>
      </c>
      <c r="CH25" s="243" t="s">
        <v>6</v>
      </c>
      <c r="CI25" s="243" t="s">
        <v>6</v>
      </c>
      <c r="CJ25" s="243" t="s">
        <v>6</v>
      </c>
      <c r="CK25" s="243" t="s">
        <v>6</v>
      </c>
      <c r="CL25" s="243" t="s">
        <v>6</v>
      </c>
      <c r="CM25" s="243" t="s">
        <v>6</v>
      </c>
      <c r="CN25" s="243" t="s">
        <v>6</v>
      </c>
      <c r="CO25" s="243" t="s">
        <v>6</v>
      </c>
      <c r="CP25" s="243" t="s">
        <v>6</v>
      </c>
      <c r="CQ25" s="243" t="s">
        <v>6</v>
      </c>
      <c r="CR25" s="243" t="s">
        <v>6</v>
      </c>
      <c r="CS25" s="243" t="s">
        <v>6</v>
      </c>
      <c r="CT25" s="243" t="s">
        <v>6</v>
      </c>
      <c r="CU25" s="243" t="s">
        <v>6</v>
      </c>
      <c r="CV25" s="243" t="s">
        <v>6</v>
      </c>
      <c r="CW25" s="243" t="s">
        <v>6</v>
      </c>
      <c r="CX25" s="243" t="s">
        <v>6</v>
      </c>
      <c r="CY25" s="243" t="s">
        <v>6</v>
      </c>
      <c r="CZ25" s="243" t="s">
        <v>6</v>
      </c>
      <c r="DA25" s="243" t="s">
        <v>6</v>
      </c>
      <c r="DB25" s="243" t="s">
        <v>6</v>
      </c>
      <c r="DC25" s="243" t="s">
        <v>6</v>
      </c>
      <c r="DD25" s="243" t="s">
        <v>6</v>
      </c>
      <c r="DE25" s="243" t="s">
        <v>6</v>
      </c>
      <c r="DF25" s="243" t="s">
        <v>6</v>
      </c>
      <c r="DG25" s="243" t="s">
        <v>6</v>
      </c>
      <c r="DH25" s="243" t="s">
        <v>6</v>
      </c>
      <c r="DI25" s="243" t="s">
        <v>6</v>
      </c>
      <c r="DJ25" s="243" t="s">
        <v>6</v>
      </c>
      <c r="DK25" s="243" t="s">
        <v>6</v>
      </c>
      <c r="DL25" s="243" t="s">
        <v>6</v>
      </c>
      <c r="DM25" s="243" t="s">
        <v>6</v>
      </c>
      <c r="DN25" s="243" t="s">
        <v>6</v>
      </c>
      <c r="DO25" s="243" t="s">
        <v>6</v>
      </c>
      <c r="DP25" s="243" t="s">
        <v>6</v>
      </c>
      <c r="DQ25" s="243" t="s">
        <v>6</v>
      </c>
      <c r="DR25" s="243" t="s">
        <v>6</v>
      </c>
      <c r="DS25" s="243" t="s">
        <v>6</v>
      </c>
      <c r="DT25" s="243" t="s">
        <v>6</v>
      </c>
      <c r="DU25" s="243" t="s">
        <v>6</v>
      </c>
      <c r="DV25" s="243" t="s">
        <v>6</v>
      </c>
      <c r="DW25" s="243" t="s">
        <v>6</v>
      </c>
      <c r="DX25" s="243" t="s">
        <v>6</v>
      </c>
      <c r="DY25" s="243" t="s">
        <v>6</v>
      </c>
      <c r="DZ25" s="243" t="s">
        <v>6</v>
      </c>
      <c r="EA25" s="243" t="s">
        <v>6</v>
      </c>
      <c r="EB25" s="243" t="s">
        <v>6</v>
      </c>
      <c r="EC25" s="243" t="s">
        <v>6</v>
      </c>
      <c r="ED25" s="243" t="s">
        <v>6</v>
      </c>
      <c r="EE25" s="243" t="s">
        <v>6</v>
      </c>
      <c r="EF25" s="243" t="s">
        <v>6</v>
      </c>
      <c r="EG25" s="243" t="s">
        <v>6</v>
      </c>
      <c r="EH25" s="243" t="s">
        <v>6</v>
      </c>
      <c r="EI25" s="243" t="s">
        <v>6</v>
      </c>
      <c r="EJ25" s="243" t="s">
        <v>6</v>
      </c>
      <c r="EK25" s="243" t="s">
        <v>6</v>
      </c>
      <c r="EL25" s="243" t="s">
        <v>6</v>
      </c>
      <c r="EM25" s="243" t="s">
        <v>6</v>
      </c>
      <c r="EN25" s="243" t="s">
        <v>6</v>
      </c>
      <c r="EO25" s="243" t="s">
        <v>6</v>
      </c>
      <c r="EP25" s="243" t="s">
        <v>6</v>
      </c>
      <c r="EQ25" s="243" t="s">
        <v>6</v>
      </c>
      <c r="ER25" s="243" t="s">
        <v>6</v>
      </c>
      <c r="ES25" s="243" t="s">
        <v>6</v>
      </c>
      <c r="ET25" s="243" t="s">
        <v>6</v>
      </c>
      <c r="EU25" s="243" t="s">
        <v>6</v>
      </c>
      <c r="EV25" s="243" t="s">
        <v>6</v>
      </c>
      <c r="EW25" s="243" t="s">
        <v>6</v>
      </c>
    </row>
    <row r="26" spans="1:153" ht="13.5">
      <c r="A26" s="277" t="s">
        <v>6</v>
      </c>
      <c r="B26" s="247" t="s">
        <v>6</v>
      </c>
      <c r="C26" s="244" t="s">
        <v>161</v>
      </c>
      <c r="D26" s="244"/>
      <c r="E26" s="244" t="s">
        <v>6</v>
      </c>
      <c r="F26" s="233">
        <v>1</v>
      </c>
      <c r="G26" s="244" t="s">
        <v>156</v>
      </c>
      <c r="H26" s="268">
        <v>358.154</v>
      </c>
      <c r="I26" s="244" t="s">
        <v>6</v>
      </c>
      <c r="J26" s="268">
        <v>358.154</v>
      </c>
      <c r="K26" s="243" t="s">
        <v>6</v>
      </c>
      <c r="L26" s="243" t="s">
        <v>6</v>
      </c>
      <c r="M26" s="243" t="s">
        <v>6</v>
      </c>
      <c r="N26" s="243" t="s">
        <v>6</v>
      </c>
      <c r="O26" s="243" t="s">
        <v>6</v>
      </c>
      <c r="P26" s="243" t="s">
        <v>6</v>
      </c>
      <c r="Q26" s="243" t="s">
        <v>6</v>
      </c>
      <c r="R26" s="243" t="s">
        <v>6</v>
      </c>
      <c r="S26" s="243" t="s">
        <v>6</v>
      </c>
      <c r="T26" s="243" t="s">
        <v>6</v>
      </c>
      <c r="U26" s="243" t="s">
        <v>6</v>
      </c>
      <c r="V26" s="243" t="s">
        <v>6</v>
      </c>
      <c r="W26" s="243" t="s">
        <v>6</v>
      </c>
      <c r="X26" s="243" t="s">
        <v>6</v>
      </c>
      <c r="Y26" s="243" t="s">
        <v>6</v>
      </c>
      <c r="Z26" s="243" t="s">
        <v>6</v>
      </c>
      <c r="AA26" s="243" t="s">
        <v>6</v>
      </c>
      <c r="AB26" s="243" t="s">
        <v>6</v>
      </c>
      <c r="AC26" s="243" t="s">
        <v>6</v>
      </c>
      <c r="AD26" s="243" t="s">
        <v>6</v>
      </c>
      <c r="AE26" s="243" t="s">
        <v>6</v>
      </c>
      <c r="AF26" s="243" t="s">
        <v>6</v>
      </c>
      <c r="AG26" s="243" t="s">
        <v>6</v>
      </c>
      <c r="AH26" s="243" t="s">
        <v>6</v>
      </c>
      <c r="AI26" s="243" t="s">
        <v>6</v>
      </c>
      <c r="AJ26" s="243" t="s">
        <v>6</v>
      </c>
      <c r="AK26" s="243" t="s">
        <v>6</v>
      </c>
      <c r="AL26" s="243" t="s">
        <v>6</v>
      </c>
      <c r="AM26" s="243" t="s">
        <v>6</v>
      </c>
      <c r="AN26" s="243" t="s">
        <v>6</v>
      </c>
      <c r="AO26" s="243" t="s">
        <v>6</v>
      </c>
      <c r="AP26" s="243" t="s">
        <v>6</v>
      </c>
      <c r="AQ26" s="243" t="s">
        <v>6</v>
      </c>
      <c r="AR26" s="243" t="s">
        <v>6</v>
      </c>
      <c r="AS26" s="243" t="s">
        <v>6</v>
      </c>
      <c r="AT26" s="243" t="s">
        <v>6</v>
      </c>
      <c r="AU26" s="243" t="s">
        <v>6</v>
      </c>
      <c r="AV26" s="243" t="s">
        <v>6</v>
      </c>
      <c r="AW26" s="243" t="s">
        <v>6</v>
      </c>
      <c r="AX26" s="243" t="s">
        <v>6</v>
      </c>
      <c r="AY26" s="243" t="s">
        <v>6</v>
      </c>
      <c r="AZ26" s="243" t="s">
        <v>6</v>
      </c>
      <c r="BA26" s="243" t="s">
        <v>6</v>
      </c>
      <c r="BB26" s="243" t="s">
        <v>6</v>
      </c>
      <c r="BC26" s="243" t="s">
        <v>6</v>
      </c>
      <c r="BD26" s="243" t="s">
        <v>6</v>
      </c>
      <c r="BE26" s="243" t="s">
        <v>6</v>
      </c>
      <c r="BF26" s="243" t="s">
        <v>6</v>
      </c>
      <c r="BG26" s="243" t="s">
        <v>6</v>
      </c>
      <c r="BH26" s="243" t="s">
        <v>6</v>
      </c>
      <c r="BI26" s="243" t="s">
        <v>6</v>
      </c>
      <c r="BJ26" s="243" t="s">
        <v>6</v>
      </c>
      <c r="BK26" s="243" t="s">
        <v>6</v>
      </c>
      <c r="BL26" s="243" t="s">
        <v>6</v>
      </c>
      <c r="BM26" s="243" t="s">
        <v>6</v>
      </c>
      <c r="BN26" s="243" t="s">
        <v>6</v>
      </c>
      <c r="BO26" s="243" t="s">
        <v>6</v>
      </c>
      <c r="BP26" s="243" t="s">
        <v>6</v>
      </c>
      <c r="BQ26" s="243" t="s">
        <v>6</v>
      </c>
      <c r="BR26" s="243" t="s">
        <v>6</v>
      </c>
      <c r="BS26" s="243" t="s">
        <v>6</v>
      </c>
      <c r="BT26" s="243" t="s">
        <v>6</v>
      </c>
      <c r="BU26" s="243" t="s">
        <v>6</v>
      </c>
      <c r="BV26" s="243" t="s">
        <v>6</v>
      </c>
      <c r="BW26" s="243" t="s">
        <v>6</v>
      </c>
      <c r="BX26" s="243" t="s">
        <v>6</v>
      </c>
      <c r="BY26" s="243" t="s">
        <v>6</v>
      </c>
      <c r="BZ26" s="243" t="s">
        <v>6</v>
      </c>
      <c r="CA26" s="243" t="s">
        <v>6</v>
      </c>
      <c r="CB26" s="243" t="s">
        <v>6</v>
      </c>
      <c r="CC26" s="243" t="s">
        <v>6</v>
      </c>
      <c r="CD26" s="243" t="s">
        <v>6</v>
      </c>
      <c r="CE26" s="243" t="s">
        <v>6</v>
      </c>
      <c r="CF26" s="243" t="s">
        <v>6</v>
      </c>
      <c r="CG26" s="243" t="s">
        <v>6</v>
      </c>
      <c r="CH26" s="243" t="s">
        <v>6</v>
      </c>
      <c r="CI26" s="243" t="s">
        <v>6</v>
      </c>
      <c r="CJ26" s="243" t="s">
        <v>6</v>
      </c>
      <c r="CK26" s="243" t="s">
        <v>6</v>
      </c>
      <c r="CL26" s="243" t="s">
        <v>6</v>
      </c>
      <c r="CM26" s="243" t="s">
        <v>6</v>
      </c>
      <c r="CN26" s="243" t="s">
        <v>6</v>
      </c>
      <c r="CO26" s="243" t="s">
        <v>6</v>
      </c>
      <c r="CP26" s="243" t="s">
        <v>6</v>
      </c>
      <c r="CQ26" s="243" t="s">
        <v>6</v>
      </c>
      <c r="CR26" s="243" t="s">
        <v>6</v>
      </c>
      <c r="CS26" s="243" t="s">
        <v>6</v>
      </c>
      <c r="CT26" s="243" t="s">
        <v>6</v>
      </c>
      <c r="CU26" s="243" t="s">
        <v>6</v>
      </c>
      <c r="CV26" s="243" t="s">
        <v>6</v>
      </c>
      <c r="CW26" s="243" t="s">
        <v>6</v>
      </c>
      <c r="CX26" s="243" t="s">
        <v>6</v>
      </c>
      <c r="CY26" s="243" t="s">
        <v>6</v>
      </c>
      <c r="CZ26" s="243" t="s">
        <v>6</v>
      </c>
      <c r="DA26" s="243" t="s">
        <v>6</v>
      </c>
      <c r="DB26" s="243" t="s">
        <v>6</v>
      </c>
      <c r="DC26" s="243" t="s">
        <v>6</v>
      </c>
      <c r="DD26" s="243" t="s">
        <v>6</v>
      </c>
      <c r="DE26" s="243" t="s">
        <v>6</v>
      </c>
      <c r="DF26" s="243" t="s">
        <v>6</v>
      </c>
      <c r="DG26" s="243" t="s">
        <v>6</v>
      </c>
      <c r="DH26" s="243" t="s">
        <v>6</v>
      </c>
      <c r="DI26" s="243" t="s">
        <v>6</v>
      </c>
      <c r="DJ26" s="243" t="s">
        <v>6</v>
      </c>
      <c r="DK26" s="243" t="s">
        <v>6</v>
      </c>
      <c r="DL26" s="243" t="s">
        <v>6</v>
      </c>
      <c r="DM26" s="243" t="s">
        <v>6</v>
      </c>
      <c r="DN26" s="243" t="s">
        <v>6</v>
      </c>
      <c r="DO26" s="243" t="s">
        <v>6</v>
      </c>
      <c r="DP26" s="243" t="s">
        <v>6</v>
      </c>
      <c r="DQ26" s="243" t="s">
        <v>6</v>
      </c>
      <c r="DR26" s="243" t="s">
        <v>6</v>
      </c>
      <c r="DS26" s="243" t="s">
        <v>6</v>
      </c>
      <c r="DT26" s="243" t="s">
        <v>6</v>
      </c>
      <c r="DU26" s="243" t="s">
        <v>6</v>
      </c>
      <c r="DV26" s="243" t="s">
        <v>6</v>
      </c>
      <c r="DW26" s="243" t="s">
        <v>6</v>
      </c>
      <c r="DX26" s="243" t="s">
        <v>6</v>
      </c>
      <c r="DY26" s="243" t="s">
        <v>6</v>
      </c>
      <c r="DZ26" s="243" t="s">
        <v>6</v>
      </c>
      <c r="EA26" s="243" t="s">
        <v>6</v>
      </c>
      <c r="EB26" s="243" t="s">
        <v>6</v>
      </c>
      <c r="EC26" s="243" t="s">
        <v>6</v>
      </c>
      <c r="ED26" s="243" t="s">
        <v>6</v>
      </c>
      <c r="EE26" s="243" t="s">
        <v>6</v>
      </c>
      <c r="EF26" s="243" t="s">
        <v>6</v>
      </c>
      <c r="EG26" s="243" t="s">
        <v>6</v>
      </c>
      <c r="EH26" s="243" t="s">
        <v>6</v>
      </c>
      <c r="EI26" s="243" t="s">
        <v>6</v>
      </c>
      <c r="EJ26" s="243" t="s">
        <v>6</v>
      </c>
      <c r="EK26" s="243" t="s">
        <v>6</v>
      </c>
      <c r="EL26" s="243" t="s">
        <v>6</v>
      </c>
      <c r="EM26" s="243" t="s">
        <v>6</v>
      </c>
      <c r="EN26" s="243" t="s">
        <v>6</v>
      </c>
      <c r="EO26" s="243" t="s">
        <v>6</v>
      </c>
      <c r="EP26" s="243" t="s">
        <v>6</v>
      </c>
      <c r="EQ26" s="243" t="s">
        <v>6</v>
      </c>
      <c r="ER26" s="243" t="s">
        <v>6</v>
      </c>
      <c r="ES26" s="243" t="s">
        <v>6</v>
      </c>
      <c r="ET26" s="243" t="s">
        <v>6</v>
      </c>
      <c r="EU26" s="243" t="s">
        <v>6</v>
      </c>
      <c r="EV26" s="243" t="s">
        <v>6</v>
      </c>
      <c r="EW26" s="243" t="s">
        <v>6</v>
      </c>
    </row>
    <row r="27" spans="1:153" ht="13.5">
      <c r="A27" s="277" t="s">
        <v>6</v>
      </c>
      <c r="B27" s="247" t="s">
        <v>6</v>
      </c>
      <c r="C27" s="244" t="s">
        <v>6</v>
      </c>
      <c r="D27" s="244" t="s">
        <v>6</v>
      </c>
      <c r="E27" s="244" t="s">
        <v>6</v>
      </c>
      <c r="F27" s="244" t="s">
        <v>6</v>
      </c>
      <c r="G27" s="244" t="s">
        <v>6</v>
      </c>
      <c r="H27" s="244" t="s">
        <v>6</v>
      </c>
      <c r="I27" s="244" t="s">
        <v>6</v>
      </c>
      <c r="J27" s="244" t="s">
        <v>6</v>
      </c>
      <c r="K27" s="243" t="s">
        <v>6</v>
      </c>
      <c r="L27" s="243" t="s">
        <v>6</v>
      </c>
      <c r="M27" s="243" t="s">
        <v>6</v>
      </c>
      <c r="N27" s="243" t="s">
        <v>6</v>
      </c>
      <c r="O27" s="243" t="s">
        <v>6</v>
      </c>
      <c r="P27" s="243" t="s">
        <v>6</v>
      </c>
      <c r="Q27" s="243" t="s">
        <v>6</v>
      </c>
      <c r="R27" s="243" t="s">
        <v>6</v>
      </c>
      <c r="S27" s="243" t="s">
        <v>6</v>
      </c>
      <c r="T27" s="243" t="s">
        <v>6</v>
      </c>
      <c r="U27" s="243" t="s">
        <v>6</v>
      </c>
      <c r="V27" s="243" t="s">
        <v>6</v>
      </c>
      <c r="W27" s="243" t="s">
        <v>6</v>
      </c>
      <c r="X27" s="243" t="s">
        <v>6</v>
      </c>
      <c r="Y27" s="243" t="s">
        <v>6</v>
      </c>
      <c r="Z27" s="243" t="s">
        <v>6</v>
      </c>
      <c r="AA27" s="243" t="s">
        <v>6</v>
      </c>
      <c r="AB27" s="243" t="s">
        <v>6</v>
      </c>
      <c r="AC27" s="243" t="s">
        <v>6</v>
      </c>
      <c r="AD27" s="243" t="s">
        <v>6</v>
      </c>
      <c r="AE27" s="243" t="s">
        <v>6</v>
      </c>
      <c r="AF27" s="243" t="s">
        <v>6</v>
      </c>
      <c r="AG27" s="243" t="s">
        <v>6</v>
      </c>
      <c r="AH27" s="243" t="s">
        <v>6</v>
      </c>
      <c r="AI27" s="243" t="s">
        <v>6</v>
      </c>
      <c r="AJ27" s="243" t="s">
        <v>6</v>
      </c>
      <c r="AK27" s="243" t="s">
        <v>6</v>
      </c>
      <c r="AL27" s="243" t="s">
        <v>6</v>
      </c>
      <c r="AM27" s="243" t="s">
        <v>6</v>
      </c>
      <c r="AN27" s="243" t="s">
        <v>6</v>
      </c>
      <c r="AO27" s="243" t="s">
        <v>6</v>
      </c>
      <c r="AP27" s="243" t="s">
        <v>6</v>
      </c>
      <c r="AQ27" s="243" t="s">
        <v>6</v>
      </c>
      <c r="AR27" s="243" t="s">
        <v>6</v>
      </c>
      <c r="AS27" s="243" t="s">
        <v>6</v>
      </c>
      <c r="AT27" s="243" t="s">
        <v>6</v>
      </c>
      <c r="AU27" s="243" t="s">
        <v>6</v>
      </c>
      <c r="AV27" s="243" t="s">
        <v>6</v>
      </c>
      <c r="AW27" s="243" t="s">
        <v>6</v>
      </c>
      <c r="AX27" s="243" t="s">
        <v>6</v>
      </c>
      <c r="AY27" s="243" t="s">
        <v>6</v>
      </c>
      <c r="AZ27" s="243" t="s">
        <v>6</v>
      </c>
      <c r="BA27" s="243" t="s">
        <v>6</v>
      </c>
      <c r="BB27" s="243" t="s">
        <v>6</v>
      </c>
      <c r="BC27" s="243" t="s">
        <v>6</v>
      </c>
      <c r="BD27" s="243" t="s">
        <v>6</v>
      </c>
      <c r="BE27" s="243" t="s">
        <v>6</v>
      </c>
      <c r="BF27" s="243" t="s">
        <v>6</v>
      </c>
      <c r="BG27" s="243" t="s">
        <v>6</v>
      </c>
      <c r="BH27" s="243" t="s">
        <v>6</v>
      </c>
      <c r="BI27" s="243" t="s">
        <v>6</v>
      </c>
      <c r="BJ27" s="243" t="s">
        <v>6</v>
      </c>
      <c r="BK27" s="243" t="s">
        <v>6</v>
      </c>
      <c r="BL27" s="243" t="s">
        <v>6</v>
      </c>
      <c r="BM27" s="243" t="s">
        <v>6</v>
      </c>
      <c r="BN27" s="243" t="s">
        <v>6</v>
      </c>
      <c r="BO27" s="243" t="s">
        <v>6</v>
      </c>
      <c r="BP27" s="243" t="s">
        <v>6</v>
      </c>
      <c r="BQ27" s="243" t="s">
        <v>6</v>
      </c>
      <c r="BR27" s="243" t="s">
        <v>6</v>
      </c>
      <c r="BS27" s="243" t="s">
        <v>6</v>
      </c>
      <c r="BT27" s="243" t="s">
        <v>6</v>
      </c>
      <c r="BU27" s="243" t="s">
        <v>6</v>
      </c>
      <c r="BV27" s="243" t="s">
        <v>6</v>
      </c>
      <c r="BW27" s="243" t="s">
        <v>6</v>
      </c>
      <c r="BX27" s="243" t="s">
        <v>6</v>
      </c>
      <c r="BY27" s="243" t="s">
        <v>6</v>
      </c>
      <c r="BZ27" s="243" t="s">
        <v>6</v>
      </c>
      <c r="CA27" s="243" t="s">
        <v>6</v>
      </c>
      <c r="CB27" s="243" t="s">
        <v>6</v>
      </c>
      <c r="CC27" s="243" t="s">
        <v>6</v>
      </c>
      <c r="CD27" s="243" t="s">
        <v>6</v>
      </c>
      <c r="CE27" s="243" t="s">
        <v>6</v>
      </c>
      <c r="CF27" s="243" t="s">
        <v>6</v>
      </c>
      <c r="CG27" s="243" t="s">
        <v>6</v>
      </c>
      <c r="CH27" s="243" t="s">
        <v>6</v>
      </c>
      <c r="CI27" s="243" t="s">
        <v>6</v>
      </c>
      <c r="CJ27" s="243" t="s">
        <v>6</v>
      </c>
      <c r="CK27" s="243" t="s">
        <v>6</v>
      </c>
      <c r="CL27" s="243" t="s">
        <v>6</v>
      </c>
      <c r="CM27" s="243" t="s">
        <v>6</v>
      </c>
      <c r="CN27" s="243" t="s">
        <v>6</v>
      </c>
      <c r="CO27" s="243" t="s">
        <v>6</v>
      </c>
      <c r="CP27" s="243" t="s">
        <v>6</v>
      </c>
      <c r="CQ27" s="243" t="s">
        <v>6</v>
      </c>
      <c r="CR27" s="243" t="s">
        <v>6</v>
      </c>
      <c r="CS27" s="243" t="s">
        <v>6</v>
      </c>
      <c r="CT27" s="243" t="s">
        <v>6</v>
      </c>
      <c r="CU27" s="243" t="s">
        <v>6</v>
      </c>
      <c r="CV27" s="243" t="s">
        <v>6</v>
      </c>
      <c r="CW27" s="243" t="s">
        <v>6</v>
      </c>
      <c r="CX27" s="243" t="s">
        <v>6</v>
      </c>
      <c r="CY27" s="243" t="s">
        <v>6</v>
      </c>
      <c r="CZ27" s="243" t="s">
        <v>6</v>
      </c>
      <c r="DA27" s="243" t="s">
        <v>6</v>
      </c>
      <c r="DB27" s="243" t="s">
        <v>6</v>
      </c>
      <c r="DC27" s="243" t="s">
        <v>6</v>
      </c>
      <c r="DD27" s="243" t="s">
        <v>6</v>
      </c>
      <c r="DE27" s="243" t="s">
        <v>6</v>
      </c>
      <c r="DF27" s="243" t="s">
        <v>6</v>
      </c>
      <c r="DG27" s="243" t="s">
        <v>6</v>
      </c>
      <c r="DH27" s="243" t="s">
        <v>6</v>
      </c>
      <c r="DI27" s="243" t="s">
        <v>6</v>
      </c>
      <c r="DJ27" s="243" t="s">
        <v>6</v>
      </c>
      <c r="DK27" s="243" t="s">
        <v>6</v>
      </c>
      <c r="DL27" s="243" t="s">
        <v>6</v>
      </c>
      <c r="DM27" s="243" t="s">
        <v>6</v>
      </c>
      <c r="DN27" s="243" t="s">
        <v>6</v>
      </c>
      <c r="DO27" s="243" t="s">
        <v>6</v>
      </c>
      <c r="DP27" s="243" t="s">
        <v>6</v>
      </c>
      <c r="DQ27" s="243" t="s">
        <v>6</v>
      </c>
      <c r="DR27" s="243" t="s">
        <v>6</v>
      </c>
      <c r="DS27" s="243" t="s">
        <v>6</v>
      </c>
      <c r="DT27" s="243" t="s">
        <v>6</v>
      </c>
      <c r="DU27" s="243" t="s">
        <v>6</v>
      </c>
      <c r="DV27" s="243" t="s">
        <v>6</v>
      </c>
      <c r="DW27" s="243" t="s">
        <v>6</v>
      </c>
      <c r="DX27" s="243" t="s">
        <v>6</v>
      </c>
      <c r="DY27" s="243" t="s">
        <v>6</v>
      </c>
      <c r="DZ27" s="243" t="s">
        <v>6</v>
      </c>
      <c r="EA27" s="243" t="s">
        <v>6</v>
      </c>
      <c r="EB27" s="243" t="s">
        <v>6</v>
      </c>
      <c r="EC27" s="243" t="s">
        <v>6</v>
      </c>
      <c r="ED27" s="243" t="s">
        <v>6</v>
      </c>
      <c r="EE27" s="243" t="s">
        <v>6</v>
      </c>
      <c r="EF27" s="243" t="s">
        <v>6</v>
      </c>
      <c r="EG27" s="243" t="s">
        <v>6</v>
      </c>
      <c r="EH27" s="243" t="s">
        <v>6</v>
      </c>
      <c r="EI27" s="243" t="s">
        <v>6</v>
      </c>
      <c r="EJ27" s="243" t="s">
        <v>6</v>
      </c>
      <c r="EK27" s="243" t="s">
        <v>6</v>
      </c>
      <c r="EL27" s="243" t="s">
        <v>6</v>
      </c>
      <c r="EM27" s="243" t="s">
        <v>6</v>
      </c>
      <c r="EN27" s="243" t="s">
        <v>6</v>
      </c>
      <c r="EO27" s="243" t="s">
        <v>6</v>
      </c>
      <c r="EP27" s="243" t="s">
        <v>6</v>
      </c>
      <c r="EQ27" s="243" t="s">
        <v>6</v>
      </c>
      <c r="ER27" s="243" t="s">
        <v>6</v>
      </c>
      <c r="ES27" s="243" t="s">
        <v>6</v>
      </c>
      <c r="ET27" s="243" t="s">
        <v>6</v>
      </c>
      <c r="EU27" s="243" t="s">
        <v>6</v>
      </c>
      <c r="EV27" s="243" t="s">
        <v>6</v>
      </c>
      <c r="EW27" s="243" t="s">
        <v>6</v>
      </c>
    </row>
    <row r="28" spans="1:153" ht="13.5">
      <c r="A28" s="277" t="s">
        <v>6</v>
      </c>
      <c r="B28" s="247" t="s">
        <v>6</v>
      </c>
      <c r="C28" s="244" t="s">
        <v>162</v>
      </c>
      <c r="D28" s="244"/>
      <c r="E28" s="244" t="s">
        <v>6</v>
      </c>
      <c r="F28" s="233">
        <v>10</v>
      </c>
      <c r="G28" s="244" t="s">
        <v>163</v>
      </c>
      <c r="H28" s="268" t="s">
        <v>175</v>
      </c>
      <c r="I28" s="244" t="s">
        <v>6</v>
      </c>
      <c r="J28" s="244" t="s">
        <v>6</v>
      </c>
      <c r="K28" s="243" t="s">
        <v>6</v>
      </c>
      <c r="L28" s="243" t="s">
        <v>6</v>
      </c>
      <c r="M28" s="243" t="s">
        <v>6</v>
      </c>
      <c r="N28" s="243" t="s">
        <v>6</v>
      </c>
      <c r="O28" s="243" t="s">
        <v>6</v>
      </c>
      <c r="P28" s="243" t="s">
        <v>6</v>
      </c>
      <c r="Q28" s="243" t="s">
        <v>6</v>
      </c>
      <c r="R28" s="243" t="s">
        <v>6</v>
      </c>
      <c r="S28" s="243" t="s">
        <v>6</v>
      </c>
      <c r="T28" s="243" t="s">
        <v>6</v>
      </c>
      <c r="U28" s="243" t="s">
        <v>6</v>
      </c>
      <c r="V28" s="243" t="s">
        <v>6</v>
      </c>
      <c r="W28" s="243" t="s">
        <v>6</v>
      </c>
      <c r="X28" s="243" t="s">
        <v>6</v>
      </c>
      <c r="Y28" s="243" t="s">
        <v>6</v>
      </c>
      <c r="Z28" s="243" t="s">
        <v>6</v>
      </c>
      <c r="AA28" s="243" t="s">
        <v>6</v>
      </c>
      <c r="AB28" s="243" t="s">
        <v>6</v>
      </c>
      <c r="AC28" s="243" t="s">
        <v>6</v>
      </c>
      <c r="AD28" s="243" t="s">
        <v>6</v>
      </c>
      <c r="AE28" s="243" t="s">
        <v>6</v>
      </c>
      <c r="AF28" s="243" t="s">
        <v>6</v>
      </c>
      <c r="AG28" s="243" t="s">
        <v>6</v>
      </c>
      <c r="AH28" s="243" t="s">
        <v>6</v>
      </c>
      <c r="AI28" s="243" t="s">
        <v>6</v>
      </c>
      <c r="AJ28" s="243" t="s">
        <v>6</v>
      </c>
      <c r="AK28" s="243" t="s">
        <v>6</v>
      </c>
      <c r="AL28" s="243" t="s">
        <v>6</v>
      </c>
      <c r="AM28" s="243" t="s">
        <v>6</v>
      </c>
      <c r="AN28" s="243" t="s">
        <v>6</v>
      </c>
      <c r="AO28" s="243" t="s">
        <v>6</v>
      </c>
      <c r="AP28" s="243" t="s">
        <v>6</v>
      </c>
      <c r="AQ28" s="243" t="s">
        <v>6</v>
      </c>
      <c r="AR28" s="243" t="s">
        <v>6</v>
      </c>
      <c r="AS28" s="243" t="s">
        <v>6</v>
      </c>
      <c r="AT28" s="243" t="s">
        <v>6</v>
      </c>
      <c r="AU28" s="243" t="s">
        <v>6</v>
      </c>
      <c r="AV28" s="243" t="s">
        <v>6</v>
      </c>
      <c r="AW28" s="243" t="s">
        <v>6</v>
      </c>
      <c r="AX28" s="243" t="s">
        <v>6</v>
      </c>
      <c r="AY28" s="243" t="s">
        <v>6</v>
      </c>
      <c r="AZ28" s="243" t="s">
        <v>6</v>
      </c>
      <c r="BA28" s="243" t="s">
        <v>6</v>
      </c>
      <c r="BB28" s="243" t="s">
        <v>6</v>
      </c>
      <c r="BC28" s="243" t="s">
        <v>6</v>
      </c>
      <c r="BD28" s="243" t="s">
        <v>6</v>
      </c>
      <c r="BE28" s="243" t="s">
        <v>6</v>
      </c>
      <c r="BF28" s="243" t="s">
        <v>6</v>
      </c>
      <c r="BG28" s="243" t="s">
        <v>6</v>
      </c>
      <c r="BH28" s="243" t="s">
        <v>6</v>
      </c>
      <c r="BI28" s="243" t="s">
        <v>6</v>
      </c>
      <c r="BJ28" s="243" t="s">
        <v>6</v>
      </c>
      <c r="BK28" s="243" t="s">
        <v>6</v>
      </c>
      <c r="BL28" s="243" t="s">
        <v>6</v>
      </c>
      <c r="BM28" s="243" t="s">
        <v>6</v>
      </c>
      <c r="BN28" s="243" t="s">
        <v>6</v>
      </c>
      <c r="BO28" s="243" t="s">
        <v>6</v>
      </c>
      <c r="BP28" s="243" t="s">
        <v>6</v>
      </c>
      <c r="BQ28" s="243" t="s">
        <v>6</v>
      </c>
      <c r="BR28" s="243" t="s">
        <v>6</v>
      </c>
      <c r="BS28" s="243" t="s">
        <v>6</v>
      </c>
      <c r="BT28" s="243" t="s">
        <v>6</v>
      </c>
      <c r="BU28" s="243" t="s">
        <v>6</v>
      </c>
      <c r="BV28" s="243" t="s">
        <v>6</v>
      </c>
      <c r="BW28" s="243" t="s">
        <v>6</v>
      </c>
      <c r="BX28" s="243" t="s">
        <v>6</v>
      </c>
      <c r="BY28" s="243" t="s">
        <v>6</v>
      </c>
      <c r="BZ28" s="243" t="s">
        <v>6</v>
      </c>
      <c r="CA28" s="243" t="s">
        <v>6</v>
      </c>
      <c r="CB28" s="243" t="s">
        <v>6</v>
      </c>
      <c r="CC28" s="243" t="s">
        <v>6</v>
      </c>
      <c r="CD28" s="243" t="s">
        <v>6</v>
      </c>
      <c r="CE28" s="243" t="s">
        <v>6</v>
      </c>
      <c r="CF28" s="243" t="s">
        <v>6</v>
      </c>
      <c r="CG28" s="243" t="s">
        <v>6</v>
      </c>
      <c r="CH28" s="243" t="s">
        <v>6</v>
      </c>
      <c r="CI28" s="243" t="s">
        <v>6</v>
      </c>
      <c r="CJ28" s="243" t="s">
        <v>6</v>
      </c>
      <c r="CK28" s="243" t="s">
        <v>6</v>
      </c>
      <c r="CL28" s="243" t="s">
        <v>6</v>
      </c>
      <c r="CM28" s="243" t="s">
        <v>6</v>
      </c>
      <c r="CN28" s="243" t="s">
        <v>6</v>
      </c>
      <c r="CO28" s="243" t="s">
        <v>6</v>
      </c>
      <c r="CP28" s="243" t="s">
        <v>6</v>
      </c>
      <c r="CQ28" s="243" t="s">
        <v>6</v>
      </c>
      <c r="CR28" s="243" t="s">
        <v>6</v>
      </c>
      <c r="CS28" s="243" t="s">
        <v>6</v>
      </c>
      <c r="CT28" s="243" t="s">
        <v>6</v>
      </c>
      <c r="CU28" s="243" t="s">
        <v>6</v>
      </c>
      <c r="CV28" s="243" t="s">
        <v>6</v>
      </c>
      <c r="CW28" s="243" t="s">
        <v>6</v>
      </c>
      <c r="CX28" s="243" t="s">
        <v>6</v>
      </c>
      <c r="CY28" s="243" t="s">
        <v>6</v>
      </c>
      <c r="CZ28" s="243" t="s">
        <v>6</v>
      </c>
      <c r="DA28" s="243" t="s">
        <v>6</v>
      </c>
      <c r="DB28" s="243" t="s">
        <v>6</v>
      </c>
      <c r="DC28" s="243" t="s">
        <v>6</v>
      </c>
      <c r="DD28" s="243" t="s">
        <v>6</v>
      </c>
      <c r="DE28" s="243" t="s">
        <v>6</v>
      </c>
      <c r="DF28" s="243" t="s">
        <v>6</v>
      </c>
      <c r="DG28" s="243" t="s">
        <v>6</v>
      </c>
      <c r="DH28" s="243" t="s">
        <v>6</v>
      </c>
      <c r="DI28" s="243" t="s">
        <v>6</v>
      </c>
      <c r="DJ28" s="243" t="s">
        <v>6</v>
      </c>
      <c r="DK28" s="243" t="s">
        <v>6</v>
      </c>
      <c r="DL28" s="243" t="s">
        <v>6</v>
      </c>
      <c r="DM28" s="243" t="s">
        <v>6</v>
      </c>
      <c r="DN28" s="243" t="s">
        <v>6</v>
      </c>
      <c r="DO28" s="243" t="s">
        <v>6</v>
      </c>
      <c r="DP28" s="243" t="s">
        <v>6</v>
      </c>
      <c r="DQ28" s="243" t="s">
        <v>6</v>
      </c>
      <c r="DR28" s="243" t="s">
        <v>6</v>
      </c>
      <c r="DS28" s="243" t="s">
        <v>6</v>
      </c>
      <c r="DT28" s="243" t="s">
        <v>6</v>
      </c>
      <c r="DU28" s="243" t="s">
        <v>6</v>
      </c>
      <c r="DV28" s="243" t="s">
        <v>6</v>
      </c>
      <c r="DW28" s="243" t="s">
        <v>6</v>
      </c>
      <c r="DX28" s="243" t="s">
        <v>6</v>
      </c>
      <c r="DY28" s="243" t="s">
        <v>6</v>
      </c>
      <c r="DZ28" s="243" t="s">
        <v>6</v>
      </c>
      <c r="EA28" s="243" t="s">
        <v>6</v>
      </c>
      <c r="EB28" s="243" t="s">
        <v>6</v>
      </c>
      <c r="EC28" s="243" t="s">
        <v>6</v>
      </c>
      <c r="ED28" s="243" t="s">
        <v>6</v>
      </c>
      <c r="EE28" s="243" t="s">
        <v>6</v>
      </c>
      <c r="EF28" s="243" t="s">
        <v>6</v>
      </c>
      <c r="EG28" s="243" t="s">
        <v>6</v>
      </c>
      <c r="EH28" s="243" t="s">
        <v>6</v>
      </c>
      <c r="EI28" s="243" t="s">
        <v>6</v>
      </c>
      <c r="EJ28" s="243" t="s">
        <v>6</v>
      </c>
      <c r="EK28" s="243" t="s">
        <v>6</v>
      </c>
      <c r="EL28" s="243" t="s">
        <v>6</v>
      </c>
      <c r="EM28" s="243" t="s">
        <v>6</v>
      </c>
      <c r="EN28" s="243" t="s">
        <v>6</v>
      </c>
      <c r="EO28" s="243" t="s">
        <v>6</v>
      </c>
      <c r="EP28" s="243" t="s">
        <v>6</v>
      </c>
      <c r="EQ28" s="243" t="s">
        <v>6</v>
      </c>
      <c r="ER28" s="243" t="s">
        <v>6</v>
      </c>
      <c r="ES28" s="243" t="s">
        <v>6</v>
      </c>
      <c r="ET28" s="243" t="s">
        <v>6</v>
      </c>
      <c r="EU28" s="243" t="s">
        <v>6</v>
      </c>
      <c r="EV28" s="243" t="s">
        <v>6</v>
      </c>
      <c r="EW28" s="243" t="s">
        <v>6</v>
      </c>
    </row>
    <row r="29" spans="1:153" ht="13.5">
      <c r="A29" s="277" t="s">
        <v>6</v>
      </c>
      <c r="B29" s="247" t="s">
        <v>6</v>
      </c>
      <c r="C29" s="244" t="s">
        <v>6</v>
      </c>
      <c r="D29" s="244" t="s">
        <v>6</v>
      </c>
      <c r="E29" s="244" t="s">
        <v>6</v>
      </c>
      <c r="F29" s="244" t="s">
        <v>6</v>
      </c>
      <c r="G29" s="244" t="s">
        <v>6</v>
      </c>
      <c r="H29" s="244" t="s">
        <v>6</v>
      </c>
      <c r="I29" s="244" t="s">
        <v>6</v>
      </c>
      <c r="J29" s="244" t="s">
        <v>6</v>
      </c>
      <c r="K29" s="243" t="s">
        <v>6</v>
      </c>
      <c r="L29" s="243" t="s">
        <v>6</v>
      </c>
      <c r="M29" s="243" t="s">
        <v>6</v>
      </c>
      <c r="N29" s="243" t="s">
        <v>6</v>
      </c>
      <c r="O29" s="243" t="s">
        <v>6</v>
      </c>
      <c r="P29" s="243" t="s">
        <v>6</v>
      </c>
      <c r="Q29" s="243" t="s">
        <v>6</v>
      </c>
      <c r="R29" s="243" t="s">
        <v>6</v>
      </c>
      <c r="S29" s="243" t="s">
        <v>6</v>
      </c>
      <c r="T29" s="243" t="s">
        <v>6</v>
      </c>
      <c r="U29" s="243" t="s">
        <v>6</v>
      </c>
      <c r="V29" s="243" t="s">
        <v>6</v>
      </c>
      <c r="W29" s="243" t="s">
        <v>6</v>
      </c>
      <c r="X29" s="243" t="s">
        <v>6</v>
      </c>
      <c r="Y29" s="243" t="s">
        <v>6</v>
      </c>
      <c r="Z29" s="243" t="s">
        <v>6</v>
      </c>
      <c r="AA29" s="243" t="s">
        <v>6</v>
      </c>
      <c r="AB29" s="243" t="s">
        <v>6</v>
      </c>
      <c r="AC29" s="243" t="s">
        <v>6</v>
      </c>
      <c r="AD29" s="243" t="s">
        <v>6</v>
      </c>
      <c r="AE29" s="243" t="s">
        <v>6</v>
      </c>
      <c r="AF29" s="243" t="s">
        <v>6</v>
      </c>
      <c r="AG29" s="243" t="s">
        <v>6</v>
      </c>
      <c r="AH29" s="243" t="s">
        <v>6</v>
      </c>
      <c r="AI29" s="243" t="s">
        <v>6</v>
      </c>
      <c r="AJ29" s="243" t="s">
        <v>6</v>
      </c>
      <c r="AK29" s="243" t="s">
        <v>6</v>
      </c>
      <c r="AL29" s="243" t="s">
        <v>6</v>
      </c>
      <c r="AM29" s="243" t="s">
        <v>6</v>
      </c>
      <c r="AN29" s="243" t="s">
        <v>6</v>
      </c>
      <c r="AO29" s="243" t="s">
        <v>6</v>
      </c>
      <c r="AP29" s="243" t="s">
        <v>6</v>
      </c>
      <c r="AQ29" s="243" t="s">
        <v>6</v>
      </c>
      <c r="AR29" s="243" t="s">
        <v>6</v>
      </c>
      <c r="AS29" s="243" t="s">
        <v>6</v>
      </c>
      <c r="AT29" s="243" t="s">
        <v>6</v>
      </c>
      <c r="AU29" s="243" t="s">
        <v>6</v>
      </c>
      <c r="AV29" s="243" t="s">
        <v>6</v>
      </c>
      <c r="AW29" s="243" t="s">
        <v>6</v>
      </c>
      <c r="AX29" s="243" t="s">
        <v>6</v>
      </c>
      <c r="AY29" s="243" t="s">
        <v>6</v>
      </c>
      <c r="AZ29" s="243" t="s">
        <v>6</v>
      </c>
      <c r="BA29" s="243" t="s">
        <v>6</v>
      </c>
      <c r="BB29" s="243" t="s">
        <v>6</v>
      </c>
      <c r="BC29" s="243" t="s">
        <v>6</v>
      </c>
      <c r="BD29" s="243" t="s">
        <v>6</v>
      </c>
      <c r="BE29" s="243" t="s">
        <v>6</v>
      </c>
      <c r="BF29" s="243" t="s">
        <v>6</v>
      </c>
      <c r="BG29" s="243" t="s">
        <v>6</v>
      </c>
      <c r="BH29" s="243" t="s">
        <v>6</v>
      </c>
      <c r="BI29" s="243" t="s">
        <v>6</v>
      </c>
      <c r="BJ29" s="243" t="s">
        <v>6</v>
      </c>
      <c r="BK29" s="243" t="s">
        <v>6</v>
      </c>
      <c r="BL29" s="243" t="s">
        <v>6</v>
      </c>
      <c r="BM29" s="243" t="s">
        <v>6</v>
      </c>
      <c r="BN29" s="243" t="s">
        <v>6</v>
      </c>
      <c r="BO29" s="243" t="s">
        <v>6</v>
      </c>
      <c r="BP29" s="243" t="s">
        <v>6</v>
      </c>
      <c r="BQ29" s="243" t="s">
        <v>6</v>
      </c>
      <c r="BR29" s="243" t="s">
        <v>6</v>
      </c>
      <c r="BS29" s="243" t="s">
        <v>6</v>
      </c>
      <c r="BT29" s="243" t="s">
        <v>6</v>
      </c>
      <c r="BU29" s="243" t="s">
        <v>6</v>
      </c>
      <c r="BV29" s="243" t="s">
        <v>6</v>
      </c>
      <c r="BW29" s="243" t="s">
        <v>6</v>
      </c>
      <c r="BX29" s="243" t="s">
        <v>6</v>
      </c>
      <c r="BY29" s="243" t="s">
        <v>6</v>
      </c>
      <c r="BZ29" s="243" t="s">
        <v>6</v>
      </c>
      <c r="CA29" s="243" t="s">
        <v>6</v>
      </c>
      <c r="CB29" s="243" t="s">
        <v>6</v>
      </c>
      <c r="CC29" s="243" t="s">
        <v>6</v>
      </c>
      <c r="CD29" s="243" t="s">
        <v>6</v>
      </c>
      <c r="CE29" s="243" t="s">
        <v>6</v>
      </c>
      <c r="CF29" s="243" t="s">
        <v>6</v>
      </c>
      <c r="CG29" s="243" t="s">
        <v>6</v>
      </c>
      <c r="CH29" s="243" t="s">
        <v>6</v>
      </c>
      <c r="CI29" s="243" t="s">
        <v>6</v>
      </c>
      <c r="CJ29" s="243" t="s">
        <v>6</v>
      </c>
      <c r="CK29" s="243" t="s">
        <v>6</v>
      </c>
      <c r="CL29" s="243" t="s">
        <v>6</v>
      </c>
      <c r="CM29" s="243" t="s">
        <v>6</v>
      </c>
      <c r="CN29" s="243" t="s">
        <v>6</v>
      </c>
      <c r="CO29" s="243" t="s">
        <v>6</v>
      </c>
      <c r="CP29" s="243" t="s">
        <v>6</v>
      </c>
      <c r="CQ29" s="243" t="s">
        <v>6</v>
      </c>
      <c r="CR29" s="243" t="s">
        <v>6</v>
      </c>
      <c r="CS29" s="243" t="s">
        <v>6</v>
      </c>
      <c r="CT29" s="243" t="s">
        <v>6</v>
      </c>
      <c r="CU29" s="243" t="s">
        <v>6</v>
      </c>
      <c r="CV29" s="243" t="s">
        <v>6</v>
      </c>
      <c r="CW29" s="243" t="s">
        <v>6</v>
      </c>
      <c r="CX29" s="243" t="s">
        <v>6</v>
      </c>
      <c r="CY29" s="243" t="s">
        <v>6</v>
      </c>
      <c r="CZ29" s="243" t="s">
        <v>6</v>
      </c>
      <c r="DA29" s="243" t="s">
        <v>6</v>
      </c>
      <c r="DB29" s="243" t="s">
        <v>6</v>
      </c>
      <c r="DC29" s="243" t="s">
        <v>6</v>
      </c>
      <c r="DD29" s="243" t="s">
        <v>6</v>
      </c>
      <c r="DE29" s="243" t="s">
        <v>6</v>
      </c>
      <c r="DF29" s="243" t="s">
        <v>6</v>
      </c>
      <c r="DG29" s="243" t="s">
        <v>6</v>
      </c>
      <c r="DH29" s="243" t="s">
        <v>6</v>
      </c>
      <c r="DI29" s="243" t="s">
        <v>6</v>
      </c>
      <c r="DJ29" s="243" t="s">
        <v>6</v>
      </c>
      <c r="DK29" s="243" t="s">
        <v>6</v>
      </c>
      <c r="DL29" s="243" t="s">
        <v>6</v>
      </c>
      <c r="DM29" s="243" t="s">
        <v>6</v>
      </c>
      <c r="DN29" s="243" t="s">
        <v>6</v>
      </c>
      <c r="DO29" s="243" t="s">
        <v>6</v>
      </c>
      <c r="DP29" s="243" t="s">
        <v>6</v>
      </c>
      <c r="DQ29" s="243" t="s">
        <v>6</v>
      </c>
      <c r="DR29" s="243" t="s">
        <v>6</v>
      </c>
      <c r="DS29" s="243" t="s">
        <v>6</v>
      </c>
      <c r="DT29" s="243" t="s">
        <v>6</v>
      </c>
      <c r="DU29" s="243" t="s">
        <v>6</v>
      </c>
      <c r="DV29" s="243" t="s">
        <v>6</v>
      </c>
      <c r="DW29" s="243" t="s">
        <v>6</v>
      </c>
      <c r="DX29" s="243" t="s">
        <v>6</v>
      </c>
      <c r="DY29" s="243" t="s">
        <v>6</v>
      </c>
      <c r="DZ29" s="243" t="s">
        <v>6</v>
      </c>
      <c r="EA29" s="243" t="s">
        <v>6</v>
      </c>
      <c r="EB29" s="243" t="s">
        <v>6</v>
      </c>
      <c r="EC29" s="243" t="s">
        <v>6</v>
      </c>
      <c r="ED29" s="243" t="s">
        <v>6</v>
      </c>
      <c r="EE29" s="243" t="s">
        <v>6</v>
      </c>
      <c r="EF29" s="243" t="s">
        <v>6</v>
      </c>
      <c r="EG29" s="243" t="s">
        <v>6</v>
      </c>
      <c r="EH29" s="243" t="s">
        <v>6</v>
      </c>
      <c r="EI29" s="243" t="s">
        <v>6</v>
      </c>
      <c r="EJ29" s="243" t="s">
        <v>6</v>
      </c>
      <c r="EK29" s="243" t="s">
        <v>6</v>
      </c>
      <c r="EL29" s="243" t="s">
        <v>6</v>
      </c>
      <c r="EM29" s="243" t="s">
        <v>6</v>
      </c>
      <c r="EN29" s="243" t="s">
        <v>6</v>
      </c>
      <c r="EO29" s="243" t="s">
        <v>6</v>
      </c>
      <c r="EP29" s="243" t="s">
        <v>6</v>
      </c>
      <c r="EQ29" s="243" t="s">
        <v>6</v>
      </c>
      <c r="ER29" s="243" t="s">
        <v>6</v>
      </c>
      <c r="ES29" s="243" t="s">
        <v>6</v>
      </c>
      <c r="ET29" s="243" t="s">
        <v>6</v>
      </c>
      <c r="EU29" s="243" t="s">
        <v>6</v>
      </c>
      <c r="EV29" s="243" t="s">
        <v>6</v>
      </c>
      <c r="EW29" s="243" t="s">
        <v>6</v>
      </c>
    </row>
    <row r="30" spans="1:153" ht="13.5">
      <c r="A30" s="277" t="s">
        <v>6</v>
      </c>
      <c r="B30" s="247" t="s">
        <v>6</v>
      </c>
      <c r="C30" s="244" t="s">
        <v>164</v>
      </c>
      <c r="D30" s="244"/>
      <c r="E30" s="244" t="s">
        <v>6</v>
      </c>
      <c r="F30" s="233">
        <v>30</v>
      </c>
      <c r="G30" s="244" t="s">
        <v>163</v>
      </c>
      <c r="H30" s="268" t="s">
        <v>176</v>
      </c>
      <c r="I30" s="244" t="s">
        <v>6</v>
      </c>
      <c r="J30" s="244" t="s">
        <v>6</v>
      </c>
      <c r="K30" s="243" t="s">
        <v>6</v>
      </c>
      <c r="L30" s="243" t="s">
        <v>6</v>
      </c>
      <c r="M30" s="243" t="s">
        <v>6</v>
      </c>
      <c r="N30" s="243" t="s">
        <v>6</v>
      </c>
      <c r="O30" s="243" t="s">
        <v>6</v>
      </c>
      <c r="P30" s="243" t="s">
        <v>6</v>
      </c>
      <c r="Q30" s="243" t="s">
        <v>6</v>
      </c>
      <c r="R30" s="243" t="s">
        <v>6</v>
      </c>
      <c r="S30" s="243" t="s">
        <v>6</v>
      </c>
      <c r="T30" s="243" t="s">
        <v>6</v>
      </c>
      <c r="U30" s="243" t="s">
        <v>6</v>
      </c>
      <c r="V30" s="243" t="s">
        <v>6</v>
      </c>
      <c r="W30" s="243" t="s">
        <v>6</v>
      </c>
      <c r="X30" s="243" t="s">
        <v>6</v>
      </c>
      <c r="Y30" s="243" t="s">
        <v>6</v>
      </c>
      <c r="Z30" s="243" t="s">
        <v>6</v>
      </c>
      <c r="AA30" s="243" t="s">
        <v>6</v>
      </c>
      <c r="AB30" s="243" t="s">
        <v>6</v>
      </c>
      <c r="AC30" s="243" t="s">
        <v>6</v>
      </c>
      <c r="AD30" s="243" t="s">
        <v>6</v>
      </c>
      <c r="AE30" s="243" t="s">
        <v>6</v>
      </c>
      <c r="AF30" s="243" t="s">
        <v>6</v>
      </c>
      <c r="AG30" s="243" t="s">
        <v>6</v>
      </c>
      <c r="AH30" s="243" t="s">
        <v>6</v>
      </c>
      <c r="AI30" s="243" t="s">
        <v>6</v>
      </c>
      <c r="AJ30" s="243" t="s">
        <v>6</v>
      </c>
      <c r="AK30" s="243" t="s">
        <v>6</v>
      </c>
      <c r="AL30" s="243" t="s">
        <v>6</v>
      </c>
      <c r="AM30" s="243" t="s">
        <v>6</v>
      </c>
      <c r="AN30" s="243" t="s">
        <v>6</v>
      </c>
      <c r="AO30" s="243" t="s">
        <v>6</v>
      </c>
      <c r="AP30" s="243" t="s">
        <v>6</v>
      </c>
      <c r="AQ30" s="243" t="s">
        <v>6</v>
      </c>
      <c r="AR30" s="243" t="s">
        <v>6</v>
      </c>
      <c r="AS30" s="243" t="s">
        <v>6</v>
      </c>
      <c r="AT30" s="243" t="s">
        <v>6</v>
      </c>
      <c r="AU30" s="243" t="s">
        <v>6</v>
      </c>
      <c r="AV30" s="243" t="s">
        <v>6</v>
      </c>
      <c r="AW30" s="243" t="s">
        <v>6</v>
      </c>
      <c r="AX30" s="243" t="s">
        <v>6</v>
      </c>
      <c r="AY30" s="243" t="s">
        <v>6</v>
      </c>
      <c r="AZ30" s="243" t="s">
        <v>6</v>
      </c>
      <c r="BA30" s="243" t="s">
        <v>6</v>
      </c>
      <c r="BB30" s="243" t="s">
        <v>6</v>
      </c>
      <c r="BC30" s="243" t="s">
        <v>6</v>
      </c>
      <c r="BD30" s="243" t="s">
        <v>6</v>
      </c>
      <c r="BE30" s="243" t="s">
        <v>6</v>
      </c>
      <c r="BF30" s="243" t="s">
        <v>6</v>
      </c>
      <c r="BG30" s="243" t="s">
        <v>6</v>
      </c>
      <c r="BH30" s="243" t="s">
        <v>6</v>
      </c>
      <c r="BI30" s="243" t="s">
        <v>6</v>
      </c>
      <c r="BJ30" s="243" t="s">
        <v>6</v>
      </c>
      <c r="BK30" s="243" t="s">
        <v>6</v>
      </c>
      <c r="BL30" s="243" t="s">
        <v>6</v>
      </c>
      <c r="BM30" s="243" t="s">
        <v>6</v>
      </c>
      <c r="BN30" s="243" t="s">
        <v>6</v>
      </c>
      <c r="BO30" s="243" t="s">
        <v>6</v>
      </c>
      <c r="BP30" s="243" t="s">
        <v>6</v>
      </c>
      <c r="BQ30" s="243" t="s">
        <v>6</v>
      </c>
      <c r="BR30" s="243" t="s">
        <v>6</v>
      </c>
      <c r="BS30" s="243" t="s">
        <v>6</v>
      </c>
      <c r="BT30" s="243" t="s">
        <v>6</v>
      </c>
      <c r="BU30" s="243" t="s">
        <v>6</v>
      </c>
      <c r="BV30" s="243" t="s">
        <v>6</v>
      </c>
      <c r="BW30" s="243" t="s">
        <v>6</v>
      </c>
      <c r="BX30" s="243" t="s">
        <v>6</v>
      </c>
      <c r="BY30" s="243" t="s">
        <v>6</v>
      </c>
      <c r="BZ30" s="243" t="s">
        <v>6</v>
      </c>
      <c r="CA30" s="243" t="s">
        <v>6</v>
      </c>
      <c r="CB30" s="243" t="s">
        <v>6</v>
      </c>
      <c r="CC30" s="243" t="s">
        <v>6</v>
      </c>
      <c r="CD30" s="243" t="s">
        <v>6</v>
      </c>
      <c r="CE30" s="243" t="s">
        <v>6</v>
      </c>
      <c r="CF30" s="243" t="s">
        <v>6</v>
      </c>
      <c r="CG30" s="243" t="s">
        <v>6</v>
      </c>
      <c r="CH30" s="243" t="s">
        <v>6</v>
      </c>
      <c r="CI30" s="243" t="s">
        <v>6</v>
      </c>
      <c r="CJ30" s="243" t="s">
        <v>6</v>
      </c>
      <c r="CK30" s="243" t="s">
        <v>6</v>
      </c>
      <c r="CL30" s="243" t="s">
        <v>6</v>
      </c>
      <c r="CM30" s="243" t="s">
        <v>6</v>
      </c>
      <c r="CN30" s="243" t="s">
        <v>6</v>
      </c>
      <c r="CO30" s="243" t="s">
        <v>6</v>
      </c>
      <c r="CP30" s="243" t="s">
        <v>6</v>
      </c>
      <c r="CQ30" s="243" t="s">
        <v>6</v>
      </c>
      <c r="CR30" s="243" t="s">
        <v>6</v>
      </c>
      <c r="CS30" s="243" t="s">
        <v>6</v>
      </c>
      <c r="CT30" s="243" t="s">
        <v>6</v>
      </c>
      <c r="CU30" s="243" t="s">
        <v>6</v>
      </c>
      <c r="CV30" s="243" t="s">
        <v>6</v>
      </c>
      <c r="CW30" s="243" t="s">
        <v>6</v>
      </c>
      <c r="CX30" s="243" t="s">
        <v>6</v>
      </c>
      <c r="CY30" s="243" t="s">
        <v>6</v>
      </c>
      <c r="CZ30" s="243" t="s">
        <v>6</v>
      </c>
      <c r="DA30" s="243" t="s">
        <v>6</v>
      </c>
      <c r="DB30" s="243" t="s">
        <v>6</v>
      </c>
      <c r="DC30" s="243" t="s">
        <v>6</v>
      </c>
      <c r="DD30" s="243" t="s">
        <v>6</v>
      </c>
      <c r="DE30" s="243" t="s">
        <v>6</v>
      </c>
      <c r="DF30" s="243" t="s">
        <v>6</v>
      </c>
      <c r="DG30" s="243" t="s">
        <v>6</v>
      </c>
      <c r="DH30" s="243" t="s">
        <v>6</v>
      </c>
      <c r="DI30" s="243" t="s">
        <v>6</v>
      </c>
      <c r="DJ30" s="243" t="s">
        <v>6</v>
      </c>
      <c r="DK30" s="243" t="s">
        <v>6</v>
      </c>
      <c r="DL30" s="243" t="s">
        <v>6</v>
      </c>
      <c r="DM30" s="243" t="s">
        <v>6</v>
      </c>
      <c r="DN30" s="243" t="s">
        <v>6</v>
      </c>
      <c r="DO30" s="243" t="s">
        <v>6</v>
      </c>
      <c r="DP30" s="243" t="s">
        <v>6</v>
      </c>
      <c r="DQ30" s="243" t="s">
        <v>6</v>
      </c>
      <c r="DR30" s="243" t="s">
        <v>6</v>
      </c>
      <c r="DS30" s="243" t="s">
        <v>6</v>
      </c>
      <c r="DT30" s="243" t="s">
        <v>6</v>
      </c>
      <c r="DU30" s="243" t="s">
        <v>6</v>
      </c>
      <c r="DV30" s="243" t="s">
        <v>6</v>
      </c>
      <c r="DW30" s="243" t="s">
        <v>6</v>
      </c>
      <c r="DX30" s="243" t="s">
        <v>6</v>
      </c>
      <c r="DY30" s="243" t="s">
        <v>6</v>
      </c>
      <c r="DZ30" s="243" t="s">
        <v>6</v>
      </c>
      <c r="EA30" s="243" t="s">
        <v>6</v>
      </c>
      <c r="EB30" s="243" t="s">
        <v>6</v>
      </c>
      <c r="EC30" s="243" t="s">
        <v>6</v>
      </c>
      <c r="ED30" s="243" t="s">
        <v>6</v>
      </c>
      <c r="EE30" s="243" t="s">
        <v>6</v>
      </c>
      <c r="EF30" s="243" t="s">
        <v>6</v>
      </c>
      <c r="EG30" s="243" t="s">
        <v>6</v>
      </c>
      <c r="EH30" s="243" t="s">
        <v>6</v>
      </c>
      <c r="EI30" s="243" t="s">
        <v>6</v>
      </c>
      <c r="EJ30" s="243" t="s">
        <v>6</v>
      </c>
      <c r="EK30" s="243" t="s">
        <v>6</v>
      </c>
      <c r="EL30" s="243" t="s">
        <v>6</v>
      </c>
      <c r="EM30" s="243" t="s">
        <v>6</v>
      </c>
      <c r="EN30" s="243" t="s">
        <v>6</v>
      </c>
      <c r="EO30" s="243" t="s">
        <v>6</v>
      </c>
      <c r="EP30" s="243" t="s">
        <v>6</v>
      </c>
      <c r="EQ30" s="243" t="s">
        <v>6</v>
      </c>
      <c r="ER30" s="243" t="s">
        <v>6</v>
      </c>
      <c r="ES30" s="243" t="s">
        <v>6</v>
      </c>
      <c r="ET30" s="243" t="s">
        <v>6</v>
      </c>
      <c r="EU30" s="243" t="s">
        <v>6</v>
      </c>
      <c r="EV30" s="243" t="s">
        <v>6</v>
      </c>
      <c r="EW30" s="243" t="s">
        <v>6</v>
      </c>
    </row>
    <row r="31" spans="1:153" ht="13.5">
      <c r="A31" s="277" t="s">
        <v>6</v>
      </c>
      <c r="B31" s="247" t="s">
        <v>6</v>
      </c>
      <c r="C31" s="244" t="s">
        <v>6</v>
      </c>
      <c r="D31" s="244" t="s">
        <v>6</v>
      </c>
      <c r="E31" s="244" t="s">
        <v>6</v>
      </c>
      <c r="F31" s="244" t="s">
        <v>6</v>
      </c>
      <c r="G31" s="244" t="s">
        <v>6</v>
      </c>
      <c r="H31" s="244" t="s">
        <v>6</v>
      </c>
      <c r="I31" s="244" t="s">
        <v>6</v>
      </c>
      <c r="J31" s="244" t="s">
        <v>6</v>
      </c>
      <c r="K31" s="243" t="s">
        <v>6</v>
      </c>
      <c r="L31" s="243" t="s">
        <v>6</v>
      </c>
      <c r="M31" s="243" t="s">
        <v>6</v>
      </c>
      <c r="N31" s="243" t="s">
        <v>6</v>
      </c>
      <c r="O31" s="243" t="s">
        <v>6</v>
      </c>
      <c r="P31" s="243" t="s">
        <v>6</v>
      </c>
      <c r="Q31" s="243" t="s">
        <v>6</v>
      </c>
      <c r="R31" s="243" t="s">
        <v>6</v>
      </c>
      <c r="S31" s="243" t="s">
        <v>6</v>
      </c>
      <c r="T31" s="243" t="s">
        <v>6</v>
      </c>
      <c r="U31" s="243" t="s">
        <v>6</v>
      </c>
      <c r="V31" s="243" t="s">
        <v>6</v>
      </c>
      <c r="W31" s="243" t="s">
        <v>6</v>
      </c>
      <c r="X31" s="243" t="s">
        <v>6</v>
      </c>
      <c r="Y31" s="243" t="s">
        <v>6</v>
      </c>
      <c r="Z31" s="243" t="s">
        <v>6</v>
      </c>
      <c r="AA31" s="243" t="s">
        <v>6</v>
      </c>
      <c r="AB31" s="243" t="s">
        <v>6</v>
      </c>
      <c r="AC31" s="243" t="s">
        <v>6</v>
      </c>
      <c r="AD31" s="243" t="s">
        <v>6</v>
      </c>
      <c r="AE31" s="243" t="s">
        <v>6</v>
      </c>
      <c r="AF31" s="243" t="s">
        <v>6</v>
      </c>
      <c r="AG31" s="243" t="s">
        <v>6</v>
      </c>
      <c r="AH31" s="243" t="s">
        <v>6</v>
      </c>
      <c r="AI31" s="243" t="s">
        <v>6</v>
      </c>
      <c r="AJ31" s="243" t="s">
        <v>6</v>
      </c>
      <c r="AK31" s="243" t="s">
        <v>6</v>
      </c>
      <c r="AL31" s="243" t="s">
        <v>6</v>
      </c>
      <c r="AM31" s="243" t="s">
        <v>6</v>
      </c>
      <c r="AN31" s="243" t="s">
        <v>6</v>
      </c>
      <c r="AO31" s="243" t="s">
        <v>6</v>
      </c>
      <c r="AP31" s="243" t="s">
        <v>6</v>
      </c>
      <c r="AQ31" s="243" t="s">
        <v>6</v>
      </c>
      <c r="AR31" s="243" t="s">
        <v>6</v>
      </c>
      <c r="AS31" s="243" t="s">
        <v>6</v>
      </c>
      <c r="AT31" s="243" t="s">
        <v>6</v>
      </c>
      <c r="AU31" s="243" t="s">
        <v>6</v>
      </c>
      <c r="AV31" s="243" t="s">
        <v>6</v>
      </c>
      <c r="AW31" s="243" t="s">
        <v>6</v>
      </c>
      <c r="AX31" s="243" t="s">
        <v>6</v>
      </c>
      <c r="AY31" s="243" t="s">
        <v>6</v>
      </c>
      <c r="AZ31" s="243" t="s">
        <v>6</v>
      </c>
      <c r="BA31" s="243" t="s">
        <v>6</v>
      </c>
      <c r="BB31" s="243" t="s">
        <v>6</v>
      </c>
      <c r="BC31" s="243" t="s">
        <v>6</v>
      </c>
      <c r="BD31" s="243" t="s">
        <v>6</v>
      </c>
      <c r="BE31" s="243" t="s">
        <v>6</v>
      </c>
      <c r="BF31" s="243" t="s">
        <v>6</v>
      </c>
      <c r="BG31" s="243" t="s">
        <v>6</v>
      </c>
      <c r="BH31" s="243" t="s">
        <v>6</v>
      </c>
      <c r="BI31" s="243" t="s">
        <v>6</v>
      </c>
      <c r="BJ31" s="243" t="s">
        <v>6</v>
      </c>
      <c r="BK31" s="243" t="s">
        <v>6</v>
      </c>
      <c r="BL31" s="243" t="s">
        <v>6</v>
      </c>
      <c r="BM31" s="243" t="s">
        <v>6</v>
      </c>
      <c r="BN31" s="243" t="s">
        <v>6</v>
      </c>
      <c r="BO31" s="243" t="s">
        <v>6</v>
      </c>
      <c r="BP31" s="243" t="s">
        <v>6</v>
      </c>
      <c r="BQ31" s="243" t="s">
        <v>6</v>
      </c>
      <c r="BR31" s="243" t="s">
        <v>6</v>
      </c>
      <c r="BS31" s="243" t="s">
        <v>6</v>
      </c>
      <c r="BT31" s="243" t="s">
        <v>6</v>
      </c>
      <c r="BU31" s="243" t="s">
        <v>6</v>
      </c>
      <c r="BV31" s="243" t="s">
        <v>6</v>
      </c>
      <c r="BW31" s="243" t="s">
        <v>6</v>
      </c>
      <c r="BX31" s="243" t="s">
        <v>6</v>
      </c>
      <c r="BY31" s="243" t="s">
        <v>6</v>
      </c>
      <c r="BZ31" s="243" t="s">
        <v>6</v>
      </c>
      <c r="CA31" s="243" t="s">
        <v>6</v>
      </c>
      <c r="CB31" s="243" t="s">
        <v>6</v>
      </c>
      <c r="CC31" s="243" t="s">
        <v>6</v>
      </c>
      <c r="CD31" s="243" t="s">
        <v>6</v>
      </c>
      <c r="CE31" s="243" t="s">
        <v>6</v>
      </c>
      <c r="CF31" s="243" t="s">
        <v>6</v>
      </c>
      <c r="CG31" s="243" t="s">
        <v>6</v>
      </c>
      <c r="CH31" s="243" t="s">
        <v>6</v>
      </c>
      <c r="CI31" s="243" t="s">
        <v>6</v>
      </c>
      <c r="CJ31" s="243" t="s">
        <v>6</v>
      </c>
      <c r="CK31" s="243" t="s">
        <v>6</v>
      </c>
      <c r="CL31" s="243" t="s">
        <v>6</v>
      </c>
      <c r="CM31" s="243" t="s">
        <v>6</v>
      </c>
      <c r="CN31" s="243" t="s">
        <v>6</v>
      </c>
      <c r="CO31" s="243" t="s">
        <v>6</v>
      </c>
      <c r="CP31" s="243" t="s">
        <v>6</v>
      </c>
      <c r="CQ31" s="243" t="s">
        <v>6</v>
      </c>
      <c r="CR31" s="243" t="s">
        <v>6</v>
      </c>
      <c r="CS31" s="243" t="s">
        <v>6</v>
      </c>
      <c r="CT31" s="243" t="s">
        <v>6</v>
      </c>
      <c r="CU31" s="243" t="s">
        <v>6</v>
      </c>
      <c r="CV31" s="243" t="s">
        <v>6</v>
      </c>
      <c r="CW31" s="243" t="s">
        <v>6</v>
      </c>
      <c r="CX31" s="243" t="s">
        <v>6</v>
      </c>
      <c r="CY31" s="243" t="s">
        <v>6</v>
      </c>
      <c r="CZ31" s="243" t="s">
        <v>6</v>
      </c>
      <c r="DA31" s="243" t="s">
        <v>6</v>
      </c>
      <c r="DB31" s="243" t="s">
        <v>6</v>
      </c>
      <c r="DC31" s="243" t="s">
        <v>6</v>
      </c>
      <c r="DD31" s="243" t="s">
        <v>6</v>
      </c>
      <c r="DE31" s="243" t="s">
        <v>6</v>
      </c>
      <c r="DF31" s="243" t="s">
        <v>6</v>
      </c>
      <c r="DG31" s="243" t="s">
        <v>6</v>
      </c>
      <c r="DH31" s="243" t="s">
        <v>6</v>
      </c>
      <c r="DI31" s="243" t="s">
        <v>6</v>
      </c>
      <c r="DJ31" s="243" t="s">
        <v>6</v>
      </c>
      <c r="DK31" s="243" t="s">
        <v>6</v>
      </c>
      <c r="DL31" s="243" t="s">
        <v>6</v>
      </c>
      <c r="DM31" s="243" t="s">
        <v>6</v>
      </c>
      <c r="DN31" s="243" t="s">
        <v>6</v>
      </c>
      <c r="DO31" s="243" t="s">
        <v>6</v>
      </c>
      <c r="DP31" s="243" t="s">
        <v>6</v>
      </c>
      <c r="DQ31" s="243" t="s">
        <v>6</v>
      </c>
      <c r="DR31" s="243" t="s">
        <v>6</v>
      </c>
      <c r="DS31" s="243" t="s">
        <v>6</v>
      </c>
      <c r="DT31" s="243" t="s">
        <v>6</v>
      </c>
      <c r="DU31" s="243" t="s">
        <v>6</v>
      </c>
      <c r="DV31" s="243" t="s">
        <v>6</v>
      </c>
      <c r="DW31" s="243" t="s">
        <v>6</v>
      </c>
      <c r="DX31" s="243" t="s">
        <v>6</v>
      </c>
      <c r="DY31" s="243" t="s">
        <v>6</v>
      </c>
      <c r="DZ31" s="243" t="s">
        <v>6</v>
      </c>
      <c r="EA31" s="243" t="s">
        <v>6</v>
      </c>
      <c r="EB31" s="243" t="s">
        <v>6</v>
      </c>
      <c r="EC31" s="243" t="s">
        <v>6</v>
      </c>
      <c r="ED31" s="243" t="s">
        <v>6</v>
      </c>
      <c r="EE31" s="243" t="s">
        <v>6</v>
      </c>
      <c r="EF31" s="243" t="s">
        <v>6</v>
      </c>
      <c r="EG31" s="243" t="s">
        <v>6</v>
      </c>
      <c r="EH31" s="243" t="s">
        <v>6</v>
      </c>
      <c r="EI31" s="243" t="s">
        <v>6</v>
      </c>
      <c r="EJ31" s="243" t="s">
        <v>6</v>
      </c>
      <c r="EK31" s="243" t="s">
        <v>6</v>
      </c>
      <c r="EL31" s="243" t="s">
        <v>6</v>
      </c>
      <c r="EM31" s="243" t="s">
        <v>6</v>
      </c>
      <c r="EN31" s="243" t="s">
        <v>6</v>
      </c>
      <c r="EO31" s="243" t="s">
        <v>6</v>
      </c>
      <c r="EP31" s="243" t="s">
        <v>6</v>
      </c>
      <c r="EQ31" s="243" t="s">
        <v>6</v>
      </c>
      <c r="ER31" s="243" t="s">
        <v>6</v>
      </c>
      <c r="ES31" s="243" t="s">
        <v>6</v>
      </c>
      <c r="ET31" s="243" t="s">
        <v>6</v>
      </c>
      <c r="EU31" s="243" t="s">
        <v>6</v>
      </c>
      <c r="EV31" s="243" t="s">
        <v>6</v>
      </c>
      <c r="EW31" s="243" t="s">
        <v>6</v>
      </c>
    </row>
    <row r="32" spans="1:153" ht="13.5">
      <c r="A32" s="277" t="s">
        <v>6</v>
      </c>
      <c r="B32" s="247" t="s">
        <v>6</v>
      </c>
      <c r="C32" s="244" t="s">
        <v>165</v>
      </c>
      <c r="D32" s="244"/>
      <c r="E32" s="244" t="s">
        <v>6</v>
      </c>
      <c r="F32" s="233">
        <v>1</v>
      </c>
      <c r="G32" s="244" t="s">
        <v>163</v>
      </c>
      <c r="H32" s="268">
        <v>244.64400000000001</v>
      </c>
      <c r="I32" s="244" t="s">
        <v>6</v>
      </c>
      <c r="J32" s="274" t="s">
        <v>6</v>
      </c>
      <c r="K32" s="243" t="s">
        <v>6</v>
      </c>
      <c r="L32" s="243" t="s">
        <v>6</v>
      </c>
      <c r="M32" s="243" t="s">
        <v>6</v>
      </c>
      <c r="N32" s="243" t="s">
        <v>6</v>
      </c>
      <c r="O32" s="243" t="s">
        <v>6</v>
      </c>
      <c r="P32" s="243" t="s">
        <v>6</v>
      </c>
      <c r="Q32" s="243" t="s">
        <v>6</v>
      </c>
      <c r="R32" s="243" t="s">
        <v>6</v>
      </c>
      <c r="S32" s="243" t="s">
        <v>6</v>
      </c>
      <c r="T32" s="243" t="s">
        <v>6</v>
      </c>
      <c r="U32" s="243" t="s">
        <v>6</v>
      </c>
      <c r="V32" s="243" t="s">
        <v>6</v>
      </c>
      <c r="W32" s="243" t="s">
        <v>6</v>
      </c>
      <c r="X32" s="243" t="s">
        <v>6</v>
      </c>
      <c r="Y32" s="243" t="s">
        <v>6</v>
      </c>
      <c r="Z32" s="243" t="s">
        <v>6</v>
      </c>
      <c r="AA32" s="243" t="s">
        <v>6</v>
      </c>
      <c r="AB32" s="243" t="s">
        <v>6</v>
      </c>
      <c r="AC32" s="243" t="s">
        <v>6</v>
      </c>
      <c r="AD32" s="243" t="s">
        <v>6</v>
      </c>
      <c r="AE32" s="243" t="s">
        <v>6</v>
      </c>
      <c r="AF32" s="243" t="s">
        <v>6</v>
      </c>
      <c r="AG32" s="243" t="s">
        <v>6</v>
      </c>
      <c r="AH32" s="243" t="s">
        <v>6</v>
      </c>
      <c r="AI32" s="243" t="s">
        <v>6</v>
      </c>
      <c r="AJ32" s="243" t="s">
        <v>6</v>
      </c>
      <c r="AK32" s="243" t="s">
        <v>6</v>
      </c>
      <c r="AL32" s="243" t="s">
        <v>6</v>
      </c>
      <c r="AM32" s="243" t="s">
        <v>6</v>
      </c>
      <c r="AN32" s="243" t="s">
        <v>6</v>
      </c>
      <c r="AO32" s="243" t="s">
        <v>6</v>
      </c>
      <c r="AP32" s="243" t="s">
        <v>6</v>
      </c>
      <c r="AQ32" s="243" t="s">
        <v>6</v>
      </c>
      <c r="AR32" s="243" t="s">
        <v>6</v>
      </c>
      <c r="AS32" s="243" t="s">
        <v>6</v>
      </c>
      <c r="AT32" s="243" t="s">
        <v>6</v>
      </c>
      <c r="AU32" s="243" t="s">
        <v>6</v>
      </c>
      <c r="AV32" s="243" t="s">
        <v>6</v>
      </c>
      <c r="AW32" s="243" t="s">
        <v>6</v>
      </c>
      <c r="AX32" s="243" t="s">
        <v>6</v>
      </c>
      <c r="AY32" s="243" t="s">
        <v>6</v>
      </c>
      <c r="AZ32" s="243" t="s">
        <v>6</v>
      </c>
      <c r="BA32" s="243" t="s">
        <v>6</v>
      </c>
      <c r="BB32" s="243" t="s">
        <v>6</v>
      </c>
      <c r="BC32" s="243" t="s">
        <v>6</v>
      </c>
      <c r="BD32" s="243" t="s">
        <v>6</v>
      </c>
      <c r="BE32" s="243" t="s">
        <v>6</v>
      </c>
      <c r="BF32" s="243" t="s">
        <v>6</v>
      </c>
      <c r="BG32" s="243" t="s">
        <v>6</v>
      </c>
      <c r="BH32" s="243" t="s">
        <v>6</v>
      </c>
      <c r="BI32" s="243" t="s">
        <v>6</v>
      </c>
      <c r="BJ32" s="243" t="s">
        <v>6</v>
      </c>
      <c r="BK32" s="243" t="s">
        <v>6</v>
      </c>
      <c r="BL32" s="243" t="s">
        <v>6</v>
      </c>
      <c r="BM32" s="243" t="s">
        <v>6</v>
      </c>
      <c r="BN32" s="243" t="s">
        <v>6</v>
      </c>
      <c r="BO32" s="243" t="s">
        <v>6</v>
      </c>
      <c r="BP32" s="243" t="s">
        <v>6</v>
      </c>
      <c r="BQ32" s="243" t="s">
        <v>6</v>
      </c>
      <c r="BR32" s="243" t="s">
        <v>6</v>
      </c>
      <c r="BS32" s="243" t="s">
        <v>6</v>
      </c>
      <c r="BT32" s="243" t="s">
        <v>6</v>
      </c>
      <c r="BU32" s="243" t="s">
        <v>6</v>
      </c>
      <c r="BV32" s="243" t="s">
        <v>6</v>
      </c>
      <c r="BW32" s="243" t="s">
        <v>6</v>
      </c>
      <c r="BX32" s="243" t="s">
        <v>6</v>
      </c>
      <c r="BY32" s="243" t="s">
        <v>6</v>
      </c>
      <c r="BZ32" s="243" t="s">
        <v>6</v>
      </c>
      <c r="CA32" s="243" t="s">
        <v>6</v>
      </c>
      <c r="CB32" s="243" t="s">
        <v>6</v>
      </c>
      <c r="CC32" s="243" t="s">
        <v>6</v>
      </c>
      <c r="CD32" s="243" t="s">
        <v>6</v>
      </c>
      <c r="CE32" s="243" t="s">
        <v>6</v>
      </c>
      <c r="CF32" s="243" t="s">
        <v>6</v>
      </c>
      <c r="CG32" s="243" t="s">
        <v>6</v>
      </c>
      <c r="CH32" s="243" t="s">
        <v>6</v>
      </c>
      <c r="CI32" s="243" t="s">
        <v>6</v>
      </c>
      <c r="CJ32" s="243" t="s">
        <v>6</v>
      </c>
      <c r="CK32" s="243" t="s">
        <v>6</v>
      </c>
      <c r="CL32" s="243" t="s">
        <v>6</v>
      </c>
      <c r="CM32" s="243" t="s">
        <v>6</v>
      </c>
      <c r="CN32" s="243" t="s">
        <v>6</v>
      </c>
      <c r="CO32" s="243" t="s">
        <v>6</v>
      </c>
      <c r="CP32" s="243" t="s">
        <v>6</v>
      </c>
      <c r="CQ32" s="243" t="s">
        <v>6</v>
      </c>
      <c r="CR32" s="243" t="s">
        <v>6</v>
      </c>
      <c r="CS32" s="243" t="s">
        <v>6</v>
      </c>
      <c r="CT32" s="243" t="s">
        <v>6</v>
      </c>
      <c r="CU32" s="243" t="s">
        <v>6</v>
      </c>
      <c r="CV32" s="243" t="s">
        <v>6</v>
      </c>
      <c r="CW32" s="243" t="s">
        <v>6</v>
      </c>
      <c r="CX32" s="243" t="s">
        <v>6</v>
      </c>
      <c r="CY32" s="243" t="s">
        <v>6</v>
      </c>
      <c r="CZ32" s="243" t="s">
        <v>6</v>
      </c>
      <c r="DA32" s="243" t="s">
        <v>6</v>
      </c>
      <c r="DB32" s="243" t="s">
        <v>6</v>
      </c>
      <c r="DC32" s="243" t="s">
        <v>6</v>
      </c>
      <c r="DD32" s="243" t="s">
        <v>6</v>
      </c>
      <c r="DE32" s="243" t="s">
        <v>6</v>
      </c>
      <c r="DF32" s="243" t="s">
        <v>6</v>
      </c>
      <c r="DG32" s="243" t="s">
        <v>6</v>
      </c>
      <c r="DH32" s="243" t="s">
        <v>6</v>
      </c>
      <c r="DI32" s="243" t="s">
        <v>6</v>
      </c>
      <c r="DJ32" s="243" t="s">
        <v>6</v>
      </c>
      <c r="DK32" s="243" t="s">
        <v>6</v>
      </c>
      <c r="DL32" s="243" t="s">
        <v>6</v>
      </c>
      <c r="DM32" s="243" t="s">
        <v>6</v>
      </c>
      <c r="DN32" s="243" t="s">
        <v>6</v>
      </c>
      <c r="DO32" s="243" t="s">
        <v>6</v>
      </c>
      <c r="DP32" s="243" t="s">
        <v>6</v>
      </c>
      <c r="DQ32" s="243" t="s">
        <v>6</v>
      </c>
      <c r="DR32" s="243" t="s">
        <v>6</v>
      </c>
      <c r="DS32" s="243" t="s">
        <v>6</v>
      </c>
      <c r="DT32" s="243" t="s">
        <v>6</v>
      </c>
      <c r="DU32" s="243" t="s">
        <v>6</v>
      </c>
      <c r="DV32" s="243" t="s">
        <v>6</v>
      </c>
      <c r="DW32" s="243" t="s">
        <v>6</v>
      </c>
      <c r="DX32" s="243" t="s">
        <v>6</v>
      </c>
      <c r="DY32" s="243" t="s">
        <v>6</v>
      </c>
      <c r="DZ32" s="243" t="s">
        <v>6</v>
      </c>
      <c r="EA32" s="243" t="s">
        <v>6</v>
      </c>
      <c r="EB32" s="243" t="s">
        <v>6</v>
      </c>
      <c r="EC32" s="243" t="s">
        <v>6</v>
      </c>
      <c r="ED32" s="243" t="s">
        <v>6</v>
      </c>
      <c r="EE32" s="243" t="s">
        <v>6</v>
      </c>
      <c r="EF32" s="243" t="s">
        <v>6</v>
      </c>
      <c r="EG32" s="243" t="s">
        <v>6</v>
      </c>
      <c r="EH32" s="243" t="s">
        <v>6</v>
      </c>
      <c r="EI32" s="243" t="s">
        <v>6</v>
      </c>
      <c r="EJ32" s="243" t="s">
        <v>6</v>
      </c>
      <c r="EK32" s="243" t="s">
        <v>6</v>
      </c>
      <c r="EL32" s="243" t="s">
        <v>6</v>
      </c>
      <c r="EM32" s="243" t="s">
        <v>6</v>
      </c>
      <c r="EN32" s="243" t="s">
        <v>6</v>
      </c>
      <c r="EO32" s="243" t="s">
        <v>6</v>
      </c>
      <c r="EP32" s="243" t="s">
        <v>6</v>
      </c>
      <c r="EQ32" s="243" t="s">
        <v>6</v>
      </c>
      <c r="ER32" s="243" t="s">
        <v>6</v>
      </c>
      <c r="ES32" s="243" t="s">
        <v>6</v>
      </c>
      <c r="ET32" s="243" t="s">
        <v>6</v>
      </c>
      <c r="EU32" s="243" t="s">
        <v>6</v>
      </c>
      <c r="EV32" s="243" t="s">
        <v>6</v>
      </c>
      <c r="EW32" s="243" t="s">
        <v>6</v>
      </c>
    </row>
    <row r="33" spans="1:153" ht="13.5">
      <c r="A33" s="277" t="s">
        <v>6</v>
      </c>
      <c r="B33" s="247" t="s">
        <v>6</v>
      </c>
      <c r="C33" s="244" t="s">
        <v>6</v>
      </c>
      <c r="D33" s="244" t="s">
        <v>6</v>
      </c>
      <c r="E33" s="244" t="s">
        <v>6</v>
      </c>
      <c r="F33" s="244" t="s">
        <v>6</v>
      </c>
      <c r="G33" s="244" t="s">
        <v>6</v>
      </c>
      <c r="H33" s="244" t="s">
        <v>6</v>
      </c>
      <c r="I33" s="244" t="s">
        <v>6</v>
      </c>
      <c r="J33" s="244" t="s">
        <v>6</v>
      </c>
      <c r="K33" s="243" t="s">
        <v>6</v>
      </c>
      <c r="L33" s="243" t="s">
        <v>6</v>
      </c>
      <c r="M33" s="243" t="s">
        <v>6</v>
      </c>
      <c r="N33" s="241" t="s">
        <v>6</v>
      </c>
      <c r="O33" s="243" t="s">
        <v>6</v>
      </c>
      <c r="P33" s="243" t="s">
        <v>6</v>
      </c>
      <c r="Q33" s="243" t="s">
        <v>6</v>
      </c>
      <c r="R33" s="243" t="s">
        <v>6</v>
      </c>
      <c r="S33" s="243" t="s">
        <v>6</v>
      </c>
      <c r="T33" s="243" t="s">
        <v>6</v>
      </c>
      <c r="U33" s="243" t="s">
        <v>6</v>
      </c>
      <c r="V33" s="243" t="s">
        <v>6</v>
      </c>
      <c r="W33" s="243" t="s">
        <v>6</v>
      </c>
      <c r="X33" s="243" t="s">
        <v>6</v>
      </c>
      <c r="Y33" s="243" t="s">
        <v>6</v>
      </c>
      <c r="Z33" s="243" t="s">
        <v>6</v>
      </c>
      <c r="AA33" s="243" t="s">
        <v>6</v>
      </c>
      <c r="AB33" s="243" t="s">
        <v>6</v>
      </c>
      <c r="AC33" s="243" t="s">
        <v>6</v>
      </c>
      <c r="AD33" s="243" t="s">
        <v>6</v>
      </c>
      <c r="AE33" s="243" t="s">
        <v>6</v>
      </c>
      <c r="AF33" s="243" t="s">
        <v>6</v>
      </c>
      <c r="AG33" s="243" t="s">
        <v>6</v>
      </c>
      <c r="AH33" s="243" t="s">
        <v>6</v>
      </c>
      <c r="AI33" s="243" t="s">
        <v>6</v>
      </c>
      <c r="AJ33" s="243" t="s">
        <v>6</v>
      </c>
      <c r="AK33" s="243" t="s">
        <v>6</v>
      </c>
      <c r="AL33" s="243" t="s">
        <v>6</v>
      </c>
      <c r="AM33" s="243" t="s">
        <v>6</v>
      </c>
      <c r="AN33" s="243" t="s">
        <v>6</v>
      </c>
      <c r="AO33" s="243" t="s">
        <v>6</v>
      </c>
      <c r="AP33" s="243" t="s">
        <v>6</v>
      </c>
      <c r="AQ33" s="243" t="s">
        <v>6</v>
      </c>
      <c r="AR33" s="243" t="s">
        <v>6</v>
      </c>
      <c r="AS33" s="243" t="s">
        <v>6</v>
      </c>
      <c r="AT33" s="243" t="s">
        <v>6</v>
      </c>
      <c r="AU33" s="243" t="s">
        <v>6</v>
      </c>
      <c r="AV33" s="243" t="s">
        <v>6</v>
      </c>
      <c r="AW33" s="243" t="s">
        <v>6</v>
      </c>
      <c r="AX33" s="243" t="s">
        <v>6</v>
      </c>
      <c r="AY33" s="243" t="s">
        <v>6</v>
      </c>
      <c r="AZ33" s="243" t="s">
        <v>6</v>
      </c>
      <c r="BA33" s="243" t="s">
        <v>6</v>
      </c>
      <c r="BB33" s="243" t="s">
        <v>6</v>
      </c>
      <c r="BC33" s="243" t="s">
        <v>6</v>
      </c>
      <c r="BD33" s="243" t="s">
        <v>6</v>
      </c>
      <c r="BE33" s="243" t="s">
        <v>6</v>
      </c>
      <c r="BF33" s="243" t="s">
        <v>6</v>
      </c>
      <c r="BG33" s="243" t="s">
        <v>6</v>
      </c>
      <c r="BH33" s="243" t="s">
        <v>6</v>
      </c>
      <c r="BI33" s="243" t="s">
        <v>6</v>
      </c>
      <c r="BJ33" s="243" t="s">
        <v>6</v>
      </c>
      <c r="BK33" s="243" t="s">
        <v>6</v>
      </c>
      <c r="BL33" s="243" t="s">
        <v>6</v>
      </c>
      <c r="BM33" s="243" t="s">
        <v>6</v>
      </c>
      <c r="BN33" s="243" t="s">
        <v>6</v>
      </c>
      <c r="BO33" s="243" t="s">
        <v>6</v>
      </c>
      <c r="BP33" s="243" t="s">
        <v>6</v>
      </c>
      <c r="BQ33" s="243" t="s">
        <v>6</v>
      </c>
      <c r="BR33" s="243" t="s">
        <v>6</v>
      </c>
      <c r="BS33" s="243" t="s">
        <v>6</v>
      </c>
      <c r="BT33" s="243" t="s">
        <v>6</v>
      </c>
      <c r="BU33" s="243" t="s">
        <v>6</v>
      </c>
      <c r="BV33" s="243" t="s">
        <v>6</v>
      </c>
      <c r="BW33" s="243" t="s">
        <v>6</v>
      </c>
      <c r="BX33" s="243" t="s">
        <v>6</v>
      </c>
      <c r="BY33" s="243" t="s">
        <v>6</v>
      </c>
      <c r="BZ33" s="243" t="s">
        <v>6</v>
      </c>
      <c r="CA33" s="243" t="s">
        <v>6</v>
      </c>
      <c r="CB33" s="243" t="s">
        <v>6</v>
      </c>
      <c r="CC33" s="243" t="s">
        <v>6</v>
      </c>
      <c r="CD33" s="243" t="s">
        <v>6</v>
      </c>
      <c r="CE33" s="243" t="s">
        <v>6</v>
      </c>
      <c r="CF33" s="243" t="s">
        <v>6</v>
      </c>
      <c r="CG33" s="243" t="s">
        <v>6</v>
      </c>
      <c r="CH33" s="243" t="s">
        <v>6</v>
      </c>
      <c r="CI33" s="243" t="s">
        <v>6</v>
      </c>
      <c r="CJ33" s="243" t="s">
        <v>6</v>
      </c>
      <c r="CK33" s="243" t="s">
        <v>6</v>
      </c>
      <c r="CL33" s="243" t="s">
        <v>6</v>
      </c>
      <c r="CM33" s="243" t="s">
        <v>6</v>
      </c>
      <c r="CN33" s="243" t="s">
        <v>6</v>
      </c>
      <c r="CO33" s="243" t="s">
        <v>6</v>
      </c>
      <c r="CP33" s="243" t="s">
        <v>6</v>
      </c>
      <c r="CQ33" s="243" t="s">
        <v>6</v>
      </c>
      <c r="CR33" s="243" t="s">
        <v>6</v>
      </c>
      <c r="CS33" s="243" t="s">
        <v>6</v>
      </c>
      <c r="CT33" s="243" t="s">
        <v>6</v>
      </c>
      <c r="CU33" s="243" t="s">
        <v>6</v>
      </c>
      <c r="CV33" s="243" t="s">
        <v>6</v>
      </c>
      <c r="CW33" s="243" t="s">
        <v>6</v>
      </c>
      <c r="CX33" s="243" t="s">
        <v>6</v>
      </c>
      <c r="CY33" s="243" t="s">
        <v>6</v>
      </c>
      <c r="CZ33" s="243" t="s">
        <v>6</v>
      </c>
      <c r="DA33" s="243" t="s">
        <v>6</v>
      </c>
      <c r="DB33" s="243" t="s">
        <v>6</v>
      </c>
      <c r="DC33" s="243" t="s">
        <v>6</v>
      </c>
      <c r="DD33" s="243" t="s">
        <v>6</v>
      </c>
      <c r="DE33" s="243" t="s">
        <v>6</v>
      </c>
      <c r="DF33" s="243" t="s">
        <v>6</v>
      </c>
      <c r="DG33" s="243" t="s">
        <v>6</v>
      </c>
      <c r="DH33" s="243" t="s">
        <v>6</v>
      </c>
      <c r="DI33" s="243" t="s">
        <v>6</v>
      </c>
      <c r="DJ33" s="243" t="s">
        <v>6</v>
      </c>
      <c r="DK33" s="243" t="s">
        <v>6</v>
      </c>
      <c r="DL33" s="243" t="s">
        <v>6</v>
      </c>
      <c r="DM33" s="243" t="s">
        <v>6</v>
      </c>
      <c r="DN33" s="243" t="s">
        <v>6</v>
      </c>
      <c r="DO33" s="243" t="s">
        <v>6</v>
      </c>
      <c r="DP33" s="243" t="s">
        <v>6</v>
      </c>
      <c r="DQ33" s="243" t="s">
        <v>6</v>
      </c>
      <c r="DR33" s="243" t="s">
        <v>6</v>
      </c>
      <c r="DS33" s="243" t="s">
        <v>6</v>
      </c>
      <c r="DT33" s="243" t="s">
        <v>6</v>
      </c>
      <c r="DU33" s="243" t="s">
        <v>6</v>
      </c>
      <c r="DV33" s="243" t="s">
        <v>6</v>
      </c>
      <c r="DW33" s="243" t="s">
        <v>6</v>
      </c>
      <c r="DX33" s="243" t="s">
        <v>6</v>
      </c>
      <c r="DY33" s="243" t="s">
        <v>6</v>
      </c>
      <c r="DZ33" s="243" t="s">
        <v>6</v>
      </c>
      <c r="EA33" s="243" t="s">
        <v>6</v>
      </c>
      <c r="EB33" s="243" t="s">
        <v>6</v>
      </c>
      <c r="EC33" s="243" t="s">
        <v>6</v>
      </c>
      <c r="ED33" s="243" t="s">
        <v>6</v>
      </c>
      <c r="EE33" s="243" t="s">
        <v>6</v>
      </c>
      <c r="EF33" s="243" t="s">
        <v>6</v>
      </c>
      <c r="EG33" s="243" t="s">
        <v>6</v>
      </c>
      <c r="EH33" s="243" t="s">
        <v>6</v>
      </c>
      <c r="EI33" s="243" t="s">
        <v>6</v>
      </c>
      <c r="EJ33" s="243" t="s">
        <v>6</v>
      </c>
      <c r="EK33" s="243" t="s">
        <v>6</v>
      </c>
      <c r="EL33" s="243" t="s">
        <v>6</v>
      </c>
      <c r="EM33" s="243" t="s">
        <v>6</v>
      </c>
      <c r="EN33" s="243" t="s">
        <v>6</v>
      </c>
      <c r="EO33" s="243" t="s">
        <v>6</v>
      </c>
      <c r="EP33" s="243" t="s">
        <v>6</v>
      </c>
      <c r="EQ33" s="243" t="s">
        <v>6</v>
      </c>
      <c r="ER33" s="243" t="s">
        <v>6</v>
      </c>
      <c r="ES33" s="243" t="s">
        <v>6</v>
      </c>
      <c r="ET33" s="243" t="s">
        <v>6</v>
      </c>
      <c r="EU33" s="243" t="s">
        <v>6</v>
      </c>
      <c r="EV33" s="243" t="s">
        <v>6</v>
      </c>
      <c r="EW33" s="243" t="s">
        <v>6</v>
      </c>
    </row>
    <row r="34" spans="1:153" ht="13.5">
      <c r="A34" s="277" t="s">
        <v>6</v>
      </c>
      <c r="B34" s="247" t="s">
        <v>6</v>
      </c>
      <c r="C34" s="289" t="s">
        <v>166</v>
      </c>
      <c r="D34" s="289"/>
      <c r="E34" s="244" t="s">
        <v>6</v>
      </c>
      <c r="F34" s="244" t="s">
        <v>6</v>
      </c>
      <c r="G34" s="244" t="s">
        <v>6</v>
      </c>
      <c r="H34" s="290" t="s">
        <v>177</v>
      </c>
      <c r="I34" s="244" t="s">
        <v>6</v>
      </c>
      <c r="J34" s="290" t="s">
        <v>178</v>
      </c>
      <c r="K34" s="243" t="s">
        <v>6</v>
      </c>
      <c r="L34" s="243" t="s">
        <v>6</v>
      </c>
      <c r="M34" s="243" t="s">
        <v>6</v>
      </c>
      <c r="N34" s="241" t="s">
        <v>6</v>
      </c>
      <c r="O34" s="243" t="s">
        <v>6</v>
      </c>
      <c r="P34" s="243" t="s">
        <v>6</v>
      </c>
      <c r="Q34" s="243" t="s">
        <v>6</v>
      </c>
      <c r="R34" s="243" t="s">
        <v>6</v>
      </c>
      <c r="S34" s="243" t="s">
        <v>6</v>
      </c>
      <c r="T34" s="243" t="s">
        <v>6</v>
      </c>
      <c r="U34" s="243" t="s">
        <v>6</v>
      </c>
      <c r="V34" s="243" t="s">
        <v>6</v>
      </c>
      <c r="W34" s="243" t="s">
        <v>6</v>
      </c>
      <c r="X34" s="243" t="s">
        <v>6</v>
      </c>
      <c r="Y34" s="243" t="s">
        <v>6</v>
      </c>
      <c r="Z34" s="243" t="s">
        <v>6</v>
      </c>
      <c r="AA34" s="243" t="s">
        <v>6</v>
      </c>
      <c r="AB34" s="243" t="s">
        <v>6</v>
      </c>
      <c r="AC34" s="243" t="s">
        <v>6</v>
      </c>
      <c r="AD34" s="243" t="s">
        <v>6</v>
      </c>
      <c r="AE34" s="243" t="s">
        <v>6</v>
      </c>
      <c r="AF34" s="243" t="s">
        <v>6</v>
      </c>
      <c r="AG34" s="243" t="s">
        <v>6</v>
      </c>
      <c r="AH34" s="243" t="s">
        <v>6</v>
      </c>
      <c r="AI34" s="243" t="s">
        <v>6</v>
      </c>
      <c r="AJ34" s="243" t="s">
        <v>6</v>
      </c>
      <c r="AK34" s="243" t="s">
        <v>6</v>
      </c>
      <c r="AL34" s="243" t="s">
        <v>6</v>
      </c>
      <c r="AM34" s="243" t="s">
        <v>6</v>
      </c>
      <c r="AN34" s="243" t="s">
        <v>6</v>
      </c>
      <c r="AO34" s="243" t="s">
        <v>6</v>
      </c>
      <c r="AP34" s="243" t="s">
        <v>6</v>
      </c>
      <c r="AQ34" s="243" t="s">
        <v>6</v>
      </c>
      <c r="AR34" s="243" t="s">
        <v>6</v>
      </c>
      <c r="AS34" s="243" t="s">
        <v>6</v>
      </c>
      <c r="AT34" s="243" t="s">
        <v>6</v>
      </c>
      <c r="AU34" s="243" t="s">
        <v>6</v>
      </c>
      <c r="AV34" s="243" t="s">
        <v>6</v>
      </c>
      <c r="AW34" s="243" t="s">
        <v>6</v>
      </c>
      <c r="AX34" s="243" t="s">
        <v>6</v>
      </c>
      <c r="AY34" s="243" t="s">
        <v>6</v>
      </c>
      <c r="AZ34" s="243" t="s">
        <v>6</v>
      </c>
      <c r="BA34" s="243" t="s">
        <v>6</v>
      </c>
      <c r="BB34" s="243" t="s">
        <v>6</v>
      </c>
      <c r="BC34" s="243" t="s">
        <v>6</v>
      </c>
      <c r="BD34" s="243" t="s">
        <v>6</v>
      </c>
      <c r="BE34" s="243" t="s">
        <v>6</v>
      </c>
      <c r="BF34" s="243" t="s">
        <v>6</v>
      </c>
      <c r="BG34" s="243" t="s">
        <v>6</v>
      </c>
      <c r="BH34" s="243" t="s">
        <v>6</v>
      </c>
      <c r="BI34" s="243" t="s">
        <v>6</v>
      </c>
      <c r="BJ34" s="243" t="s">
        <v>6</v>
      </c>
      <c r="BK34" s="243" t="s">
        <v>6</v>
      </c>
      <c r="BL34" s="243" t="s">
        <v>6</v>
      </c>
      <c r="BM34" s="243" t="s">
        <v>6</v>
      </c>
      <c r="BN34" s="243" t="s">
        <v>6</v>
      </c>
      <c r="BO34" s="243" t="s">
        <v>6</v>
      </c>
      <c r="BP34" s="243" t="s">
        <v>6</v>
      </c>
      <c r="BQ34" s="243" t="s">
        <v>6</v>
      </c>
      <c r="BR34" s="243" t="s">
        <v>6</v>
      </c>
      <c r="BS34" s="243" t="s">
        <v>6</v>
      </c>
      <c r="BT34" s="243" t="s">
        <v>6</v>
      </c>
      <c r="BU34" s="243" t="s">
        <v>6</v>
      </c>
      <c r="BV34" s="243" t="s">
        <v>6</v>
      </c>
      <c r="BW34" s="243" t="s">
        <v>6</v>
      </c>
      <c r="BX34" s="243" t="s">
        <v>6</v>
      </c>
      <c r="BY34" s="243" t="s">
        <v>6</v>
      </c>
      <c r="BZ34" s="243" t="s">
        <v>6</v>
      </c>
      <c r="CA34" s="243" t="s">
        <v>6</v>
      </c>
      <c r="CB34" s="243" t="s">
        <v>6</v>
      </c>
      <c r="CC34" s="243" t="s">
        <v>6</v>
      </c>
      <c r="CD34" s="243" t="s">
        <v>6</v>
      </c>
      <c r="CE34" s="243" t="s">
        <v>6</v>
      </c>
      <c r="CF34" s="243" t="s">
        <v>6</v>
      </c>
      <c r="CG34" s="243" t="s">
        <v>6</v>
      </c>
      <c r="CH34" s="243" t="s">
        <v>6</v>
      </c>
      <c r="CI34" s="243" t="s">
        <v>6</v>
      </c>
      <c r="CJ34" s="243" t="s">
        <v>6</v>
      </c>
      <c r="CK34" s="243" t="s">
        <v>6</v>
      </c>
      <c r="CL34" s="243" t="s">
        <v>6</v>
      </c>
      <c r="CM34" s="243" t="s">
        <v>6</v>
      </c>
      <c r="CN34" s="243" t="s">
        <v>6</v>
      </c>
      <c r="CO34" s="243" t="s">
        <v>6</v>
      </c>
      <c r="CP34" s="243" t="s">
        <v>6</v>
      </c>
      <c r="CQ34" s="243" t="s">
        <v>6</v>
      </c>
      <c r="CR34" s="243" t="s">
        <v>6</v>
      </c>
      <c r="CS34" s="243" t="s">
        <v>6</v>
      </c>
      <c r="CT34" s="243" t="s">
        <v>6</v>
      </c>
      <c r="CU34" s="243" t="s">
        <v>6</v>
      </c>
      <c r="CV34" s="243" t="s">
        <v>6</v>
      </c>
      <c r="CW34" s="243" t="s">
        <v>6</v>
      </c>
      <c r="CX34" s="243" t="s">
        <v>6</v>
      </c>
      <c r="CY34" s="243" t="s">
        <v>6</v>
      </c>
      <c r="CZ34" s="243" t="s">
        <v>6</v>
      </c>
      <c r="DA34" s="243" t="s">
        <v>6</v>
      </c>
      <c r="DB34" s="243" t="s">
        <v>6</v>
      </c>
      <c r="DC34" s="243" t="s">
        <v>6</v>
      </c>
      <c r="DD34" s="243" t="s">
        <v>6</v>
      </c>
      <c r="DE34" s="243" t="s">
        <v>6</v>
      </c>
      <c r="DF34" s="243" t="s">
        <v>6</v>
      </c>
      <c r="DG34" s="243" t="s">
        <v>6</v>
      </c>
      <c r="DH34" s="243" t="s">
        <v>6</v>
      </c>
      <c r="DI34" s="243" t="s">
        <v>6</v>
      </c>
      <c r="DJ34" s="243" t="s">
        <v>6</v>
      </c>
      <c r="DK34" s="243" t="s">
        <v>6</v>
      </c>
      <c r="DL34" s="243" t="s">
        <v>6</v>
      </c>
      <c r="DM34" s="243" t="s">
        <v>6</v>
      </c>
      <c r="DN34" s="243" t="s">
        <v>6</v>
      </c>
      <c r="DO34" s="243" t="s">
        <v>6</v>
      </c>
      <c r="DP34" s="243" t="s">
        <v>6</v>
      </c>
      <c r="DQ34" s="243" t="s">
        <v>6</v>
      </c>
      <c r="DR34" s="243" t="s">
        <v>6</v>
      </c>
      <c r="DS34" s="243" t="s">
        <v>6</v>
      </c>
      <c r="DT34" s="243" t="s">
        <v>6</v>
      </c>
      <c r="DU34" s="243" t="s">
        <v>6</v>
      </c>
      <c r="DV34" s="243" t="s">
        <v>6</v>
      </c>
      <c r="DW34" s="243" t="s">
        <v>6</v>
      </c>
      <c r="DX34" s="243" t="s">
        <v>6</v>
      </c>
      <c r="DY34" s="243" t="s">
        <v>6</v>
      </c>
      <c r="DZ34" s="243" t="s">
        <v>6</v>
      </c>
      <c r="EA34" s="243" t="s">
        <v>6</v>
      </c>
      <c r="EB34" s="243" t="s">
        <v>6</v>
      </c>
      <c r="EC34" s="243" t="s">
        <v>6</v>
      </c>
      <c r="ED34" s="243" t="s">
        <v>6</v>
      </c>
      <c r="EE34" s="243" t="s">
        <v>6</v>
      </c>
      <c r="EF34" s="243" t="s">
        <v>6</v>
      </c>
      <c r="EG34" s="243" t="s">
        <v>6</v>
      </c>
      <c r="EH34" s="243" t="s">
        <v>6</v>
      </c>
      <c r="EI34" s="243" t="s">
        <v>6</v>
      </c>
      <c r="EJ34" s="243" t="s">
        <v>6</v>
      </c>
      <c r="EK34" s="243" t="s">
        <v>6</v>
      </c>
      <c r="EL34" s="243" t="s">
        <v>6</v>
      </c>
      <c r="EM34" s="243" t="s">
        <v>6</v>
      </c>
      <c r="EN34" s="243" t="s">
        <v>6</v>
      </c>
      <c r="EO34" s="243" t="s">
        <v>6</v>
      </c>
      <c r="EP34" s="243" t="s">
        <v>6</v>
      </c>
      <c r="EQ34" s="243" t="s">
        <v>6</v>
      </c>
      <c r="ER34" s="243" t="s">
        <v>6</v>
      </c>
      <c r="ES34" s="243" t="s">
        <v>6</v>
      </c>
      <c r="ET34" s="243" t="s">
        <v>6</v>
      </c>
      <c r="EU34" s="243" t="s">
        <v>6</v>
      </c>
      <c r="EV34" s="243" t="s">
        <v>6</v>
      </c>
      <c r="EW34" s="243" t="s">
        <v>6</v>
      </c>
    </row>
    <row r="35" spans="1:153" ht="13.5">
      <c r="A35" s="277" t="s">
        <v>6</v>
      </c>
      <c r="B35" s="247" t="s">
        <v>6</v>
      </c>
      <c r="C35" s="244" t="s">
        <v>6</v>
      </c>
      <c r="D35" s="244" t="s">
        <v>6</v>
      </c>
      <c r="E35" s="244" t="s">
        <v>6</v>
      </c>
      <c r="F35" s="244" t="s">
        <v>6</v>
      </c>
      <c r="G35" s="244" t="s">
        <v>6</v>
      </c>
      <c r="H35" s="244" t="s">
        <v>6</v>
      </c>
      <c r="I35" s="244" t="s">
        <v>6</v>
      </c>
      <c r="J35" s="244" t="s">
        <v>6</v>
      </c>
      <c r="K35" s="243" t="s">
        <v>6</v>
      </c>
      <c r="L35" s="243" t="s">
        <v>6</v>
      </c>
      <c r="M35" s="243" t="s">
        <v>6</v>
      </c>
      <c r="N35" s="241" t="s">
        <v>6</v>
      </c>
      <c r="O35" s="243" t="s">
        <v>6</v>
      </c>
      <c r="P35" s="243" t="s">
        <v>6</v>
      </c>
      <c r="Q35" s="243" t="s">
        <v>6</v>
      </c>
      <c r="R35" s="243" t="s">
        <v>6</v>
      </c>
      <c r="S35" s="243" t="s">
        <v>6</v>
      </c>
      <c r="T35" s="243" t="s">
        <v>6</v>
      </c>
      <c r="U35" s="243" t="s">
        <v>6</v>
      </c>
      <c r="V35" s="243" t="s">
        <v>6</v>
      </c>
      <c r="W35" s="243" t="s">
        <v>6</v>
      </c>
      <c r="X35" s="243" t="s">
        <v>6</v>
      </c>
      <c r="Y35" s="243" t="s">
        <v>6</v>
      </c>
      <c r="Z35" s="243" t="s">
        <v>6</v>
      </c>
      <c r="AA35" s="243" t="s">
        <v>6</v>
      </c>
      <c r="AB35" s="243" t="s">
        <v>6</v>
      </c>
      <c r="AC35" s="243" t="s">
        <v>6</v>
      </c>
      <c r="AD35" s="243" t="s">
        <v>6</v>
      </c>
      <c r="AE35" s="243" t="s">
        <v>6</v>
      </c>
      <c r="AF35" s="243" t="s">
        <v>6</v>
      </c>
      <c r="AG35" s="243" t="s">
        <v>6</v>
      </c>
      <c r="AH35" s="243" t="s">
        <v>6</v>
      </c>
      <c r="AI35" s="243" t="s">
        <v>6</v>
      </c>
      <c r="AJ35" s="243" t="s">
        <v>6</v>
      </c>
      <c r="AK35" s="243" t="s">
        <v>6</v>
      </c>
      <c r="AL35" s="243" t="s">
        <v>6</v>
      </c>
      <c r="AM35" s="243" t="s">
        <v>6</v>
      </c>
      <c r="AN35" s="243" t="s">
        <v>6</v>
      </c>
      <c r="AO35" s="243" t="s">
        <v>6</v>
      </c>
      <c r="AP35" s="243" t="s">
        <v>6</v>
      </c>
      <c r="AQ35" s="243" t="s">
        <v>6</v>
      </c>
      <c r="AR35" s="243" t="s">
        <v>6</v>
      </c>
      <c r="AS35" s="243" t="s">
        <v>6</v>
      </c>
      <c r="AT35" s="243" t="s">
        <v>6</v>
      </c>
      <c r="AU35" s="243" t="s">
        <v>6</v>
      </c>
      <c r="AV35" s="243" t="s">
        <v>6</v>
      </c>
      <c r="AW35" s="243" t="s">
        <v>6</v>
      </c>
      <c r="AX35" s="243" t="s">
        <v>6</v>
      </c>
      <c r="AY35" s="243" t="s">
        <v>6</v>
      </c>
      <c r="AZ35" s="243" t="s">
        <v>6</v>
      </c>
      <c r="BA35" s="243" t="s">
        <v>6</v>
      </c>
      <c r="BB35" s="243" t="s">
        <v>6</v>
      </c>
      <c r="BC35" s="243" t="s">
        <v>6</v>
      </c>
      <c r="BD35" s="243" t="s">
        <v>6</v>
      </c>
      <c r="BE35" s="243" t="s">
        <v>6</v>
      </c>
      <c r="BF35" s="243" t="s">
        <v>6</v>
      </c>
      <c r="BG35" s="243" t="s">
        <v>6</v>
      </c>
      <c r="BH35" s="243" t="s">
        <v>6</v>
      </c>
      <c r="BI35" s="243" t="s">
        <v>6</v>
      </c>
      <c r="BJ35" s="243" t="s">
        <v>6</v>
      </c>
      <c r="BK35" s="243" t="s">
        <v>6</v>
      </c>
      <c r="BL35" s="243" t="s">
        <v>6</v>
      </c>
      <c r="BM35" s="243" t="s">
        <v>6</v>
      </c>
      <c r="BN35" s="243" t="s">
        <v>6</v>
      </c>
      <c r="BO35" s="243" t="s">
        <v>6</v>
      </c>
      <c r="BP35" s="243" t="s">
        <v>6</v>
      </c>
      <c r="BQ35" s="243" t="s">
        <v>6</v>
      </c>
      <c r="BR35" s="243" t="s">
        <v>6</v>
      </c>
      <c r="BS35" s="243" t="s">
        <v>6</v>
      </c>
      <c r="BT35" s="243" t="s">
        <v>6</v>
      </c>
      <c r="BU35" s="243" t="s">
        <v>6</v>
      </c>
      <c r="BV35" s="243" t="s">
        <v>6</v>
      </c>
      <c r="BW35" s="243" t="s">
        <v>6</v>
      </c>
      <c r="BX35" s="243" t="s">
        <v>6</v>
      </c>
      <c r="BY35" s="243" t="s">
        <v>6</v>
      </c>
      <c r="BZ35" s="243" t="s">
        <v>6</v>
      </c>
      <c r="CA35" s="243" t="s">
        <v>6</v>
      </c>
      <c r="CB35" s="243" t="s">
        <v>6</v>
      </c>
      <c r="CC35" s="243" t="s">
        <v>6</v>
      </c>
      <c r="CD35" s="243" t="s">
        <v>6</v>
      </c>
      <c r="CE35" s="243" t="s">
        <v>6</v>
      </c>
      <c r="CF35" s="243" t="s">
        <v>6</v>
      </c>
      <c r="CG35" s="243" t="s">
        <v>6</v>
      </c>
      <c r="CH35" s="243" t="s">
        <v>6</v>
      </c>
      <c r="CI35" s="243" t="s">
        <v>6</v>
      </c>
      <c r="CJ35" s="243" t="s">
        <v>6</v>
      </c>
      <c r="CK35" s="243" t="s">
        <v>6</v>
      </c>
      <c r="CL35" s="243" t="s">
        <v>6</v>
      </c>
      <c r="CM35" s="243" t="s">
        <v>6</v>
      </c>
      <c r="CN35" s="243" t="s">
        <v>6</v>
      </c>
      <c r="CO35" s="243" t="s">
        <v>6</v>
      </c>
      <c r="CP35" s="243" t="s">
        <v>6</v>
      </c>
      <c r="CQ35" s="243" t="s">
        <v>6</v>
      </c>
      <c r="CR35" s="243" t="s">
        <v>6</v>
      </c>
      <c r="CS35" s="243" t="s">
        <v>6</v>
      </c>
      <c r="CT35" s="243" t="s">
        <v>6</v>
      </c>
      <c r="CU35" s="243" t="s">
        <v>6</v>
      </c>
      <c r="CV35" s="243" t="s">
        <v>6</v>
      </c>
      <c r="CW35" s="243" t="s">
        <v>6</v>
      </c>
      <c r="CX35" s="243" t="s">
        <v>6</v>
      </c>
      <c r="CY35" s="243" t="s">
        <v>6</v>
      </c>
      <c r="CZ35" s="243" t="s">
        <v>6</v>
      </c>
      <c r="DA35" s="243" t="s">
        <v>6</v>
      </c>
      <c r="DB35" s="243" t="s">
        <v>6</v>
      </c>
      <c r="DC35" s="243" t="s">
        <v>6</v>
      </c>
      <c r="DD35" s="243" t="s">
        <v>6</v>
      </c>
      <c r="DE35" s="243" t="s">
        <v>6</v>
      </c>
      <c r="DF35" s="243" t="s">
        <v>6</v>
      </c>
      <c r="DG35" s="243" t="s">
        <v>6</v>
      </c>
      <c r="DH35" s="243" t="s">
        <v>6</v>
      </c>
      <c r="DI35" s="243" t="s">
        <v>6</v>
      </c>
      <c r="DJ35" s="243" t="s">
        <v>6</v>
      </c>
      <c r="DK35" s="243" t="s">
        <v>6</v>
      </c>
      <c r="DL35" s="243" t="s">
        <v>6</v>
      </c>
      <c r="DM35" s="243" t="s">
        <v>6</v>
      </c>
      <c r="DN35" s="243" t="s">
        <v>6</v>
      </c>
      <c r="DO35" s="243" t="s">
        <v>6</v>
      </c>
      <c r="DP35" s="243" t="s">
        <v>6</v>
      </c>
      <c r="DQ35" s="243" t="s">
        <v>6</v>
      </c>
      <c r="DR35" s="243" t="s">
        <v>6</v>
      </c>
      <c r="DS35" s="243" t="s">
        <v>6</v>
      </c>
      <c r="DT35" s="243" t="s">
        <v>6</v>
      </c>
      <c r="DU35" s="243" t="s">
        <v>6</v>
      </c>
      <c r="DV35" s="243" t="s">
        <v>6</v>
      </c>
      <c r="DW35" s="243" t="s">
        <v>6</v>
      </c>
      <c r="DX35" s="243" t="s">
        <v>6</v>
      </c>
      <c r="DY35" s="243" t="s">
        <v>6</v>
      </c>
      <c r="DZ35" s="243" t="s">
        <v>6</v>
      </c>
      <c r="EA35" s="243" t="s">
        <v>6</v>
      </c>
      <c r="EB35" s="243" t="s">
        <v>6</v>
      </c>
      <c r="EC35" s="243" t="s">
        <v>6</v>
      </c>
      <c r="ED35" s="243" t="s">
        <v>6</v>
      </c>
      <c r="EE35" s="243" t="s">
        <v>6</v>
      </c>
      <c r="EF35" s="243" t="s">
        <v>6</v>
      </c>
      <c r="EG35" s="243" t="s">
        <v>6</v>
      </c>
      <c r="EH35" s="243" t="s">
        <v>6</v>
      </c>
      <c r="EI35" s="243" t="s">
        <v>6</v>
      </c>
      <c r="EJ35" s="243" t="s">
        <v>6</v>
      </c>
      <c r="EK35" s="243" t="s">
        <v>6</v>
      </c>
      <c r="EL35" s="243" t="s">
        <v>6</v>
      </c>
      <c r="EM35" s="243" t="s">
        <v>6</v>
      </c>
      <c r="EN35" s="243" t="s">
        <v>6</v>
      </c>
      <c r="EO35" s="243" t="s">
        <v>6</v>
      </c>
      <c r="EP35" s="243" t="s">
        <v>6</v>
      </c>
      <c r="EQ35" s="243" t="s">
        <v>6</v>
      </c>
      <c r="ER35" s="243" t="s">
        <v>6</v>
      </c>
      <c r="ES35" s="243" t="s">
        <v>6</v>
      </c>
      <c r="ET35" s="243" t="s">
        <v>6</v>
      </c>
      <c r="EU35" s="243" t="s">
        <v>6</v>
      </c>
      <c r="EV35" s="243" t="s">
        <v>6</v>
      </c>
      <c r="EW35" s="243" t="s">
        <v>6</v>
      </c>
    </row>
    <row r="36" spans="1:153" ht="13.5">
      <c r="A36" s="277" t="s">
        <v>6</v>
      </c>
      <c r="B36" s="247" t="s">
        <v>6</v>
      </c>
      <c r="C36" s="244" t="s">
        <v>6</v>
      </c>
      <c r="D36" s="244" t="s">
        <v>6</v>
      </c>
      <c r="E36" s="244" t="s">
        <v>6</v>
      </c>
      <c r="F36" s="244" t="s">
        <v>6</v>
      </c>
      <c r="G36" s="244" t="s">
        <v>6</v>
      </c>
      <c r="H36" s="244" t="s">
        <v>6</v>
      </c>
      <c r="I36" s="244" t="s">
        <v>6</v>
      </c>
      <c r="J36" s="291" t="s">
        <v>179</v>
      </c>
      <c r="K36" s="243" t="s">
        <v>6</v>
      </c>
      <c r="L36" s="243" t="s">
        <v>6</v>
      </c>
      <c r="M36" s="243" t="s">
        <v>6</v>
      </c>
      <c r="N36" s="241" t="s">
        <v>6</v>
      </c>
      <c r="O36" s="243" t="s">
        <v>6</v>
      </c>
      <c r="P36" s="243" t="s">
        <v>6</v>
      </c>
      <c r="Q36" s="243" t="s">
        <v>6</v>
      </c>
      <c r="R36" s="243" t="s">
        <v>6</v>
      </c>
      <c r="S36" s="243" t="s">
        <v>6</v>
      </c>
      <c r="T36" s="243" t="s">
        <v>6</v>
      </c>
      <c r="U36" s="243" t="s">
        <v>6</v>
      </c>
      <c r="V36" s="243" t="s">
        <v>6</v>
      </c>
      <c r="W36" s="243" t="s">
        <v>6</v>
      </c>
      <c r="X36" s="243" t="s">
        <v>6</v>
      </c>
      <c r="Y36" s="243" t="s">
        <v>6</v>
      </c>
      <c r="Z36" s="243" t="s">
        <v>6</v>
      </c>
      <c r="AA36" s="243" t="s">
        <v>6</v>
      </c>
      <c r="AB36" s="243" t="s">
        <v>6</v>
      </c>
      <c r="AC36" s="243" t="s">
        <v>6</v>
      </c>
      <c r="AD36" s="243" t="s">
        <v>6</v>
      </c>
      <c r="AE36" s="243" t="s">
        <v>6</v>
      </c>
      <c r="AF36" s="243" t="s">
        <v>6</v>
      </c>
      <c r="AG36" s="243" t="s">
        <v>6</v>
      </c>
      <c r="AH36" s="243" t="s">
        <v>6</v>
      </c>
      <c r="AI36" s="243" t="s">
        <v>6</v>
      </c>
      <c r="AJ36" s="243" t="s">
        <v>6</v>
      </c>
      <c r="AK36" s="243" t="s">
        <v>6</v>
      </c>
      <c r="AL36" s="243" t="s">
        <v>6</v>
      </c>
      <c r="AM36" s="243" t="s">
        <v>6</v>
      </c>
      <c r="AN36" s="243" t="s">
        <v>6</v>
      </c>
      <c r="AO36" s="243" t="s">
        <v>6</v>
      </c>
      <c r="AP36" s="243" t="s">
        <v>6</v>
      </c>
      <c r="AQ36" s="243" t="s">
        <v>6</v>
      </c>
      <c r="AR36" s="243" t="s">
        <v>6</v>
      </c>
      <c r="AS36" s="243" t="s">
        <v>6</v>
      </c>
      <c r="AT36" s="243" t="s">
        <v>6</v>
      </c>
      <c r="AU36" s="243" t="s">
        <v>6</v>
      </c>
      <c r="AV36" s="243" t="s">
        <v>6</v>
      </c>
      <c r="AW36" s="243" t="s">
        <v>6</v>
      </c>
      <c r="AX36" s="243" t="s">
        <v>6</v>
      </c>
      <c r="AY36" s="243" t="s">
        <v>6</v>
      </c>
      <c r="AZ36" s="243" t="s">
        <v>6</v>
      </c>
      <c r="BA36" s="243" t="s">
        <v>6</v>
      </c>
      <c r="BB36" s="243" t="s">
        <v>6</v>
      </c>
      <c r="BC36" s="243" t="s">
        <v>6</v>
      </c>
      <c r="BD36" s="243" t="s">
        <v>6</v>
      </c>
      <c r="BE36" s="243" t="s">
        <v>6</v>
      </c>
      <c r="BF36" s="243" t="s">
        <v>6</v>
      </c>
      <c r="BG36" s="243" t="s">
        <v>6</v>
      </c>
      <c r="BH36" s="243" t="s">
        <v>6</v>
      </c>
      <c r="BI36" s="243" t="s">
        <v>6</v>
      </c>
      <c r="BJ36" s="243" t="s">
        <v>6</v>
      </c>
      <c r="BK36" s="243" t="s">
        <v>6</v>
      </c>
      <c r="BL36" s="243" t="s">
        <v>6</v>
      </c>
      <c r="BM36" s="243" t="s">
        <v>6</v>
      </c>
      <c r="BN36" s="243" t="s">
        <v>6</v>
      </c>
      <c r="BO36" s="243" t="s">
        <v>6</v>
      </c>
      <c r="BP36" s="243" t="s">
        <v>6</v>
      </c>
      <c r="BQ36" s="243" t="s">
        <v>6</v>
      </c>
      <c r="BR36" s="243" t="s">
        <v>6</v>
      </c>
      <c r="BS36" s="243" t="s">
        <v>6</v>
      </c>
      <c r="BT36" s="243" t="s">
        <v>6</v>
      </c>
      <c r="BU36" s="243" t="s">
        <v>6</v>
      </c>
      <c r="BV36" s="243" t="s">
        <v>6</v>
      </c>
      <c r="BW36" s="243" t="s">
        <v>6</v>
      </c>
      <c r="BX36" s="243" t="s">
        <v>6</v>
      </c>
      <c r="BY36" s="243" t="s">
        <v>6</v>
      </c>
      <c r="BZ36" s="243" t="s">
        <v>6</v>
      </c>
      <c r="CA36" s="243" t="s">
        <v>6</v>
      </c>
      <c r="CB36" s="243" t="s">
        <v>6</v>
      </c>
      <c r="CC36" s="243" t="s">
        <v>6</v>
      </c>
      <c r="CD36" s="243" t="s">
        <v>6</v>
      </c>
      <c r="CE36" s="243" t="s">
        <v>6</v>
      </c>
      <c r="CF36" s="243" t="s">
        <v>6</v>
      </c>
      <c r="CG36" s="243" t="s">
        <v>6</v>
      </c>
      <c r="CH36" s="243" t="s">
        <v>6</v>
      </c>
      <c r="CI36" s="243" t="s">
        <v>6</v>
      </c>
      <c r="CJ36" s="243" t="s">
        <v>6</v>
      </c>
      <c r="CK36" s="243" t="s">
        <v>6</v>
      </c>
      <c r="CL36" s="243" t="s">
        <v>6</v>
      </c>
      <c r="CM36" s="243" t="s">
        <v>6</v>
      </c>
      <c r="CN36" s="243" t="s">
        <v>6</v>
      </c>
      <c r="CO36" s="243" t="s">
        <v>6</v>
      </c>
      <c r="CP36" s="243" t="s">
        <v>6</v>
      </c>
      <c r="CQ36" s="243" t="s">
        <v>6</v>
      </c>
      <c r="CR36" s="243" t="s">
        <v>6</v>
      </c>
      <c r="CS36" s="243" t="s">
        <v>6</v>
      </c>
      <c r="CT36" s="243" t="s">
        <v>6</v>
      </c>
      <c r="CU36" s="243" t="s">
        <v>6</v>
      </c>
      <c r="CV36" s="243" t="s">
        <v>6</v>
      </c>
      <c r="CW36" s="243" t="s">
        <v>6</v>
      </c>
      <c r="CX36" s="243" t="s">
        <v>6</v>
      </c>
      <c r="CY36" s="243" t="s">
        <v>6</v>
      </c>
      <c r="CZ36" s="243" t="s">
        <v>6</v>
      </c>
      <c r="DA36" s="243" t="s">
        <v>6</v>
      </c>
      <c r="DB36" s="243" t="s">
        <v>6</v>
      </c>
      <c r="DC36" s="243" t="s">
        <v>6</v>
      </c>
      <c r="DD36" s="243" t="s">
        <v>6</v>
      </c>
      <c r="DE36" s="243" t="s">
        <v>6</v>
      </c>
      <c r="DF36" s="243" t="s">
        <v>6</v>
      </c>
      <c r="DG36" s="243" t="s">
        <v>6</v>
      </c>
      <c r="DH36" s="243" t="s">
        <v>6</v>
      </c>
      <c r="DI36" s="243" t="s">
        <v>6</v>
      </c>
      <c r="DJ36" s="243" t="s">
        <v>6</v>
      </c>
      <c r="DK36" s="243" t="s">
        <v>6</v>
      </c>
      <c r="DL36" s="243" t="s">
        <v>6</v>
      </c>
      <c r="DM36" s="243" t="s">
        <v>6</v>
      </c>
      <c r="DN36" s="243" t="s">
        <v>6</v>
      </c>
      <c r="DO36" s="243" t="s">
        <v>6</v>
      </c>
      <c r="DP36" s="243" t="s">
        <v>6</v>
      </c>
      <c r="DQ36" s="243" t="s">
        <v>6</v>
      </c>
      <c r="DR36" s="243" t="s">
        <v>6</v>
      </c>
      <c r="DS36" s="243" t="s">
        <v>6</v>
      </c>
      <c r="DT36" s="243" t="s">
        <v>6</v>
      </c>
      <c r="DU36" s="243" t="s">
        <v>6</v>
      </c>
      <c r="DV36" s="243" t="s">
        <v>6</v>
      </c>
      <c r="DW36" s="243" t="s">
        <v>6</v>
      </c>
      <c r="DX36" s="243" t="s">
        <v>6</v>
      </c>
      <c r="DY36" s="243" t="s">
        <v>6</v>
      </c>
      <c r="DZ36" s="243" t="s">
        <v>6</v>
      </c>
      <c r="EA36" s="243" t="s">
        <v>6</v>
      </c>
      <c r="EB36" s="243" t="s">
        <v>6</v>
      </c>
      <c r="EC36" s="243" t="s">
        <v>6</v>
      </c>
      <c r="ED36" s="243" t="s">
        <v>6</v>
      </c>
      <c r="EE36" s="243" t="s">
        <v>6</v>
      </c>
      <c r="EF36" s="243" t="s">
        <v>6</v>
      </c>
      <c r="EG36" s="243" t="s">
        <v>6</v>
      </c>
      <c r="EH36" s="243" t="s">
        <v>6</v>
      </c>
      <c r="EI36" s="243" t="s">
        <v>6</v>
      </c>
      <c r="EJ36" s="243" t="s">
        <v>6</v>
      </c>
      <c r="EK36" s="243" t="s">
        <v>6</v>
      </c>
      <c r="EL36" s="243" t="s">
        <v>6</v>
      </c>
      <c r="EM36" s="243" t="s">
        <v>6</v>
      </c>
      <c r="EN36" s="243" t="s">
        <v>6</v>
      </c>
      <c r="EO36" s="243" t="s">
        <v>6</v>
      </c>
      <c r="EP36" s="243" t="s">
        <v>6</v>
      </c>
      <c r="EQ36" s="243" t="s">
        <v>6</v>
      </c>
      <c r="ER36" s="243" t="s">
        <v>6</v>
      </c>
      <c r="ES36" s="243" t="s">
        <v>6</v>
      </c>
      <c r="ET36" s="243" t="s">
        <v>6</v>
      </c>
      <c r="EU36" s="243" t="s">
        <v>6</v>
      </c>
      <c r="EV36" s="243" t="s">
        <v>6</v>
      </c>
      <c r="EW36" s="243" t="s">
        <v>6</v>
      </c>
    </row>
    <row r="37" spans="1:153" ht="13.5">
      <c r="A37" s="277" t="s">
        <v>6</v>
      </c>
      <c r="B37" s="247" t="s">
        <v>6</v>
      </c>
      <c r="C37" s="247" t="s">
        <v>6</v>
      </c>
      <c r="D37" s="247" t="s">
        <v>6</v>
      </c>
      <c r="E37" s="247" t="s">
        <v>6</v>
      </c>
      <c r="F37" s="247" t="s">
        <v>6</v>
      </c>
      <c r="G37" s="247" t="s">
        <v>6</v>
      </c>
      <c r="H37" s="247" t="s">
        <v>6</v>
      </c>
      <c r="I37" s="247" t="s">
        <v>6</v>
      </c>
      <c r="J37" s="247" t="s">
        <v>6</v>
      </c>
      <c r="K37" s="243" t="s">
        <v>6</v>
      </c>
      <c r="L37" s="243" t="s">
        <v>6</v>
      </c>
      <c r="M37" s="243" t="s">
        <v>6</v>
      </c>
      <c r="N37" s="241" t="s">
        <v>6</v>
      </c>
      <c r="O37" s="243" t="s">
        <v>6</v>
      </c>
      <c r="P37" s="243" t="s">
        <v>6</v>
      </c>
      <c r="Q37" s="243" t="s">
        <v>6</v>
      </c>
      <c r="R37" s="243" t="s">
        <v>6</v>
      </c>
      <c r="S37" s="243" t="s">
        <v>6</v>
      </c>
      <c r="T37" s="243" t="s">
        <v>6</v>
      </c>
      <c r="U37" s="243" t="s">
        <v>6</v>
      </c>
      <c r="V37" s="243" t="s">
        <v>6</v>
      </c>
      <c r="W37" s="243" t="s">
        <v>6</v>
      </c>
      <c r="X37" s="243" t="s">
        <v>6</v>
      </c>
      <c r="Y37" s="243" t="s">
        <v>6</v>
      </c>
      <c r="Z37" s="243" t="s">
        <v>6</v>
      </c>
      <c r="AA37" s="243" t="s">
        <v>6</v>
      </c>
      <c r="AB37" s="243" t="s">
        <v>6</v>
      </c>
      <c r="AC37" s="243" t="s">
        <v>6</v>
      </c>
      <c r="AD37" s="243" t="s">
        <v>6</v>
      </c>
      <c r="AE37" s="243" t="s">
        <v>6</v>
      </c>
      <c r="AF37" s="243" t="s">
        <v>6</v>
      </c>
      <c r="AG37" s="243" t="s">
        <v>6</v>
      </c>
      <c r="AH37" s="243" t="s">
        <v>6</v>
      </c>
      <c r="AI37" s="243" t="s">
        <v>6</v>
      </c>
      <c r="AJ37" s="243" t="s">
        <v>6</v>
      </c>
      <c r="AK37" s="243" t="s">
        <v>6</v>
      </c>
      <c r="AL37" s="243" t="s">
        <v>6</v>
      </c>
      <c r="AM37" s="243" t="s">
        <v>6</v>
      </c>
      <c r="AN37" s="243" t="s">
        <v>6</v>
      </c>
      <c r="AO37" s="243" t="s">
        <v>6</v>
      </c>
      <c r="AP37" s="243" t="s">
        <v>6</v>
      </c>
      <c r="AQ37" s="243" t="s">
        <v>6</v>
      </c>
      <c r="AR37" s="243" t="s">
        <v>6</v>
      </c>
      <c r="AS37" s="243" t="s">
        <v>6</v>
      </c>
      <c r="AT37" s="243" t="s">
        <v>6</v>
      </c>
      <c r="AU37" s="243" t="s">
        <v>6</v>
      </c>
      <c r="AV37" s="243" t="s">
        <v>6</v>
      </c>
      <c r="AW37" s="243" t="s">
        <v>6</v>
      </c>
      <c r="AX37" s="243" t="s">
        <v>6</v>
      </c>
      <c r="AY37" s="243" t="s">
        <v>6</v>
      </c>
      <c r="AZ37" s="243" t="s">
        <v>6</v>
      </c>
      <c r="BA37" s="243" t="s">
        <v>6</v>
      </c>
      <c r="BB37" s="243" t="s">
        <v>6</v>
      </c>
      <c r="BC37" s="243" t="s">
        <v>6</v>
      </c>
      <c r="BD37" s="243" t="s">
        <v>6</v>
      </c>
      <c r="BE37" s="243" t="s">
        <v>6</v>
      </c>
      <c r="BF37" s="243" t="s">
        <v>6</v>
      </c>
      <c r="BG37" s="243" t="s">
        <v>6</v>
      </c>
      <c r="BH37" s="243" t="s">
        <v>6</v>
      </c>
      <c r="BI37" s="243" t="s">
        <v>6</v>
      </c>
      <c r="BJ37" s="243" t="s">
        <v>6</v>
      </c>
      <c r="BK37" s="243" t="s">
        <v>6</v>
      </c>
      <c r="BL37" s="243" t="s">
        <v>6</v>
      </c>
      <c r="BM37" s="243" t="s">
        <v>6</v>
      </c>
      <c r="BN37" s="243" t="s">
        <v>6</v>
      </c>
      <c r="BO37" s="243" t="s">
        <v>6</v>
      </c>
      <c r="BP37" s="243" t="s">
        <v>6</v>
      </c>
      <c r="BQ37" s="243" t="s">
        <v>6</v>
      </c>
      <c r="BR37" s="243" t="s">
        <v>6</v>
      </c>
      <c r="BS37" s="243" t="s">
        <v>6</v>
      </c>
      <c r="BT37" s="243" t="s">
        <v>6</v>
      </c>
      <c r="BU37" s="243" t="s">
        <v>6</v>
      </c>
      <c r="BV37" s="243" t="s">
        <v>6</v>
      </c>
      <c r="BW37" s="243" t="s">
        <v>6</v>
      </c>
      <c r="BX37" s="243" t="s">
        <v>6</v>
      </c>
      <c r="BY37" s="243" t="s">
        <v>6</v>
      </c>
      <c r="BZ37" s="243" t="s">
        <v>6</v>
      </c>
      <c r="CA37" s="243" t="s">
        <v>6</v>
      </c>
      <c r="CB37" s="243" t="s">
        <v>6</v>
      </c>
      <c r="CC37" s="243" t="s">
        <v>6</v>
      </c>
      <c r="CD37" s="243" t="s">
        <v>6</v>
      </c>
      <c r="CE37" s="243" t="s">
        <v>6</v>
      </c>
      <c r="CF37" s="243" t="s">
        <v>6</v>
      </c>
      <c r="CG37" s="243" t="s">
        <v>6</v>
      </c>
      <c r="CH37" s="243" t="s">
        <v>6</v>
      </c>
      <c r="CI37" s="243" t="s">
        <v>6</v>
      </c>
      <c r="CJ37" s="243" t="s">
        <v>6</v>
      </c>
      <c r="CK37" s="243" t="s">
        <v>6</v>
      </c>
      <c r="CL37" s="243" t="s">
        <v>6</v>
      </c>
      <c r="CM37" s="243" t="s">
        <v>6</v>
      </c>
      <c r="CN37" s="243" t="s">
        <v>6</v>
      </c>
      <c r="CO37" s="243" t="s">
        <v>6</v>
      </c>
      <c r="CP37" s="243" t="s">
        <v>6</v>
      </c>
      <c r="CQ37" s="243" t="s">
        <v>6</v>
      </c>
      <c r="CR37" s="243" t="s">
        <v>6</v>
      </c>
      <c r="CS37" s="243" t="s">
        <v>6</v>
      </c>
      <c r="CT37" s="243" t="s">
        <v>6</v>
      </c>
      <c r="CU37" s="243" t="s">
        <v>6</v>
      </c>
      <c r="CV37" s="243" t="s">
        <v>6</v>
      </c>
      <c r="CW37" s="243" t="s">
        <v>6</v>
      </c>
      <c r="CX37" s="243" t="s">
        <v>6</v>
      </c>
      <c r="CY37" s="243" t="s">
        <v>6</v>
      </c>
      <c r="CZ37" s="243" t="s">
        <v>6</v>
      </c>
      <c r="DA37" s="243" t="s">
        <v>6</v>
      </c>
      <c r="DB37" s="243" t="s">
        <v>6</v>
      </c>
      <c r="DC37" s="243" t="s">
        <v>6</v>
      </c>
      <c r="DD37" s="243" t="s">
        <v>6</v>
      </c>
      <c r="DE37" s="243" t="s">
        <v>6</v>
      </c>
      <c r="DF37" s="243" t="s">
        <v>6</v>
      </c>
      <c r="DG37" s="243" t="s">
        <v>6</v>
      </c>
      <c r="DH37" s="243" t="s">
        <v>6</v>
      </c>
      <c r="DI37" s="243" t="s">
        <v>6</v>
      </c>
      <c r="DJ37" s="243" t="s">
        <v>6</v>
      </c>
      <c r="DK37" s="243" t="s">
        <v>6</v>
      </c>
      <c r="DL37" s="243" t="s">
        <v>6</v>
      </c>
      <c r="DM37" s="243" t="s">
        <v>6</v>
      </c>
      <c r="DN37" s="243" t="s">
        <v>6</v>
      </c>
      <c r="DO37" s="243" t="s">
        <v>6</v>
      </c>
      <c r="DP37" s="243" t="s">
        <v>6</v>
      </c>
      <c r="DQ37" s="243" t="s">
        <v>6</v>
      </c>
      <c r="DR37" s="243" t="s">
        <v>6</v>
      </c>
      <c r="DS37" s="243" t="s">
        <v>6</v>
      </c>
      <c r="DT37" s="243" t="s">
        <v>6</v>
      </c>
      <c r="DU37" s="243" t="s">
        <v>6</v>
      </c>
      <c r="DV37" s="243" t="s">
        <v>6</v>
      </c>
      <c r="DW37" s="243" t="s">
        <v>6</v>
      </c>
      <c r="DX37" s="243" t="s">
        <v>6</v>
      </c>
      <c r="DY37" s="243" t="s">
        <v>6</v>
      </c>
      <c r="DZ37" s="243" t="s">
        <v>6</v>
      </c>
      <c r="EA37" s="243" t="s">
        <v>6</v>
      </c>
      <c r="EB37" s="243" t="s">
        <v>6</v>
      </c>
      <c r="EC37" s="243" t="s">
        <v>6</v>
      </c>
      <c r="ED37" s="243" t="s">
        <v>6</v>
      </c>
      <c r="EE37" s="243" t="s">
        <v>6</v>
      </c>
      <c r="EF37" s="243" t="s">
        <v>6</v>
      </c>
      <c r="EG37" s="243" t="s">
        <v>6</v>
      </c>
      <c r="EH37" s="243" t="s">
        <v>6</v>
      </c>
      <c r="EI37" s="243" t="s">
        <v>6</v>
      </c>
      <c r="EJ37" s="243" t="s">
        <v>6</v>
      </c>
      <c r="EK37" s="243" t="s">
        <v>6</v>
      </c>
      <c r="EL37" s="243" t="s">
        <v>6</v>
      </c>
      <c r="EM37" s="243" t="s">
        <v>6</v>
      </c>
      <c r="EN37" s="243" t="s">
        <v>6</v>
      </c>
      <c r="EO37" s="243" t="s">
        <v>6</v>
      </c>
      <c r="EP37" s="243" t="s">
        <v>6</v>
      </c>
      <c r="EQ37" s="243" t="s">
        <v>6</v>
      </c>
      <c r="ER37" s="243" t="s">
        <v>6</v>
      </c>
      <c r="ES37" s="243" t="s">
        <v>6</v>
      </c>
      <c r="ET37" s="243" t="s">
        <v>6</v>
      </c>
      <c r="EU37" s="243" t="s">
        <v>6</v>
      </c>
      <c r="EV37" s="243" t="s">
        <v>6</v>
      </c>
      <c r="EW37" s="243" t="s">
        <v>6</v>
      </c>
    </row>
    <row r="38" spans="1:153" ht="13.5">
      <c r="A38" s="277" t="s">
        <v>6</v>
      </c>
      <c r="B38" s="247" t="s">
        <v>6</v>
      </c>
      <c r="C38" s="247" t="s">
        <v>6</v>
      </c>
      <c r="D38" s="247" t="s">
        <v>6</v>
      </c>
      <c r="E38" s="247" t="s">
        <v>6</v>
      </c>
      <c r="F38" s="247" t="s">
        <v>6</v>
      </c>
      <c r="G38" s="247" t="s">
        <v>6</v>
      </c>
      <c r="H38" s="247" t="s">
        <v>6</v>
      </c>
      <c r="I38" s="247" t="s">
        <v>6</v>
      </c>
      <c r="J38" s="247" t="s">
        <v>6</v>
      </c>
      <c r="K38" s="243" t="s">
        <v>6</v>
      </c>
      <c r="L38" s="243" t="s">
        <v>6</v>
      </c>
      <c r="M38" s="243" t="s">
        <v>6</v>
      </c>
      <c r="N38" s="241" t="s">
        <v>6</v>
      </c>
      <c r="O38" s="243" t="s">
        <v>6</v>
      </c>
      <c r="P38" s="243" t="s">
        <v>6</v>
      </c>
      <c r="Q38" s="243" t="s">
        <v>6</v>
      </c>
      <c r="R38" s="243" t="s">
        <v>6</v>
      </c>
      <c r="S38" s="243" t="s">
        <v>6</v>
      </c>
      <c r="T38" s="243" t="s">
        <v>6</v>
      </c>
      <c r="U38" s="243" t="s">
        <v>6</v>
      </c>
      <c r="V38" s="243" t="s">
        <v>6</v>
      </c>
      <c r="W38" s="243" t="s">
        <v>6</v>
      </c>
      <c r="X38" s="243" t="s">
        <v>6</v>
      </c>
      <c r="Y38" s="243" t="s">
        <v>6</v>
      </c>
      <c r="Z38" s="243" t="s">
        <v>6</v>
      </c>
      <c r="AA38" s="243" t="s">
        <v>6</v>
      </c>
      <c r="AB38" s="243" t="s">
        <v>6</v>
      </c>
      <c r="AC38" s="243" t="s">
        <v>6</v>
      </c>
      <c r="AD38" s="243" t="s">
        <v>6</v>
      </c>
      <c r="AE38" s="243" t="s">
        <v>6</v>
      </c>
      <c r="AF38" s="243" t="s">
        <v>6</v>
      </c>
      <c r="AG38" s="243" t="s">
        <v>6</v>
      </c>
      <c r="AH38" s="243" t="s">
        <v>6</v>
      </c>
      <c r="AI38" s="243" t="s">
        <v>6</v>
      </c>
      <c r="AJ38" s="243" t="s">
        <v>6</v>
      </c>
      <c r="AK38" s="243" t="s">
        <v>6</v>
      </c>
      <c r="AL38" s="243" t="s">
        <v>6</v>
      </c>
      <c r="AM38" s="243" t="s">
        <v>6</v>
      </c>
      <c r="AN38" s="243" t="s">
        <v>6</v>
      </c>
      <c r="AO38" s="243" t="s">
        <v>6</v>
      </c>
      <c r="AP38" s="243" t="s">
        <v>6</v>
      </c>
      <c r="AQ38" s="243" t="s">
        <v>6</v>
      </c>
      <c r="AR38" s="243" t="s">
        <v>6</v>
      </c>
      <c r="AS38" s="243" t="s">
        <v>6</v>
      </c>
      <c r="AT38" s="243" t="s">
        <v>6</v>
      </c>
      <c r="AU38" s="243" t="s">
        <v>6</v>
      </c>
      <c r="AV38" s="243" t="s">
        <v>6</v>
      </c>
      <c r="AW38" s="243" t="s">
        <v>6</v>
      </c>
      <c r="AX38" s="243" t="s">
        <v>6</v>
      </c>
      <c r="AY38" s="243" t="s">
        <v>6</v>
      </c>
      <c r="AZ38" s="243" t="s">
        <v>6</v>
      </c>
      <c r="BA38" s="243" t="s">
        <v>6</v>
      </c>
      <c r="BB38" s="243" t="s">
        <v>6</v>
      </c>
      <c r="BC38" s="243" t="s">
        <v>6</v>
      </c>
      <c r="BD38" s="243" t="s">
        <v>6</v>
      </c>
      <c r="BE38" s="243" t="s">
        <v>6</v>
      </c>
      <c r="BF38" s="243" t="s">
        <v>6</v>
      </c>
      <c r="BG38" s="243" t="s">
        <v>6</v>
      </c>
      <c r="BH38" s="243" t="s">
        <v>6</v>
      </c>
      <c r="BI38" s="243" t="s">
        <v>6</v>
      </c>
      <c r="BJ38" s="243" t="s">
        <v>6</v>
      </c>
      <c r="BK38" s="243" t="s">
        <v>6</v>
      </c>
      <c r="BL38" s="243" t="s">
        <v>6</v>
      </c>
      <c r="BM38" s="243" t="s">
        <v>6</v>
      </c>
      <c r="BN38" s="243" t="s">
        <v>6</v>
      </c>
      <c r="BO38" s="243" t="s">
        <v>6</v>
      </c>
      <c r="BP38" s="243" t="s">
        <v>6</v>
      </c>
      <c r="BQ38" s="243" t="s">
        <v>6</v>
      </c>
      <c r="BR38" s="243" t="s">
        <v>6</v>
      </c>
      <c r="BS38" s="243" t="s">
        <v>6</v>
      </c>
      <c r="BT38" s="243" t="s">
        <v>6</v>
      </c>
      <c r="BU38" s="243" t="s">
        <v>6</v>
      </c>
      <c r="BV38" s="243" t="s">
        <v>6</v>
      </c>
      <c r="BW38" s="243" t="s">
        <v>6</v>
      </c>
      <c r="BX38" s="243" t="s">
        <v>6</v>
      </c>
      <c r="BY38" s="243" t="s">
        <v>6</v>
      </c>
      <c r="BZ38" s="243" t="s">
        <v>6</v>
      </c>
      <c r="CA38" s="243" t="s">
        <v>6</v>
      </c>
      <c r="CB38" s="243" t="s">
        <v>6</v>
      </c>
      <c r="CC38" s="243" t="s">
        <v>6</v>
      </c>
      <c r="CD38" s="243" t="s">
        <v>6</v>
      </c>
      <c r="CE38" s="243" t="s">
        <v>6</v>
      </c>
      <c r="CF38" s="243" t="s">
        <v>6</v>
      </c>
      <c r="CG38" s="243" t="s">
        <v>6</v>
      </c>
      <c r="CH38" s="243" t="s">
        <v>6</v>
      </c>
      <c r="CI38" s="243" t="s">
        <v>6</v>
      </c>
      <c r="CJ38" s="243" t="s">
        <v>6</v>
      </c>
      <c r="CK38" s="243" t="s">
        <v>6</v>
      </c>
      <c r="CL38" s="243" t="s">
        <v>6</v>
      </c>
      <c r="CM38" s="243" t="s">
        <v>6</v>
      </c>
      <c r="CN38" s="243" t="s">
        <v>6</v>
      </c>
      <c r="CO38" s="243" t="s">
        <v>6</v>
      </c>
      <c r="CP38" s="243" t="s">
        <v>6</v>
      </c>
      <c r="CQ38" s="243" t="s">
        <v>6</v>
      </c>
      <c r="CR38" s="243" t="s">
        <v>6</v>
      </c>
      <c r="CS38" s="243" t="s">
        <v>6</v>
      </c>
      <c r="CT38" s="243" t="s">
        <v>6</v>
      </c>
      <c r="CU38" s="243" t="s">
        <v>6</v>
      </c>
      <c r="CV38" s="243" t="s">
        <v>6</v>
      </c>
      <c r="CW38" s="243" t="s">
        <v>6</v>
      </c>
      <c r="CX38" s="243" t="s">
        <v>6</v>
      </c>
      <c r="CY38" s="243" t="s">
        <v>6</v>
      </c>
      <c r="CZ38" s="243" t="s">
        <v>6</v>
      </c>
      <c r="DA38" s="243" t="s">
        <v>6</v>
      </c>
      <c r="DB38" s="243" t="s">
        <v>6</v>
      </c>
      <c r="DC38" s="243" t="s">
        <v>6</v>
      </c>
      <c r="DD38" s="243" t="s">
        <v>6</v>
      </c>
      <c r="DE38" s="243" t="s">
        <v>6</v>
      </c>
      <c r="DF38" s="243" t="s">
        <v>6</v>
      </c>
      <c r="DG38" s="243" t="s">
        <v>6</v>
      </c>
      <c r="DH38" s="243" t="s">
        <v>6</v>
      </c>
      <c r="DI38" s="243" t="s">
        <v>6</v>
      </c>
      <c r="DJ38" s="243" t="s">
        <v>6</v>
      </c>
      <c r="DK38" s="243" t="s">
        <v>6</v>
      </c>
      <c r="DL38" s="243" t="s">
        <v>6</v>
      </c>
      <c r="DM38" s="243" t="s">
        <v>6</v>
      </c>
      <c r="DN38" s="243" t="s">
        <v>6</v>
      </c>
      <c r="DO38" s="243" t="s">
        <v>6</v>
      </c>
      <c r="DP38" s="243" t="s">
        <v>6</v>
      </c>
      <c r="DQ38" s="243" t="s">
        <v>6</v>
      </c>
      <c r="DR38" s="243" t="s">
        <v>6</v>
      </c>
      <c r="DS38" s="243" t="s">
        <v>6</v>
      </c>
      <c r="DT38" s="243" t="s">
        <v>6</v>
      </c>
      <c r="DU38" s="243" t="s">
        <v>6</v>
      </c>
      <c r="DV38" s="243" t="s">
        <v>6</v>
      </c>
      <c r="DW38" s="243" t="s">
        <v>6</v>
      </c>
      <c r="DX38" s="243" t="s">
        <v>6</v>
      </c>
      <c r="DY38" s="243" t="s">
        <v>6</v>
      </c>
      <c r="DZ38" s="243" t="s">
        <v>6</v>
      </c>
      <c r="EA38" s="243" t="s">
        <v>6</v>
      </c>
      <c r="EB38" s="243" t="s">
        <v>6</v>
      </c>
      <c r="EC38" s="243" t="s">
        <v>6</v>
      </c>
      <c r="ED38" s="243" t="s">
        <v>6</v>
      </c>
      <c r="EE38" s="243" t="s">
        <v>6</v>
      </c>
      <c r="EF38" s="243" t="s">
        <v>6</v>
      </c>
      <c r="EG38" s="243" t="s">
        <v>6</v>
      </c>
      <c r="EH38" s="243" t="s">
        <v>6</v>
      </c>
      <c r="EI38" s="243" t="s">
        <v>6</v>
      </c>
      <c r="EJ38" s="243" t="s">
        <v>6</v>
      </c>
      <c r="EK38" s="243" t="s">
        <v>6</v>
      </c>
      <c r="EL38" s="243" t="s">
        <v>6</v>
      </c>
      <c r="EM38" s="243" t="s">
        <v>6</v>
      </c>
      <c r="EN38" s="243" t="s">
        <v>6</v>
      </c>
      <c r="EO38" s="243" t="s">
        <v>6</v>
      </c>
      <c r="EP38" s="243" t="s">
        <v>6</v>
      </c>
      <c r="EQ38" s="243" t="s">
        <v>6</v>
      </c>
      <c r="ER38" s="243" t="s">
        <v>6</v>
      </c>
      <c r="ES38" s="243" t="s">
        <v>6</v>
      </c>
      <c r="ET38" s="243" t="s">
        <v>6</v>
      </c>
      <c r="EU38" s="243" t="s">
        <v>6</v>
      </c>
      <c r="EV38" s="243" t="s">
        <v>6</v>
      </c>
      <c r="EW38" s="243" t="s">
        <v>6</v>
      </c>
    </row>
    <row r="39" spans="1:153" ht="13.5">
      <c r="A39" s="277" t="s">
        <v>6</v>
      </c>
      <c r="B39" s="247" t="s">
        <v>6</v>
      </c>
      <c r="C39" s="247" t="s">
        <v>6</v>
      </c>
      <c r="D39" s="247" t="s">
        <v>6</v>
      </c>
      <c r="E39" s="247" t="s">
        <v>6</v>
      </c>
      <c r="F39" s="247" t="s">
        <v>6</v>
      </c>
      <c r="G39" s="247" t="s">
        <v>6</v>
      </c>
      <c r="H39" s="247" t="s">
        <v>6</v>
      </c>
      <c r="I39" s="247" t="s">
        <v>6</v>
      </c>
      <c r="J39" s="247" t="s">
        <v>6</v>
      </c>
      <c r="K39" s="243" t="s">
        <v>6</v>
      </c>
      <c r="L39" s="243" t="s">
        <v>6</v>
      </c>
      <c r="M39" s="243" t="s">
        <v>6</v>
      </c>
      <c r="N39" s="241" t="s">
        <v>6</v>
      </c>
      <c r="O39" s="243" t="s">
        <v>6</v>
      </c>
      <c r="P39" s="243" t="s">
        <v>6</v>
      </c>
      <c r="Q39" s="243" t="s">
        <v>6</v>
      </c>
      <c r="R39" s="243" t="s">
        <v>6</v>
      </c>
      <c r="S39" s="243" t="s">
        <v>6</v>
      </c>
      <c r="T39" s="243" t="s">
        <v>6</v>
      </c>
      <c r="U39" s="243" t="s">
        <v>6</v>
      </c>
      <c r="V39" s="243" t="s">
        <v>6</v>
      </c>
      <c r="W39" s="243" t="s">
        <v>6</v>
      </c>
      <c r="X39" s="243" t="s">
        <v>6</v>
      </c>
      <c r="Y39" s="243" t="s">
        <v>6</v>
      </c>
      <c r="Z39" s="243" t="s">
        <v>6</v>
      </c>
      <c r="AA39" s="243" t="s">
        <v>6</v>
      </c>
      <c r="AB39" s="243" t="s">
        <v>6</v>
      </c>
      <c r="AC39" s="243" t="s">
        <v>6</v>
      </c>
      <c r="AD39" s="243" t="s">
        <v>6</v>
      </c>
      <c r="AE39" s="243" t="s">
        <v>6</v>
      </c>
      <c r="AF39" s="243" t="s">
        <v>6</v>
      </c>
      <c r="AG39" s="243" t="s">
        <v>6</v>
      </c>
      <c r="AH39" s="243" t="s">
        <v>6</v>
      </c>
      <c r="AI39" s="243" t="s">
        <v>6</v>
      </c>
      <c r="AJ39" s="243" t="s">
        <v>6</v>
      </c>
      <c r="AK39" s="243" t="s">
        <v>6</v>
      </c>
      <c r="AL39" s="243" t="s">
        <v>6</v>
      </c>
      <c r="AM39" s="243" t="s">
        <v>6</v>
      </c>
      <c r="AN39" s="243" t="s">
        <v>6</v>
      </c>
      <c r="AO39" s="243" t="s">
        <v>6</v>
      </c>
      <c r="AP39" s="243" t="s">
        <v>6</v>
      </c>
      <c r="AQ39" s="243" t="s">
        <v>6</v>
      </c>
      <c r="AR39" s="243" t="s">
        <v>6</v>
      </c>
      <c r="AS39" s="243" t="s">
        <v>6</v>
      </c>
      <c r="AT39" s="243" t="s">
        <v>6</v>
      </c>
      <c r="AU39" s="243" t="s">
        <v>6</v>
      </c>
      <c r="AV39" s="243" t="s">
        <v>6</v>
      </c>
      <c r="AW39" s="243" t="s">
        <v>6</v>
      </c>
      <c r="AX39" s="243" t="s">
        <v>6</v>
      </c>
      <c r="AY39" s="243" t="s">
        <v>6</v>
      </c>
      <c r="AZ39" s="243" t="s">
        <v>6</v>
      </c>
      <c r="BA39" s="243" t="s">
        <v>6</v>
      </c>
      <c r="BB39" s="243" t="s">
        <v>6</v>
      </c>
      <c r="BC39" s="243" t="s">
        <v>6</v>
      </c>
      <c r="BD39" s="243" t="s">
        <v>6</v>
      </c>
      <c r="BE39" s="243" t="s">
        <v>6</v>
      </c>
      <c r="BF39" s="243" t="s">
        <v>6</v>
      </c>
      <c r="BG39" s="243" t="s">
        <v>6</v>
      </c>
      <c r="BH39" s="243" t="s">
        <v>6</v>
      </c>
      <c r="BI39" s="243" t="s">
        <v>6</v>
      </c>
      <c r="BJ39" s="243" t="s">
        <v>6</v>
      </c>
      <c r="BK39" s="243" t="s">
        <v>6</v>
      </c>
      <c r="BL39" s="243" t="s">
        <v>6</v>
      </c>
      <c r="BM39" s="243" t="s">
        <v>6</v>
      </c>
      <c r="BN39" s="243" t="s">
        <v>6</v>
      </c>
      <c r="BO39" s="243" t="s">
        <v>6</v>
      </c>
      <c r="BP39" s="243" t="s">
        <v>6</v>
      </c>
      <c r="BQ39" s="243" t="s">
        <v>6</v>
      </c>
      <c r="BR39" s="243" t="s">
        <v>6</v>
      </c>
      <c r="BS39" s="243" t="s">
        <v>6</v>
      </c>
      <c r="BT39" s="243" t="s">
        <v>6</v>
      </c>
      <c r="BU39" s="243" t="s">
        <v>6</v>
      </c>
      <c r="BV39" s="243" t="s">
        <v>6</v>
      </c>
      <c r="BW39" s="243" t="s">
        <v>6</v>
      </c>
      <c r="BX39" s="243" t="s">
        <v>6</v>
      </c>
      <c r="BY39" s="243" t="s">
        <v>6</v>
      </c>
      <c r="BZ39" s="243" t="s">
        <v>6</v>
      </c>
      <c r="CA39" s="243" t="s">
        <v>6</v>
      </c>
      <c r="CB39" s="243" t="s">
        <v>6</v>
      </c>
      <c r="CC39" s="243" t="s">
        <v>6</v>
      </c>
      <c r="CD39" s="243" t="s">
        <v>6</v>
      </c>
      <c r="CE39" s="243" t="s">
        <v>6</v>
      </c>
      <c r="CF39" s="243" t="s">
        <v>6</v>
      </c>
      <c r="CG39" s="243" t="s">
        <v>6</v>
      </c>
      <c r="CH39" s="243" t="s">
        <v>6</v>
      </c>
      <c r="CI39" s="243" t="s">
        <v>6</v>
      </c>
      <c r="CJ39" s="243" t="s">
        <v>6</v>
      </c>
      <c r="CK39" s="243" t="s">
        <v>6</v>
      </c>
      <c r="CL39" s="243" t="s">
        <v>6</v>
      </c>
      <c r="CM39" s="243" t="s">
        <v>6</v>
      </c>
      <c r="CN39" s="243" t="s">
        <v>6</v>
      </c>
      <c r="CO39" s="243" t="s">
        <v>6</v>
      </c>
      <c r="CP39" s="243" t="s">
        <v>6</v>
      </c>
      <c r="CQ39" s="243" t="s">
        <v>6</v>
      </c>
      <c r="CR39" s="243" t="s">
        <v>6</v>
      </c>
      <c r="CS39" s="243" t="s">
        <v>6</v>
      </c>
      <c r="CT39" s="243" t="s">
        <v>6</v>
      </c>
      <c r="CU39" s="243" t="s">
        <v>6</v>
      </c>
      <c r="CV39" s="243" t="s">
        <v>6</v>
      </c>
      <c r="CW39" s="243" t="s">
        <v>6</v>
      </c>
      <c r="CX39" s="243" t="s">
        <v>6</v>
      </c>
      <c r="CY39" s="243" t="s">
        <v>6</v>
      </c>
      <c r="CZ39" s="243" t="s">
        <v>6</v>
      </c>
      <c r="DA39" s="243" t="s">
        <v>6</v>
      </c>
      <c r="DB39" s="243" t="s">
        <v>6</v>
      </c>
      <c r="DC39" s="243" t="s">
        <v>6</v>
      </c>
      <c r="DD39" s="243" t="s">
        <v>6</v>
      </c>
      <c r="DE39" s="243" t="s">
        <v>6</v>
      </c>
      <c r="DF39" s="243" t="s">
        <v>6</v>
      </c>
      <c r="DG39" s="243" t="s">
        <v>6</v>
      </c>
      <c r="DH39" s="243" t="s">
        <v>6</v>
      </c>
      <c r="DI39" s="243" t="s">
        <v>6</v>
      </c>
      <c r="DJ39" s="243" t="s">
        <v>6</v>
      </c>
      <c r="DK39" s="243" t="s">
        <v>6</v>
      </c>
      <c r="DL39" s="243" t="s">
        <v>6</v>
      </c>
      <c r="DM39" s="243" t="s">
        <v>6</v>
      </c>
      <c r="DN39" s="243" t="s">
        <v>6</v>
      </c>
      <c r="DO39" s="243" t="s">
        <v>6</v>
      </c>
      <c r="DP39" s="243" t="s">
        <v>6</v>
      </c>
      <c r="DQ39" s="243" t="s">
        <v>6</v>
      </c>
      <c r="DR39" s="243" t="s">
        <v>6</v>
      </c>
      <c r="DS39" s="243" t="s">
        <v>6</v>
      </c>
      <c r="DT39" s="243" t="s">
        <v>6</v>
      </c>
      <c r="DU39" s="243" t="s">
        <v>6</v>
      </c>
      <c r="DV39" s="243" t="s">
        <v>6</v>
      </c>
      <c r="DW39" s="243" t="s">
        <v>6</v>
      </c>
      <c r="DX39" s="243" t="s">
        <v>6</v>
      </c>
      <c r="DY39" s="243" t="s">
        <v>6</v>
      </c>
      <c r="DZ39" s="243" t="s">
        <v>6</v>
      </c>
      <c r="EA39" s="243" t="s">
        <v>6</v>
      </c>
      <c r="EB39" s="243" t="s">
        <v>6</v>
      </c>
      <c r="EC39" s="243" t="s">
        <v>6</v>
      </c>
      <c r="ED39" s="243" t="s">
        <v>6</v>
      </c>
      <c r="EE39" s="243" t="s">
        <v>6</v>
      </c>
      <c r="EF39" s="243" t="s">
        <v>6</v>
      </c>
      <c r="EG39" s="243" t="s">
        <v>6</v>
      </c>
      <c r="EH39" s="243" t="s">
        <v>6</v>
      </c>
      <c r="EI39" s="243" t="s">
        <v>6</v>
      </c>
      <c r="EJ39" s="243" t="s">
        <v>6</v>
      </c>
      <c r="EK39" s="243" t="s">
        <v>6</v>
      </c>
      <c r="EL39" s="243" t="s">
        <v>6</v>
      </c>
      <c r="EM39" s="243" t="s">
        <v>6</v>
      </c>
      <c r="EN39" s="243" t="s">
        <v>6</v>
      </c>
      <c r="EO39" s="243" t="s">
        <v>6</v>
      </c>
      <c r="EP39" s="243" t="s">
        <v>6</v>
      </c>
      <c r="EQ39" s="243" t="s">
        <v>6</v>
      </c>
      <c r="ER39" s="243" t="s">
        <v>6</v>
      </c>
      <c r="ES39" s="243" t="s">
        <v>6</v>
      </c>
      <c r="ET39" s="243" t="s">
        <v>6</v>
      </c>
      <c r="EU39" s="243" t="s">
        <v>6</v>
      </c>
      <c r="EV39" s="243" t="s">
        <v>6</v>
      </c>
      <c r="EW39" s="243" t="s">
        <v>6</v>
      </c>
    </row>
    <row r="40" spans="1:153" ht="13.5">
      <c r="A40" s="277" t="s">
        <v>6</v>
      </c>
      <c r="B40" s="247" t="s">
        <v>6</v>
      </c>
      <c r="C40" s="247" t="s">
        <v>6</v>
      </c>
      <c r="D40" s="247" t="s">
        <v>6</v>
      </c>
      <c r="E40" s="247" t="s">
        <v>6</v>
      </c>
      <c r="F40" s="247" t="s">
        <v>6</v>
      </c>
      <c r="G40" s="247" t="s">
        <v>6</v>
      </c>
      <c r="H40" s="247" t="s">
        <v>6</v>
      </c>
      <c r="I40" s="247" t="s">
        <v>6</v>
      </c>
      <c r="J40" s="247" t="s">
        <v>6</v>
      </c>
      <c r="K40" s="243" t="s">
        <v>6</v>
      </c>
      <c r="L40" s="243" t="s">
        <v>6</v>
      </c>
      <c r="M40" s="243" t="s">
        <v>6</v>
      </c>
      <c r="N40" s="241" t="s">
        <v>6</v>
      </c>
      <c r="O40" s="243" t="s">
        <v>6</v>
      </c>
      <c r="P40" s="243" t="s">
        <v>6</v>
      </c>
      <c r="Q40" s="243" t="s">
        <v>6</v>
      </c>
      <c r="R40" s="243" t="s">
        <v>6</v>
      </c>
      <c r="S40" s="243" t="s">
        <v>6</v>
      </c>
      <c r="T40" s="243" t="s">
        <v>6</v>
      </c>
      <c r="U40" s="243" t="s">
        <v>6</v>
      </c>
      <c r="V40" s="243" t="s">
        <v>6</v>
      </c>
      <c r="W40" s="243" t="s">
        <v>6</v>
      </c>
      <c r="X40" s="243" t="s">
        <v>6</v>
      </c>
      <c r="Y40" s="243" t="s">
        <v>6</v>
      </c>
      <c r="Z40" s="243" t="s">
        <v>6</v>
      </c>
      <c r="AA40" s="243" t="s">
        <v>6</v>
      </c>
      <c r="AB40" s="243" t="s">
        <v>6</v>
      </c>
      <c r="AC40" s="243" t="s">
        <v>6</v>
      </c>
      <c r="AD40" s="243" t="s">
        <v>6</v>
      </c>
      <c r="AE40" s="243" t="s">
        <v>6</v>
      </c>
      <c r="AF40" s="243" t="s">
        <v>6</v>
      </c>
      <c r="AG40" s="243" t="s">
        <v>6</v>
      </c>
      <c r="AH40" s="243" t="s">
        <v>6</v>
      </c>
      <c r="AI40" s="243" t="s">
        <v>6</v>
      </c>
      <c r="AJ40" s="243" t="s">
        <v>6</v>
      </c>
      <c r="AK40" s="243" t="s">
        <v>6</v>
      </c>
      <c r="AL40" s="243" t="s">
        <v>6</v>
      </c>
      <c r="AM40" s="243" t="s">
        <v>6</v>
      </c>
      <c r="AN40" s="243" t="s">
        <v>6</v>
      </c>
      <c r="AO40" s="243" t="s">
        <v>6</v>
      </c>
      <c r="AP40" s="243" t="s">
        <v>6</v>
      </c>
      <c r="AQ40" s="243" t="s">
        <v>6</v>
      </c>
      <c r="AR40" s="243" t="s">
        <v>6</v>
      </c>
      <c r="AS40" s="243" t="s">
        <v>6</v>
      </c>
      <c r="AT40" s="243" t="s">
        <v>6</v>
      </c>
      <c r="AU40" s="243" t="s">
        <v>6</v>
      </c>
      <c r="AV40" s="243" t="s">
        <v>6</v>
      </c>
      <c r="AW40" s="243" t="s">
        <v>6</v>
      </c>
      <c r="AX40" s="243" t="s">
        <v>6</v>
      </c>
      <c r="AY40" s="243" t="s">
        <v>6</v>
      </c>
      <c r="AZ40" s="243" t="s">
        <v>6</v>
      </c>
      <c r="BA40" s="243" t="s">
        <v>6</v>
      </c>
      <c r="BB40" s="243" t="s">
        <v>6</v>
      </c>
      <c r="BC40" s="243" t="s">
        <v>6</v>
      </c>
      <c r="BD40" s="243" t="s">
        <v>6</v>
      </c>
      <c r="BE40" s="243" t="s">
        <v>6</v>
      </c>
      <c r="BF40" s="243" t="s">
        <v>6</v>
      </c>
      <c r="BG40" s="243" t="s">
        <v>6</v>
      </c>
      <c r="BH40" s="243" t="s">
        <v>6</v>
      </c>
      <c r="BI40" s="243" t="s">
        <v>6</v>
      </c>
      <c r="BJ40" s="243" t="s">
        <v>6</v>
      </c>
      <c r="BK40" s="243" t="s">
        <v>6</v>
      </c>
      <c r="BL40" s="243" t="s">
        <v>6</v>
      </c>
      <c r="BM40" s="243" t="s">
        <v>6</v>
      </c>
      <c r="BN40" s="243" t="s">
        <v>6</v>
      </c>
      <c r="BO40" s="243" t="s">
        <v>6</v>
      </c>
      <c r="BP40" s="243" t="s">
        <v>6</v>
      </c>
      <c r="BQ40" s="243" t="s">
        <v>6</v>
      </c>
      <c r="BR40" s="243" t="s">
        <v>6</v>
      </c>
      <c r="BS40" s="243" t="s">
        <v>6</v>
      </c>
      <c r="BT40" s="243" t="s">
        <v>6</v>
      </c>
      <c r="BU40" s="243" t="s">
        <v>6</v>
      </c>
      <c r="BV40" s="243" t="s">
        <v>6</v>
      </c>
      <c r="BW40" s="243" t="s">
        <v>6</v>
      </c>
      <c r="BX40" s="243" t="s">
        <v>6</v>
      </c>
      <c r="BY40" s="243" t="s">
        <v>6</v>
      </c>
      <c r="BZ40" s="243" t="s">
        <v>6</v>
      </c>
      <c r="CA40" s="243" t="s">
        <v>6</v>
      </c>
      <c r="CB40" s="243" t="s">
        <v>6</v>
      </c>
      <c r="CC40" s="243" t="s">
        <v>6</v>
      </c>
      <c r="CD40" s="243" t="s">
        <v>6</v>
      </c>
      <c r="CE40" s="243" t="s">
        <v>6</v>
      </c>
      <c r="CF40" s="243" t="s">
        <v>6</v>
      </c>
      <c r="CG40" s="243" t="s">
        <v>6</v>
      </c>
      <c r="CH40" s="243" t="s">
        <v>6</v>
      </c>
      <c r="CI40" s="243" t="s">
        <v>6</v>
      </c>
      <c r="CJ40" s="243" t="s">
        <v>6</v>
      </c>
      <c r="CK40" s="243" t="s">
        <v>6</v>
      </c>
      <c r="CL40" s="243" t="s">
        <v>6</v>
      </c>
      <c r="CM40" s="243" t="s">
        <v>6</v>
      </c>
      <c r="CN40" s="243" t="s">
        <v>6</v>
      </c>
      <c r="CO40" s="243" t="s">
        <v>6</v>
      </c>
      <c r="CP40" s="243" t="s">
        <v>6</v>
      </c>
      <c r="CQ40" s="243" t="s">
        <v>6</v>
      </c>
      <c r="CR40" s="243" t="s">
        <v>6</v>
      </c>
      <c r="CS40" s="243" t="s">
        <v>6</v>
      </c>
      <c r="CT40" s="243" t="s">
        <v>6</v>
      </c>
      <c r="CU40" s="243" t="s">
        <v>6</v>
      </c>
      <c r="CV40" s="243" t="s">
        <v>6</v>
      </c>
      <c r="CW40" s="243" t="s">
        <v>6</v>
      </c>
      <c r="CX40" s="243" t="s">
        <v>6</v>
      </c>
      <c r="CY40" s="243" t="s">
        <v>6</v>
      </c>
      <c r="CZ40" s="243" t="s">
        <v>6</v>
      </c>
      <c r="DA40" s="243" t="s">
        <v>6</v>
      </c>
      <c r="DB40" s="243" t="s">
        <v>6</v>
      </c>
      <c r="DC40" s="243" t="s">
        <v>6</v>
      </c>
      <c r="DD40" s="243" t="s">
        <v>6</v>
      </c>
      <c r="DE40" s="243" t="s">
        <v>6</v>
      </c>
      <c r="DF40" s="243" t="s">
        <v>6</v>
      </c>
      <c r="DG40" s="243" t="s">
        <v>6</v>
      </c>
      <c r="DH40" s="243" t="s">
        <v>6</v>
      </c>
      <c r="DI40" s="243" t="s">
        <v>6</v>
      </c>
      <c r="DJ40" s="243" t="s">
        <v>6</v>
      </c>
      <c r="DK40" s="243" t="s">
        <v>6</v>
      </c>
      <c r="DL40" s="243" t="s">
        <v>6</v>
      </c>
      <c r="DM40" s="243" t="s">
        <v>6</v>
      </c>
      <c r="DN40" s="243" t="s">
        <v>6</v>
      </c>
      <c r="DO40" s="243" t="s">
        <v>6</v>
      </c>
      <c r="DP40" s="243" t="s">
        <v>6</v>
      </c>
      <c r="DQ40" s="243" t="s">
        <v>6</v>
      </c>
      <c r="DR40" s="243" t="s">
        <v>6</v>
      </c>
      <c r="DS40" s="243" t="s">
        <v>6</v>
      </c>
      <c r="DT40" s="243" t="s">
        <v>6</v>
      </c>
      <c r="DU40" s="243" t="s">
        <v>6</v>
      </c>
      <c r="DV40" s="243" t="s">
        <v>6</v>
      </c>
      <c r="DW40" s="243" t="s">
        <v>6</v>
      </c>
      <c r="DX40" s="243" t="s">
        <v>6</v>
      </c>
      <c r="DY40" s="243" t="s">
        <v>6</v>
      </c>
      <c r="DZ40" s="243" t="s">
        <v>6</v>
      </c>
      <c r="EA40" s="243" t="s">
        <v>6</v>
      </c>
      <c r="EB40" s="243" t="s">
        <v>6</v>
      </c>
      <c r="EC40" s="243" t="s">
        <v>6</v>
      </c>
      <c r="ED40" s="243" t="s">
        <v>6</v>
      </c>
      <c r="EE40" s="243" t="s">
        <v>6</v>
      </c>
      <c r="EF40" s="243" t="s">
        <v>6</v>
      </c>
      <c r="EG40" s="243" t="s">
        <v>6</v>
      </c>
      <c r="EH40" s="243" t="s">
        <v>6</v>
      </c>
      <c r="EI40" s="243" t="s">
        <v>6</v>
      </c>
      <c r="EJ40" s="243" t="s">
        <v>6</v>
      </c>
      <c r="EK40" s="243" t="s">
        <v>6</v>
      </c>
      <c r="EL40" s="243" t="s">
        <v>6</v>
      </c>
      <c r="EM40" s="243" t="s">
        <v>6</v>
      </c>
      <c r="EN40" s="243" t="s">
        <v>6</v>
      </c>
      <c r="EO40" s="243" t="s">
        <v>6</v>
      </c>
      <c r="EP40" s="243" t="s">
        <v>6</v>
      </c>
      <c r="EQ40" s="243" t="s">
        <v>6</v>
      </c>
      <c r="ER40" s="243" t="s">
        <v>6</v>
      </c>
      <c r="ES40" s="243" t="s">
        <v>6</v>
      </c>
      <c r="ET40" s="243" t="s">
        <v>6</v>
      </c>
      <c r="EU40" s="243" t="s">
        <v>6</v>
      </c>
      <c r="EV40" s="243" t="s">
        <v>6</v>
      </c>
      <c r="EW40" s="243" t="s">
        <v>6</v>
      </c>
    </row>
    <row r="41" spans="1:153" ht="13.5">
      <c r="A41" s="277" t="s">
        <v>6</v>
      </c>
      <c r="B41" s="247" t="s">
        <v>6</v>
      </c>
      <c r="C41" s="247" t="s">
        <v>6</v>
      </c>
      <c r="D41" s="247" t="s">
        <v>6</v>
      </c>
      <c r="E41" s="247" t="s">
        <v>6</v>
      </c>
      <c r="F41" s="247" t="s">
        <v>6</v>
      </c>
      <c r="G41" s="247" t="s">
        <v>6</v>
      </c>
      <c r="H41" s="247" t="s">
        <v>6</v>
      </c>
      <c r="I41" s="247" t="s">
        <v>6</v>
      </c>
      <c r="J41" s="247" t="s">
        <v>6</v>
      </c>
      <c r="K41" s="243" t="s">
        <v>6</v>
      </c>
      <c r="L41" s="243" t="s">
        <v>6</v>
      </c>
      <c r="M41" s="243" t="s">
        <v>6</v>
      </c>
      <c r="N41" s="241" t="s">
        <v>6</v>
      </c>
      <c r="O41" s="243" t="s">
        <v>6</v>
      </c>
      <c r="P41" s="243" t="s">
        <v>6</v>
      </c>
      <c r="Q41" s="243" t="s">
        <v>6</v>
      </c>
      <c r="R41" s="243" t="s">
        <v>6</v>
      </c>
      <c r="S41" s="243" t="s">
        <v>6</v>
      </c>
      <c r="T41" s="243" t="s">
        <v>6</v>
      </c>
      <c r="U41" s="243" t="s">
        <v>6</v>
      </c>
      <c r="V41" s="243" t="s">
        <v>6</v>
      </c>
      <c r="W41" s="243" t="s">
        <v>6</v>
      </c>
      <c r="X41" s="243" t="s">
        <v>6</v>
      </c>
      <c r="Y41" s="243" t="s">
        <v>6</v>
      </c>
      <c r="Z41" s="243" t="s">
        <v>6</v>
      </c>
      <c r="AA41" s="243" t="s">
        <v>6</v>
      </c>
      <c r="AB41" s="243" t="s">
        <v>6</v>
      </c>
      <c r="AC41" s="243" t="s">
        <v>6</v>
      </c>
      <c r="AD41" s="243" t="s">
        <v>6</v>
      </c>
      <c r="AE41" s="243" t="s">
        <v>6</v>
      </c>
      <c r="AF41" s="243" t="s">
        <v>6</v>
      </c>
      <c r="AG41" s="243" t="s">
        <v>6</v>
      </c>
      <c r="AH41" s="243" t="s">
        <v>6</v>
      </c>
      <c r="AI41" s="243" t="s">
        <v>6</v>
      </c>
      <c r="AJ41" s="243" t="s">
        <v>6</v>
      </c>
      <c r="AK41" s="243" t="s">
        <v>6</v>
      </c>
      <c r="AL41" s="243" t="s">
        <v>6</v>
      </c>
      <c r="AM41" s="243" t="s">
        <v>6</v>
      </c>
      <c r="AN41" s="243" t="s">
        <v>6</v>
      </c>
      <c r="AO41" s="243" t="s">
        <v>6</v>
      </c>
      <c r="AP41" s="243" t="s">
        <v>6</v>
      </c>
      <c r="AQ41" s="243" t="s">
        <v>6</v>
      </c>
      <c r="AR41" s="243" t="s">
        <v>6</v>
      </c>
      <c r="AS41" s="243" t="s">
        <v>6</v>
      </c>
      <c r="AT41" s="243" t="s">
        <v>6</v>
      </c>
      <c r="AU41" s="243" t="s">
        <v>6</v>
      </c>
      <c r="AV41" s="243" t="s">
        <v>6</v>
      </c>
      <c r="AW41" s="243" t="s">
        <v>6</v>
      </c>
      <c r="AX41" s="243" t="s">
        <v>6</v>
      </c>
      <c r="AY41" s="243" t="s">
        <v>6</v>
      </c>
      <c r="AZ41" s="243" t="s">
        <v>6</v>
      </c>
      <c r="BA41" s="243" t="s">
        <v>6</v>
      </c>
      <c r="BB41" s="243" t="s">
        <v>6</v>
      </c>
      <c r="BC41" s="243" t="s">
        <v>6</v>
      </c>
      <c r="BD41" s="243" t="s">
        <v>6</v>
      </c>
      <c r="BE41" s="243" t="s">
        <v>6</v>
      </c>
      <c r="BF41" s="243" t="s">
        <v>6</v>
      </c>
      <c r="BG41" s="243" t="s">
        <v>6</v>
      </c>
      <c r="BH41" s="243" t="s">
        <v>6</v>
      </c>
      <c r="BI41" s="243" t="s">
        <v>6</v>
      </c>
      <c r="BJ41" s="243" t="s">
        <v>6</v>
      </c>
      <c r="BK41" s="243" t="s">
        <v>6</v>
      </c>
      <c r="BL41" s="243" t="s">
        <v>6</v>
      </c>
      <c r="BM41" s="243" t="s">
        <v>6</v>
      </c>
      <c r="BN41" s="243" t="s">
        <v>6</v>
      </c>
      <c r="BO41" s="243" t="s">
        <v>6</v>
      </c>
      <c r="BP41" s="243" t="s">
        <v>6</v>
      </c>
      <c r="BQ41" s="243" t="s">
        <v>6</v>
      </c>
      <c r="BR41" s="243" t="s">
        <v>6</v>
      </c>
      <c r="BS41" s="243" t="s">
        <v>6</v>
      </c>
      <c r="BT41" s="243" t="s">
        <v>6</v>
      </c>
      <c r="BU41" s="243" t="s">
        <v>6</v>
      </c>
      <c r="BV41" s="243" t="s">
        <v>6</v>
      </c>
      <c r="BW41" s="243" t="s">
        <v>6</v>
      </c>
      <c r="BX41" s="243" t="s">
        <v>6</v>
      </c>
      <c r="BY41" s="243" t="s">
        <v>6</v>
      </c>
      <c r="BZ41" s="243" t="s">
        <v>6</v>
      </c>
      <c r="CA41" s="243" t="s">
        <v>6</v>
      </c>
      <c r="CB41" s="243" t="s">
        <v>6</v>
      </c>
      <c r="CC41" s="243" t="s">
        <v>6</v>
      </c>
      <c r="CD41" s="243" t="s">
        <v>6</v>
      </c>
      <c r="CE41" s="243" t="s">
        <v>6</v>
      </c>
      <c r="CF41" s="243" t="s">
        <v>6</v>
      </c>
      <c r="CG41" s="243" t="s">
        <v>6</v>
      </c>
      <c r="CH41" s="243" t="s">
        <v>6</v>
      </c>
      <c r="CI41" s="243" t="s">
        <v>6</v>
      </c>
      <c r="CJ41" s="243" t="s">
        <v>6</v>
      </c>
      <c r="CK41" s="243" t="s">
        <v>6</v>
      </c>
      <c r="CL41" s="243" t="s">
        <v>6</v>
      </c>
      <c r="CM41" s="243" t="s">
        <v>6</v>
      </c>
      <c r="CN41" s="243" t="s">
        <v>6</v>
      </c>
      <c r="CO41" s="243" t="s">
        <v>6</v>
      </c>
      <c r="CP41" s="243" t="s">
        <v>6</v>
      </c>
      <c r="CQ41" s="243" t="s">
        <v>6</v>
      </c>
      <c r="CR41" s="243" t="s">
        <v>6</v>
      </c>
      <c r="CS41" s="243" t="s">
        <v>6</v>
      </c>
      <c r="CT41" s="243" t="s">
        <v>6</v>
      </c>
      <c r="CU41" s="243" t="s">
        <v>6</v>
      </c>
      <c r="CV41" s="243" t="s">
        <v>6</v>
      </c>
      <c r="CW41" s="243" t="s">
        <v>6</v>
      </c>
      <c r="CX41" s="243" t="s">
        <v>6</v>
      </c>
      <c r="CY41" s="243" t="s">
        <v>6</v>
      </c>
      <c r="CZ41" s="243" t="s">
        <v>6</v>
      </c>
      <c r="DA41" s="243" t="s">
        <v>6</v>
      </c>
      <c r="DB41" s="243" t="s">
        <v>6</v>
      </c>
      <c r="DC41" s="243" t="s">
        <v>6</v>
      </c>
      <c r="DD41" s="243" t="s">
        <v>6</v>
      </c>
      <c r="DE41" s="243" t="s">
        <v>6</v>
      </c>
      <c r="DF41" s="243" t="s">
        <v>6</v>
      </c>
      <c r="DG41" s="243" t="s">
        <v>6</v>
      </c>
      <c r="DH41" s="243" t="s">
        <v>6</v>
      </c>
      <c r="DI41" s="243" t="s">
        <v>6</v>
      </c>
      <c r="DJ41" s="243" t="s">
        <v>6</v>
      </c>
      <c r="DK41" s="243" t="s">
        <v>6</v>
      </c>
      <c r="DL41" s="243" t="s">
        <v>6</v>
      </c>
      <c r="DM41" s="243" t="s">
        <v>6</v>
      </c>
      <c r="DN41" s="243" t="s">
        <v>6</v>
      </c>
      <c r="DO41" s="243" t="s">
        <v>6</v>
      </c>
      <c r="DP41" s="243" t="s">
        <v>6</v>
      </c>
      <c r="DQ41" s="243" t="s">
        <v>6</v>
      </c>
      <c r="DR41" s="243" t="s">
        <v>6</v>
      </c>
      <c r="DS41" s="243" t="s">
        <v>6</v>
      </c>
      <c r="DT41" s="243" t="s">
        <v>6</v>
      </c>
      <c r="DU41" s="243" t="s">
        <v>6</v>
      </c>
      <c r="DV41" s="243" t="s">
        <v>6</v>
      </c>
      <c r="DW41" s="243" t="s">
        <v>6</v>
      </c>
      <c r="DX41" s="243" t="s">
        <v>6</v>
      </c>
      <c r="DY41" s="243" t="s">
        <v>6</v>
      </c>
      <c r="DZ41" s="243" t="s">
        <v>6</v>
      </c>
      <c r="EA41" s="243" t="s">
        <v>6</v>
      </c>
      <c r="EB41" s="243" t="s">
        <v>6</v>
      </c>
      <c r="EC41" s="243" t="s">
        <v>6</v>
      </c>
      <c r="ED41" s="243" t="s">
        <v>6</v>
      </c>
      <c r="EE41" s="243" t="s">
        <v>6</v>
      </c>
      <c r="EF41" s="243" t="s">
        <v>6</v>
      </c>
      <c r="EG41" s="243" t="s">
        <v>6</v>
      </c>
      <c r="EH41" s="243" t="s">
        <v>6</v>
      </c>
      <c r="EI41" s="243" t="s">
        <v>6</v>
      </c>
      <c r="EJ41" s="243" t="s">
        <v>6</v>
      </c>
      <c r="EK41" s="243" t="s">
        <v>6</v>
      </c>
      <c r="EL41" s="243" t="s">
        <v>6</v>
      </c>
      <c r="EM41" s="243" t="s">
        <v>6</v>
      </c>
      <c r="EN41" s="243" t="s">
        <v>6</v>
      </c>
      <c r="EO41" s="243" t="s">
        <v>6</v>
      </c>
      <c r="EP41" s="243" t="s">
        <v>6</v>
      </c>
      <c r="EQ41" s="243" t="s">
        <v>6</v>
      </c>
      <c r="ER41" s="243" t="s">
        <v>6</v>
      </c>
      <c r="ES41" s="243" t="s">
        <v>6</v>
      </c>
      <c r="ET41" s="243" t="s">
        <v>6</v>
      </c>
      <c r="EU41" s="243" t="s">
        <v>6</v>
      </c>
      <c r="EV41" s="243" t="s">
        <v>6</v>
      </c>
      <c r="EW41" s="243" t="s">
        <v>6</v>
      </c>
    </row>
    <row r="42" spans="1:153" ht="13.5">
      <c r="A42" s="277" t="s">
        <v>6</v>
      </c>
      <c r="B42" s="247" t="s">
        <v>6</v>
      </c>
      <c r="C42" s="247" t="s">
        <v>6</v>
      </c>
      <c r="D42" s="247" t="s">
        <v>6</v>
      </c>
      <c r="E42" s="247" t="s">
        <v>6</v>
      </c>
      <c r="F42" s="247" t="s">
        <v>6</v>
      </c>
      <c r="G42" s="247" t="s">
        <v>6</v>
      </c>
      <c r="H42" s="247" t="s">
        <v>6</v>
      </c>
      <c r="I42" s="247" t="s">
        <v>6</v>
      </c>
      <c r="J42" s="247" t="s">
        <v>6</v>
      </c>
      <c r="K42" s="243" t="s">
        <v>6</v>
      </c>
      <c r="L42" s="243" t="s">
        <v>6</v>
      </c>
      <c r="M42" s="243" t="s">
        <v>6</v>
      </c>
      <c r="N42" s="241" t="s">
        <v>6</v>
      </c>
      <c r="O42" s="243" t="s">
        <v>6</v>
      </c>
      <c r="P42" s="243" t="s">
        <v>6</v>
      </c>
      <c r="Q42" s="243" t="s">
        <v>6</v>
      </c>
      <c r="R42" s="243" t="s">
        <v>6</v>
      </c>
      <c r="S42" s="243" t="s">
        <v>6</v>
      </c>
      <c r="T42" s="243" t="s">
        <v>6</v>
      </c>
      <c r="U42" s="243" t="s">
        <v>6</v>
      </c>
      <c r="V42" s="243" t="s">
        <v>6</v>
      </c>
      <c r="W42" s="243" t="s">
        <v>6</v>
      </c>
      <c r="X42" s="243" t="s">
        <v>6</v>
      </c>
      <c r="Y42" s="243" t="s">
        <v>6</v>
      </c>
      <c r="Z42" s="243" t="s">
        <v>6</v>
      </c>
      <c r="AA42" s="243" t="s">
        <v>6</v>
      </c>
      <c r="AB42" s="243" t="s">
        <v>6</v>
      </c>
      <c r="AC42" s="243" t="s">
        <v>6</v>
      </c>
      <c r="AD42" s="243" t="s">
        <v>6</v>
      </c>
      <c r="AE42" s="243" t="s">
        <v>6</v>
      </c>
      <c r="AF42" s="243" t="s">
        <v>6</v>
      </c>
      <c r="AG42" s="243" t="s">
        <v>6</v>
      </c>
      <c r="AH42" s="243" t="s">
        <v>6</v>
      </c>
      <c r="AI42" s="243" t="s">
        <v>6</v>
      </c>
      <c r="AJ42" s="243" t="s">
        <v>6</v>
      </c>
      <c r="AK42" s="243" t="s">
        <v>6</v>
      </c>
      <c r="AL42" s="243" t="s">
        <v>6</v>
      </c>
      <c r="AM42" s="243" t="s">
        <v>6</v>
      </c>
      <c r="AN42" s="243" t="s">
        <v>6</v>
      </c>
      <c r="AO42" s="243" t="s">
        <v>6</v>
      </c>
      <c r="AP42" s="243" t="s">
        <v>6</v>
      </c>
      <c r="AQ42" s="243" t="s">
        <v>6</v>
      </c>
      <c r="AR42" s="243" t="s">
        <v>6</v>
      </c>
      <c r="AS42" s="243" t="s">
        <v>6</v>
      </c>
      <c r="AT42" s="243" t="s">
        <v>6</v>
      </c>
      <c r="AU42" s="243" t="s">
        <v>6</v>
      </c>
      <c r="AV42" s="243" t="s">
        <v>6</v>
      </c>
      <c r="AW42" s="243" t="s">
        <v>6</v>
      </c>
      <c r="AX42" s="243" t="s">
        <v>6</v>
      </c>
      <c r="AY42" s="243" t="s">
        <v>6</v>
      </c>
      <c r="AZ42" s="243" t="s">
        <v>6</v>
      </c>
      <c r="BA42" s="243" t="s">
        <v>6</v>
      </c>
      <c r="BB42" s="243" t="s">
        <v>6</v>
      </c>
      <c r="BC42" s="243" t="s">
        <v>6</v>
      </c>
      <c r="BD42" s="243" t="s">
        <v>6</v>
      </c>
      <c r="BE42" s="243" t="s">
        <v>6</v>
      </c>
      <c r="BF42" s="243" t="s">
        <v>6</v>
      </c>
      <c r="BG42" s="243" t="s">
        <v>6</v>
      </c>
      <c r="BH42" s="243" t="s">
        <v>6</v>
      </c>
      <c r="BI42" s="243" t="s">
        <v>6</v>
      </c>
      <c r="BJ42" s="243" t="s">
        <v>6</v>
      </c>
      <c r="BK42" s="243" t="s">
        <v>6</v>
      </c>
      <c r="BL42" s="243" t="s">
        <v>6</v>
      </c>
      <c r="BM42" s="243" t="s">
        <v>6</v>
      </c>
      <c r="BN42" s="243" t="s">
        <v>6</v>
      </c>
      <c r="BO42" s="243" t="s">
        <v>6</v>
      </c>
      <c r="BP42" s="243" t="s">
        <v>6</v>
      </c>
      <c r="BQ42" s="243" t="s">
        <v>6</v>
      </c>
      <c r="BR42" s="243" t="s">
        <v>6</v>
      </c>
      <c r="BS42" s="243" t="s">
        <v>6</v>
      </c>
      <c r="BT42" s="243" t="s">
        <v>6</v>
      </c>
      <c r="BU42" s="243" t="s">
        <v>6</v>
      </c>
      <c r="BV42" s="243" t="s">
        <v>6</v>
      </c>
      <c r="BW42" s="243" t="s">
        <v>6</v>
      </c>
      <c r="BX42" s="243" t="s">
        <v>6</v>
      </c>
      <c r="BY42" s="243" t="s">
        <v>6</v>
      </c>
      <c r="BZ42" s="243" t="s">
        <v>6</v>
      </c>
      <c r="CA42" s="243" t="s">
        <v>6</v>
      </c>
      <c r="CB42" s="243" t="s">
        <v>6</v>
      </c>
      <c r="CC42" s="243" t="s">
        <v>6</v>
      </c>
      <c r="CD42" s="243" t="s">
        <v>6</v>
      </c>
      <c r="CE42" s="243" t="s">
        <v>6</v>
      </c>
      <c r="CF42" s="243" t="s">
        <v>6</v>
      </c>
      <c r="CG42" s="243" t="s">
        <v>6</v>
      </c>
      <c r="CH42" s="243" t="s">
        <v>6</v>
      </c>
      <c r="CI42" s="243" t="s">
        <v>6</v>
      </c>
      <c r="CJ42" s="243" t="s">
        <v>6</v>
      </c>
      <c r="CK42" s="243" t="s">
        <v>6</v>
      </c>
      <c r="CL42" s="243" t="s">
        <v>6</v>
      </c>
      <c r="CM42" s="243" t="s">
        <v>6</v>
      </c>
      <c r="CN42" s="243" t="s">
        <v>6</v>
      </c>
      <c r="CO42" s="243" t="s">
        <v>6</v>
      </c>
      <c r="CP42" s="243" t="s">
        <v>6</v>
      </c>
      <c r="CQ42" s="243" t="s">
        <v>6</v>
      </c>
      <c r="CR42" s="243" t="s">
        <v>6</v>
      </c>
      <c r="CS42" s="243" t="s">
        <v>6</v>
      </c>
      <c r="CT42" s="243" t="s">
        <v>6</v>
      </c>
      <c r="CU42" s="243" t="s">
        <v>6</v>
      </c>
      <c r="CV42" s="243" t="s">
        <v>6</v>
      </c>
      <c r="CW42" s="243" t="s">
        <v>6</v>
      </c>
      <c r="CX42" s="243" t="s">
        <v>6</v>
      </c>
      <c r="CY42" s="243" t="s">
        <v>6</v>
      </c>
      <c r="CZ42" s="243" t="s">
        <v>6</v>
      </c>
      <c r="DA42" s="243" t="s">
        <v>6</v>
      </c>
      <c r="DB42" s="243" t="s">
        <v>6</v>
      </c>
      <c r="DC42" s="243" t="s">
        <v>6</v>
      </c>
      <c r="DD42" s="243" t="s">
        <v>6</v>
      </c>
      <c r="DE42" s="243" t="s">
        <v>6</v>
      </c>
      <c r="DF42" s="243" t="s">
        <v>6</v>
      </c>
      <c r="DG42" s="243" t="s">
        <v>6</v>
      </c>
      <c r="DH42" s="243" t="s">
        <v>6</v>
      </c>
      <c r="DI42" s="243" t="s">
        <v>6</v>
      </c>
      <c r="DJ42" s="243" t="s">
        <v>6</v>
      </c>
      <c r="DK42" s="243" t="s">
        <v>6</v>
      </c>
      <c r="DL42" s="243" t="s">
        <v>6</v>
      </c>
      <c r="DM42" s="243" t="s">
        <v>6</v>
      </c>
      <c r="DN42" s="243" t="s">
        <v>6</v>
      </c>
      <c r="DO42" s="243" t="s">
        <v>6</v>
      </c>
      <c r="DP42" s="243" t="s">
        <v>6</v>
      </c>
      <c r="DQ42" s="243" t="s">
        <v>6</v>
      </c>
      <c r="DR42" s="243" t="s">
        <v>6</v>
      </c>
      <c r="DS42" s="243" t="s">
        <v>6</v>
      </c>
      <c r="DT42" s="243" t="s">
        <v>6</v>
      </c>
      <c r="DU42" s="243" t="s">
        <v>6</v>
      </c>
      <c r="DV42" s="243" t="s">
        <v>6</v>
      </c>
      <c r="DW42" s="243" t="s">
        <v>6</v>
      </c>
      <c r="DX42" s="243" t="s">
        <v>6</v>
      </c>
      <c r="DY42" s="243" t="s">
        <v>6</v>
      </c>
      <c r="DZ42" s="243" t="s">
        <v>6</v>
      </c>
      <c r="EA42" s="243" t="s">
        <v>6</v>
      </c>
      <c r="EB42" s="243" t="s">
        <v>6</v>
      </c>
      <c r="EC42" s="243" t="s">
        <v>6</v>
      </c>
      <c r="ED42" s="243" t="s">
        <v>6</v>
      </c>
      <c r="EE42" s="243" t="s">
        <v>6</v>
      </c>
      <c r="EF42" s="243" t="s">
        <v>6</v>
      </c>
      <c r="EG42" s="243" t="s">
        <v>6</v>
      </c>
      <c r="EH42" s="243" t="s">
        <v>6</v>
      </c>
      <c r="EI42" s="243" t="s">
        <v>6</v>
      </c>
      <c r="EJ42" s="243" t="s">
        <v>6</v>
      </c>
      <c r="EK42" s="243" t="s">
        <v>6</v>
      </c>
      <c r="EL42" s="243" t="s">
        <v>6</v>
      </c>
      <c r="EM42" s="243" t="s">
        <v>6</v>
      </c>
      <c r="EN42" s="243" t="s">
        <v>6</v>
      </c>
      <c r="EO42" s="243" t="s">
        <v>6</v>
      </c>
      <c r="EP42" s="243" t="s">
        <v>6</v>
      </c>
      <c r="EQ42" s="243" t="s">
        <v>6</v>
      </c>
      <c r="ER42" s="243" t="s">
        <v>6</v>
      </c>
      <c r="ES42" s="243" t="s">
        <v>6</v>
      </c>
      <c r="ET42" s="243" t="s">
        <v>6</v>
      </c>
      <c r="EU42" s="243" t="s">
        <v>6</v>
      </c>
      <c r="EV42" s="243" t="s">
        <v>6</v>
      </c>
      <c r="EW42" s="243" t="s">
        <v>6</v>
      </c>
    </row>
    <row r="43" spans="1:153" ht="13.5">
      <c r="A43" s="277" t="s">
        <v>6</v>
      </c>
      <c r="B43" s="247" t="s">
        <v>6</v>
      </c>
      <c r="C43" s="247" t="s">
        <v>6</v>
      </c>
      <c r="D43" s="247" t="s">
        <v>6</v>
      </c>
      <c r="E43" s="247" t="s">
        <v>6</v>
      </c>
      <c r="F43" s="247" t="s">
        <v>6</v>
      </c>
      <c r="G43" s="247" t="s">
        <v>6</v>
      </c>
      <c r="H43" s="247" t="s">
        <v>6</v>
      </c>
      <c r="I43" s="247" t="s">
        <v>6</v>
      </c>
      <c r="J43" s="247" t="s">
        <v>6</v>
      </c>
      <c r="K43" s="243" t="s">
        <v>6</v>
      </c>
      <c r="L43" s="243" t="s">
        <v>6</v>
      </c>
      <c r="M43" s="243" t="s">
        <v>6</v>
      </c>
      <c r="N43" s="241" t="s">
        <v>6</v>
      </c>
      <c r="O43" s="243" t="s">
        <v>6</v>
      </c>
      <c r="P43" s="243" t="s">
        <v>6</v>
      </c>
      <c r="Q43" s="243" t="s">
        <v>6</v>
      </c>
      <c r="R43" s="243" t="s">
        <v>6</v>
      </c>
      <c r="S43" s="243" t="s">
        <v>6</v>
      </c>
      <c r="T43" s="243" t="s">
        <v>6</v>
      </c>
      <c r="U43" s="243" t="s">
        <v>6</v>
      </c>
      <c r="V43" s="243" t="s">
        <v>6</v>
      </c>
      <c r="W43" s="243" t="s">
        <v>6</v>
      </c>
      <c r="X43" s="243" t="s">
        <v>6</v>
      </c>
      <c r="Y43" s="243" t="s">
        <v>6</v>
      </c>
      <c r="Z43" s="243" t="s">
        <v>6</v>
      </c>
      <c r="AA43" s="243" t="s">
        <v>6</v>
      </c>
      <c r="AB43" s="243" t="s">
        <v>6</v>
      </c>
      <c r="AC43" s="243" t="s">
        <v>6</v>
      </c>
      <c r="AD43" s="243" t="s">
        <v>6</v>
      </c>
      <c r="AE43" s="243" t="s">
        <v>6</v>
      </c>
      <c r="AF43" s="243" t="s">
        <v>6</v>
      </c>
      <c r="AG43" s="243" t="s">
        <v>6</v>
      </c>
      <c r="AH43" s="243" t="s">
        <v>6</v>
      </c>
      <c r="AI43" s="243" t="s">
        <v>6</v>
      </c>
      <c r="AJ43" s="243" t="s">
        <v>6</v>
      </c>
      <c r="AK43" s="243" t="s">
        <v>6</v>
      </c>
      <c r="AL43" s="243" t="s">
        <v>6</v>
      </c>
      <c r="AM43" s="243" t="s">
        <v>6</v>
      </c>
      <c r="AN43" s="243" t="s">
        <v>6</v>
      </c>
      <c r="AO43" s="243" t="s">
        <v>6</v>
      </c>
      <c r="AP43" s="243" t="s">
        <v>6</v>
      </c>
      <c r="AQ43" s="243" t="s">
        <v>6</v>
      </c>
      <c r="AR43" s="243" t="s">
        <v>6</v>
      </c>
      <c r="AS43" s="243" t="s">
        <v>6</v>
      </c>
      <c r="AT43" s="243" t="s">
        <v>6</v>
      </c>
      <c r="AU43" s="243" t="s">
        <v>6</v>
      </c>
      <c r="AV43" s="243" t="s">
        <v>6</v>
      </c>
      <c r="AW43" s="243" t="s">
        <v>6</v>
      </c>
      <c r="AX43" s="243" t="s">
        <v>6</v>
      </c>
      <c r="AY43" s="243" t="s">
        <v>6</v>
      </c>
      <c r="AZ43" s="243" t="s">
        <v>6</v>
      </c>
      <c r="BA43" s="243" t="s">
        <v>6</v>
      </c>
      <c r="BB43" s="243" t="s">
        <v>6</v>
      </c>
      <c r="BC43" s="243" t="s">
        <v>6</v>
      </c>
      <c r="BD43" s="243" t="s">
        <v>6</v>
      </c>
      <c r="BE43" s="243" t="s">
        <v>6</v>
      </c>
      <c r="BF43" s="243" t="s">
        <v>6</v>
      </c>
      <c r="BG43" s="243" t="s">
        <v>6</v>
      </c>
      <c r="BH43" s="243" t="s">
        <v>6</v>
      </c>
      <c r="BI43" s="243" t="s">
        <v>6</v>
      </c>
      <c r="BJ43" s="243" t="s">
        <v>6</v>
      </c>
      <c r="BK43" s="243" t="s">
        <v>6</v>
      </c>
      <c r="BL43" s="243" t="s">
        <v>6</v>
      </c>
      <c r="BM43" s="243" t="s">
        <v>6</v>
      </c>
      <c r="BN43" s="243" t="s">
        <v>6</v>
      </c>
      <c r="BO43" s="243" t="s">
        <v>6</v>
      </c>
      <c r="BP43" s="243" t="s">
        <v>6</v>
      </c>
      <c r="BQ43" s="243" t="s">
        <v>6</v>
      </c>
      <c r="BR43" s="243" t="s">
        <v>6</v>
      </c>
      <c r="BS43" s="243" t="s">
        <v>6</v>
      </c>
      <c r="BT43" s="243" t="s">
        <v>6</v>
      </c>
      <c r="BU43" s="243" t="s">
        <v>6</v>
      </c>
      <c r="BV43" s="243" t="s">
        <v>6</v>
      </c>
      <c r="BW43" s="243" t="s">
        <v>6</v>
      </c>
      <c r="BX43" s="243" t="s">
        <v>6</v>
      </c>
      <c r="BY43" s="243" t="s">
        <v>6</v>
      </c>
      <c r="BZ43" s="243" t="s">
        <v>6</v>
      </c>
      <c r="CA43" s="243" t="s">
        <v>6</v>
      </c>
      <c r="CB43" s="243" t="s">
        <v>6</v>
      </c>
      <c r="CC43" s="243" t="s">
        <v>6</v>
      </c>
      <c r="CD43" s="243" t="s">
        <v>6</v>
      </c>
      <c r="CE43" s="243" t="s">
        <v>6</v>
      </c>
      <c r="CF43" s="243" t="s">
        <v>6</v>
      </c>
      <c r="CG43" s="243" t="s">
        <v>6</v>
      </c>
      <c r="CH43" s="243" t="s">
        <v>6</v>
      </c>
      <c r="CI43" s="243" t="s">
        <v>6</v>
      </c>
      <c r="CJ43" s="243" t="s">
        <v>6</v>
      </c>
      <c r="CK43" s="243" t="s">
        <v>6</v>
      </c>
      <c r="CL43" s="243" t="s">
        <v>6</v>
      </c>
      <c r="CM43" s="243" t="s">
        <v>6</v>
      </c>
      <c r="CN43" s="243" t="s">
        <v>6</v>
      </c>
      <c r="CO43" s="243" t="s">
        <v>6</v>
      </c>
      <c r="CP43" s="243" t="s">
        <v>6</v>
      </c>
      <c r="CQ43" s="243" t="s">
        <v>6</v>
      </c>
      <c r="CR43" s="243" t="s">
        <v>6</v>
      </c>
      <c r="CS43" s="243" t="s">
        <v>6</v>
      </c>
      <c r="CT43" s="243" t="s">
        <v>6</v>
      </c>
      <c r="CU43" s="243" t="s">
        <v>6</v>
      </c>
      <c r="CV43" s="243" t="s">
        <v>6</v>
      </c>
      <c r="CW43" s="243" t="s">
        <v>6</v>
      </c>
      <c r="CX43" s="243" t="s">
        <v>6</v>
      </c>
      <c r="CY43" s="243" t="s">
        <v>6</v>
      </c>
      <c r="CZ43" s="243" t="s">
        <v>6</v>
      </c>
      <c r="DA43" s="243" t="s">
        <v>6</v>
      </c>
      <c r="DB43" s="243" t="s">
        <v>6</v>
      </c>
      <c r="DC43" s="243" t="s">
        <v>6</v>
      </c>
      <c r="DD43" s="243" t="s">
        <v>6</v>
      </c>
      <c r="DE43" s="243" t="s">
        <v>6</v>
      </c>
      <c r="DF43" s="243" t="s">
        <v>6</v>
      </c>
      <c r="DG43" s="243" t="s">
        <v>6</v>
      </c>
      <c r="DH43" s="243" t="s">
        <v>6</v>
      </c>
      <c r="DI43" s="243" t="s">
        <v>6</v>
      </c>
      <c r="DJ43" s="243" t="s">
        <v>6</v>
      </c>
      <c r="DK43" s="243" t="s">
        <v>6</v>
      </c>
      <c r="DL43" s="243" t="s">
        <v>6</v>
      </c>
      <c r="DM43" s="243" t="s">
        <v>6</v>
      </c>
      <c r="DN43" s="243" t="s">
        <v>6</v>
      </c>
      <c r="DO43" s="243" t="s">
        <v>6</v>
      </c>
      <c r="DP43" s="243" t="s">
        <v>6</v>
      </c>
      <c r="DQ43" s="243" t="s">
        <v>6</v>
      </c>
      <c r="DR43" s="243" t="s">
        <v>6</v>
      </c>
      <c r="DS43" s="243" t="s">
        <v>6</v>
      </c>
      <c r="DT43" s="243" t="s">
        <v>6</v>
      </c>
      <c r="DU43" s="243" t="s">
        <v>6</v>
      </c>
      <c r="DV43" s="243" t="s">
        <v>6</v>
      </c>
      <c r="DW43" s="243" t="s">
        <v>6</v>
      </c>
      <c r="DX43" s="243" t="s">
        <v>6</v>
      </c>
      <c r="DY43" s="243" t="s">
        <v>6</v>
      </c>
      <c r="DZ43" s="243" t="s">
        <v>6</v>
      </c>
      <c r="EA43" s="243" t="s">
        <v>6</v>
      </c>
      <c r="EB43" s="243" t="s">
        <v>6</v>
      </c>
      <c r="EC43" s="243" t="s">
        <v>6</v>
      </c>
      <c r="ED43" s="243" t="s">
        <v>6</v>
      </c>
      <c r="EE43" s="243" t="s">
        <v>6</v>
      </c>
      <c r="EF43" s="243" t="s">
        <v>6</v>
      </c>
      <c r="EG43" s="243" t="s">
        <v>6</v>
      </c>
      <c r="EH43" s="243" t="s">
        <v>6</v>
      </c>
      <c r="EI43" s="243" t="s">
        <v>6</v>
      </c>
      <c r="EJ43" s="243" t="s">
        <v>6</v>
      </c>
      <c r="EK43" s="243" t="s">
        <v>6</v>
      </c>
      <c r="EL43" s="243" t="s">
        <v>6</v>
      </c>
      <c r="EM43" s="243" t="s">
        <v>6</v>
      </c>
      <c r="EN43" s="243" t="s">
        <v>6</v>
      </c>
      <c r="EO43" s="243" t="s">
        <v>6</v>
      </c>
      <c r="EP43" s="243" t="s">
        <v>6</v>
      </c>
      <c r="EQ43" s="243" t="s">
        <v>6</v>
      </c>
      <c r="ER43" s="243" t="s">
        <v>6</v>
      </c>
      <c r="ES43" s="243" t="s">
        <v>6</v>
      </c>
      <c r="ET43" s="243" t="s">
        <v>6</v>
      </c>
      <c r="EU43" s="243" t="s">
        <v>6</v>
      </c>
      <c r="EV43" s="243" t="s">
        <v>6</v>
      </c>
      <c r="EW43" s="243" t="s">
        <v>6</v>
      </c>
    </row>
    <row r="44" spans="1:153" ht="13.5">
      <c r="A44" s="277" t="s">
        <v>6</v>
      </c>
      <c r="B44" s="247" t="s">
        <v>6</v>
      </c>
      <c r="C44" s="247" t="s">
        <v>6</v>
      </c>
      <c r="D44" s="247" t="s">
        <v>6</v>
      </c>
      <c r="E44" s="247" t="s">
        <v>6</v>
      </c>
      <c r="F44" s="247" t="s">
        <v>6</v>
      </c>
      <c r="G44" s="247" t="s">
        <v>6</v>
      </c>
      <c r="H44" s="247" t="s">
        <v>6</v>
      </c>
      <c r="I44" s="247" t="s">
        <v>6</v>
      </c>
      <c r="J44" s="247" t="s">
        <v>6</v>
      </c>
      <c r="K44" s="243" t="s">
        <v>6</v>
      </c>
      <c r="L44" s="243" t="s">
        <v>6</v>
      </c>
      <c r="M44" s="243" t="s">
        <v>6</v>
      </c>
      <c r="N44" s="241" t="s">
        <v>6</v>
      </c>
      <c r="O44" s="243" t="s">
        <v>6</v>
      </c>
      <c r="P44" s="243" t="s">
        <v>6</v>
      </c>
      <c r="Q44" s="243" t="s">
        <v>6</v>
      </c>
      <c r="R44" s="243" t="s">
        <v>6</v>
      </c>
      <c r="S44" s="243" t="s">
        <v>6</v>
      </c>
      <c r="T44" s="243" t="s">
        <v>6</v>
      </c>
      <c r="U44" s="243" t="s">
        <v>6</v>
      </c>
      <c r="V44" s="243" t="s">
        <v>6</v>
      </c>
      <c r="W44" s="243" t="s">
        <v>6</v>
      </c>
      <c r="X44" s="243" t="s">
        <v>6</v>
      </c>
      <c r="Y44" s="243" t="s">
        <v>6</v>
      </c>
      <c r="Z44" s="243" t="s">
        <v>6</v>
      </c>
      <c r="AA44" s="243" t="s">
        <v>6</v>
      </c>
      <c r="AB44" s="243" t="s">
        <v>6</v>
      </c>
      <c r="AC44" s="243" t="s">
        <v>6</v>
      </c>
      <c r="AD44" s="243" t="s">
        <v>6</v>
      </c>
      <c r="AE44" s="243" t="s">
        <v>6</v>
      </c>
      <c r="AF44" s="243" t="s">
        <v>6</v>
      </c>
      <c r="AG44" s="243" t="s">
        <v>6</v>
      </c>
      <c r="AH44" s="243" t="s">
        <v>6</v>
      </c>
      <c r="AI44" s="243" t="s">
        <v>6</v>
      </c>
      <c r="AJ44" s="243" t="s">
        <v>6</v>
      </c>
      <c r="AK44" s="243" t="s">
        <v>6</v>
      </c>
      <c r="AL44" s="243" t="s">
        <v>6</v>
      </c>
      <c r="AM44" s="243" t="s">
        <v>6</v>
      </c>
      <c r="AN44" s="243" t="s">
        <v>6</v>
      </c>
      <c r="AO44" s="243" t="s">
        <v>6</v>
      </c>
      <c r="AP44" s="243" t="s">
        <v>6</v>
      </c>
      <c r="AQ44" s="243" t="s">
        <v>6</v>
      </c>
      <c r="AR44" s="243" t="s">
        <v>6</v>
      </c>
      <c r="AS44" s="243" t="s">
        <v>6</v>
      </c>
      <c r="AT44" s="243" t="s">
        <v>6</v>
      </c>
      <c r="AU44" s="243" t="s">
        <v>6</v>
      </c>
      <c r="AV44" s="243" t="s">
        <v>6</v>
      </c>
      <c r="AW44" s="243" t="s">
        <v>6</v>
      </c>
      <c r="AX44" s="243" t="s">
        <v>6</v>
      </c>
      <c r="AY44" s="243" t="s">
        <v>6</v>
      </c>
      <c r="AZ44" s="243" t="s">
        <v>6</v>
      </c>
      <c r="BA44" s="243" t="s">
        <v>6</v>
      </c>
      <c r="BB44" s="243" t="s">
        <v>6</v>
      </c>
      <c r="BC44" s="243" t="s">
        <v>6</v>
      </c>
      <c r="BD44" s="243" t="s">
        <v>6</v>
      </c>
      <c r="BE44" s="243" t="s">
        <v>6</v>
      </c>
      <c r="BF44" s="243" t="s">
        <v>6</v>
      </c>
      <c r="BG44" s="243" t="s">
        <v>6</v>
      </c>
      <c r="BH44" s="243" t="s">
        <v>6</v>
      </c>
      <c r="BI44" s="243" t="s">
        <v>6</v>
      </c>
      <c r="BJ44" s="243" t="s">
        <v>6</v>
      </c>
      <c r="BK44" s="243" t="s">
        <v>6</v>
      </c>
      <c r="BL44" s="243" t="s">
        <v>6</v>
      </c>
      <c r="BM44" s="243" t="s">
        <v>6</v>
      </c>
      <c r="BN44" s="243" t="s">
        <v>6</v>
      </c>
      <c r="BO44" s="243" t="s">
        <v>6</v>
      </c>
      <c r="BP44" s="243" t="s">
        <v>6</v>
      </c>
      <c r="BQ44" s="243" t="s">
        <v>6</v>
      </c>
      <c r="BR44" s="243" t="s">
        <v>6</v>
      </c>
      <c r="BS44" s="243" t="s">
        <v>6</v>
      </c>
      <c r="BT44" s="243" t="s">
        <v>6</v>
      </c>
      <c r="BU44" s="243" t="s">
        <v>6</v>
      </c>
      <c r="BV44" s="243" t="s">
        <v>6</v>
      </c>
      <c r="BW44" s="243" t="s">
        <v>6</v>
      </c>
      <c r="BX44" s="243" t="s">
        <v>6</v>
      </c>
      <c r="BY44" s="243" t="s">
        <v>6</v>
      </c>
      <c r="BZ44" s="243" t="s">
        <v>6</v>
      </c>
      <c r="CA44" s="243" t="s">
        <v>6</v>
      </c>
      <c r="CB44" s="243" t="s">
        <v>6</v>
      </c>
      <c r="CC44" s="243" t="s">
        <v>6</v>
      </c>
      <c r="CD44" s="243" t="s">
        <v>6</v>
      </c>
      <c r="CE44" s="243" t="s">
        <v>6</v>
      </c>
      <c r="CF44" s="243" t="s">
        <v>6</v>
      </c>
      <c r="CG44" s="243" t="s">
        <v>6</v>
      </c>
      <c r="CH44" s="243" t="s">
        <v>6</v>
      </c>
      <c r="CI44" s="243" t="s">
        <v>6</v>
      </c>
      <c r="CJ44" s="243" t="s">
        <v>6</v>
      </c>
      <c r="CK44" s="243" t="s">
        <v>6</v>
      </c>
      <c r="CL44" s="243" t="s">
        <v>6</v>
      </c>
      <c r="CM44" s="243" t="s">
        <v>6</v>
      </c>
      <c r="CN44" s="243" t="s">
        <v>6</v>
      </c>
      <c r="CO44" s="243" t="s">
        <v>6</v>
      </c>
      <c r="CP44" s="243" t="s">
        <v>6</v>
      </c>
      <c r="CQ44" s="243" t="s">
        <v>6</v>
      </c>
      <c r="CR44" s="243" t="s">
        <v>6</v>
      </c>
      <c r="CS44" s="243" t="s">
        <v>6</v>
      </c>
      <c r="CT44" s="243" t="s">
        <v>6</v>
      </c>
      <c r="CU44" s="243" t="s">
        <v>6</v>
      </c>
      <c r="CV44" s="243" t="s">
        <v>6</v>
      </c>
      <c r="CW44" s="243" t="s">
        <v>6</v>
      </c>
      <c r="CX44" s="243" t="s">
        <v>6</v>
      </c>
      <c r="CY44" s="243" t="s">
        <v>6</v>
      </c>
      <c r="CZ44" s="243" t="s">
        <v>6</v>
      </c>
      <c r="DA44" s="243" t="s">
        <v>6</v>
      </c>
      <c r="DB44" s="243" t="s">
        <v>6</v>
      </c>
      <c r="DC44" s="243" t="s">
        <v>6</v>
      </c>
      <c r="DD44" s="243" t="s">
        <v>6</v>
      </c>
      <c r="DE44" s="243" t="s">
        <v>6</v>
      </c>
      <c r="DF44" s="243" t="s">
        <v>6</v>
      </c>
      <c r="DG44" s="243" t="s">
        <v>6</v>
      </c>
      <c r="DH44" s="243" t="s">
        <v>6</v>
      </c>
      <c r="DI44" s="243" t="s">
        <v>6</v>
      </c>
      <c r="DJ44" s="243" t="s">
        <v>6</v>
      </c>
      <c r="DK44" s="243" t="s">
        <v>6</v>
      </c>
      <c r="DL44" s="243" t="s">
        <v>6</v>
      </c>
      <c r="DM44" s="243" t="s">
        <v>6</v>
      </c>
      <c r="DN44" s="243" t="s">
        <v>6</v>
      </c>
      <c r="DO44" s="243" t="s">
        <v>6</v>
      </c>
      <c r="DP44" s="243" t="s">
        <v>6</v>
      </c>
      <c r="DQ44" s="243" t="s">
        <v>6</v>
      </c>
      <c r="DR44" s="243" t="s">
        <v>6</v>
      </c>
      <c r="DS44" s="243" t="s">
        <v>6</v>
      </c>
      <c r="DT44" s="243" t="s">
        <v>6</v>
      </c>
      <c r="DU44" s="243" t="s">
        <v>6</v>
      </c>
      <c r="DV44" s="243" t="s">
        <v>6</v>
      </c>
      <c r="DW44" s="243" t="s">
        <v>6</v>
      </c>
      <c r="DX44" s="243" t="s">
        <v>6</v>
      </c>
      <c r="DY44" s="243" t="s">
        <v>6</v>
      </c>
      <c r="DZ44" s="243" t="s">
        <v>6</v>
      </c>
      <c r="EA44" s="243" t="s">
        <v>6</v>
      </c>
      <c r="EB44" s="243" t="s">
        <v>6</v>
      </c>
      <c r="EC44" s="243" t="s">
        <v>6</v>
      </c>
      <c r="ED44" s="243" t="s">
        <v>6</v>
      </c>
      <c r="EE44" s="243" t="s">
        <v>6</v>
      </c>
      <c r="EF44" s="243" t="s">
        <v>6</v>
      </c>
      <c r="EG44" s="243" t="s">
        <v>6</v>
      </c>
      <c r="EH44" s="243" t="s">
        <v>6</v>
      </c>
      <c r="EI44" s="243" t="s">
        <v>6</v>
      </c>
      <c r="EJ44" s="243" t="s">
        <v>6</v>
      </c>
      <c r="EK44" s="243" t="s">
        <v>6</v>
      </c>
      <c r="EL44" s="243" t="s">
        <v>6</v>
      </c>
      <c r="EM44" s="243" t="s">
        <v>6</v>
      </c>
      <c r="EN44" s="243" t="s">
        <v>6</v>
      </c>
      <c r="EO44" s="243" t="s">
        <v>6</v>
      </c>
      <c r="EP44" s="243" t="s">
        <v>6</v>
      </c>
      <c r="EQ44" s="243" t="s">
        <v>6</v>
      </c>
      <c r="ER44" s="243" t="s">
        <v>6</v>
      </c>
      <c r="ES44" s="243" t="s">
        <v>6</v>
      </c>
      <c r="ET44" s="243" t="s">
        <v>6</v>
      </c>
      <c r="EU44" s="243" t="s">
        <v>6</v>
      </c>
      <c r="EV44" s="243" t="s">
        <v>6</v>
      </c>
      <c r="EW44" s="243" t="s">
        <v>6</v>
      </c>
    </row>
    <row r="45" spans="1:153" ht="13.5"/>
    <row r="46" spans="1:153" ht="13.5"/>
  </sheetData>
  <pageMargins left="0.75" right="0.75" top="1" bottom="1" header="0.5" footer="0.5"/>
  <pageSetup scale="80" fitToWidth="2" orientation="portrait" horizontalDpi="4294967292" verticalDpi="4294967292" r:id="rId1"/>
  <colBreaks count="1" manualBreakCount="1">
    <brk id="12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2">
                <anchor moveWithCells="1" sizeWithCells="1">
                  <from>
                    <xdr:col>4</xdr:col>
                    <xdr:colOff>1765300</xdr:colOff>
                    <xdr:row>11</xdr:row>
                    <xdr:rowOff>152400</xdr:rowOff>
                  </from>
                  <to>
                    <xdr:col>6</xdr:col>
                    <xdr:colOff>0</xdr:colOff>
                    <xdr:row>13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D06806-51FF-AC45-B16D-2183C5771E08}">
  <dimension ref="A1:O23"/>
  <sheetViews>
    <sheetView zoomScale="125" workbookViewId="0">
      <selection activeCell="K10" sqref="K10"/>
    </sheetView>
  </sheetViews>
  <sheetFormatPr defaultColWidth="9" defaultRowHeight="15.95"/>
  <cols>
    <col min="1" max="1" width="7.875" style="138" customWidth="1"/>
    <col min="2" max="2" width="2.875" style="139" customWidth="1"/>
    <col min="3" max="3" width="3.125" style="139" bestFit="1" customWidth="1"/>
    <col min="4" max="4" width="94.5" style="139" customWidth="1"/>
    <col min="5" max="5" width="22.375" style="139" customWidth="1"/>
    <col min="6" max="6" width="13.875" style="139" customWidth="1"/>
    <col min="7" max="7" width="9" style="139"/>
    <col min="8" max="9" width="0.125" style="139" customWidth="1"/>
    <col min="10" max="16384" width="9" style="139"/>
  </cols>
  <sheetData>
    <row r="1" spans="1:15" s="135" customFormat="1" ht="41.1">
      <c r="A1" s="132"/>
      <c r="B1" s="133"/>
      <c r="C1" s="134" t="s">
        <v>180</v>
      </c>
      <c r="H1" s="136"/>
      <c r="O1" s="137"/>
    </row>
    <row r="3" spans="1:15">
      <c r="C3" s="140"/>
      <c r="D3" s="141" t="s">
        <v>181</v>
      </c>
      <c r="E3" s="142" t="s">
        <v>182</v>
      </c>
      <c r="F3" s="142" t="s">
        <v>183</v>
      </c>
    </row>
    <row r="4" spans="1:15" ht="30.75">
      <c r="C4" s="140">
        <v>1</v>
      </c>
      <c r="D4" s="222" t="s">
        <v>8</v>
      </c>
      <c r="E4" s="295" t="s">
        <v>184</v>
      </c>
      <c r="F4" s="297">
        <v>45688</v>
      </c>
    </row>
    <row r="5" spans="1:15" ht="15.75">
      <c r="C5" s="140">
        <v>2</v>
      </c>
      <c r="D5" s="219" t="s">
        <v>10</v>
      </c>
      <c r="E5" s="296" t="s">
        <v>185</v>
      </c>
      <c r="F5" s="298">
        <v>45641</v>
      </c>
    </row>
    <row r="6" spans="1:15" ht="15.75">
      <c r="C6" s="140">
        <v>3</v>
      </c>
      <c r="D6" s="219" t="s">
        <v>12</v>
      </c>
      <c r="E6" s="296" t="s">
        <v>184</v>
      </c>
      <c r="F6" s="298">
        <v>45747</v>
      </c>
    </row>
    <row r="7" spans="1:15" ht="15.75">
      <c r="C7" s="140">
        <v>4</v>
      </c>
      <c r="D7" s="219" t="s">
        <v>14</v>
      </c>
      <c r="E7" s="296" t="s">
        <v>186</v>
      </c>
      <c r="F7" s="298">
        <v>45838</v>
      </c>
    </row>
    <row r="8" spans="1:15" ht="15.75">
      <c r="C8" s="140">
        <v>5</v>
      </c>
      <c r="D8" s="219" t="s">
        <v>16</v>
      </c>
      <c r="E8" s="296" t="s">
        <v>186</v>
      </c>
      <c r="F8" s="298">
        <v>45747</v>
      </c>
    </row>
    <row r="9" spans="1:15" ht="15.75">
      <c r="C9" s="140">
        <v>6</v>
      </c>
      <c r="D9" s="219" t="s">
        <v>18</v>
      </c>
      <c r="E9" s="296" t="s">
        <v>186</v>
      </c>
      <c r="F9" s="298">
        <v>45747</v>
      </c>
    </row>
    <row r="10" spans="1:15" ht="15.75">
      <c r="C10" s="140">
        <v>7</v>
      </c>
      <c r="D10" s="219" t="s">
        <v>19</v>
      </c>
      <c r="E10" s="296" t="s">
        <v>186</v>
      </c>
      <c r="F10" s="298">
        <v>45747</v>
      </c>
    </row>
    <row r="11" spans="1:15" ht="15.75">
      <c r="C11" s="140">
        <v>8</v>
      </c>
      <c r="D11" s="219" t="s">
        <v>20</v>
      </c>
      <c r="E11" s="296" t="s">
        <v>187</v>
      </c>
      <c r="F11" s="298">
        <v>45747</v>
      </c>
    </row>
    <row r="12" spans="1:15" ht="15.75">
      <c r="C12" s="140">
        <v>9</v>
      </c>
      <c r="D12" s="219" t="s">
        <v>21</v>
      </c>
      <c r="E12" s="296" t="s">
        <v>184</v>
      </c>
      <c r="F12" s="298">
        <v>45597</v>
      </c>
    </row>
    <row r="13" spans="1:15" ht="30.75">
      <c r="C13" s="140">
        <v>10</v>
      </c>
      <c r="D13" s="292" t="s">
        <v>23</v>
      </c>
      <c r="E13" s="296" t="s">
        <v>184</v>
      </c>
      <c r="F13" s="298">
        <v>45624</v>
      </c>
    </row>
    <row r="14" spans="1:15" ht="15.75">
      <c r="C14" s="140">
        <v>11</v>
      </c>
      <c r="D14" s="293" t="s">
        <v>24</v>
      </c>
      <c r="E14" s="296" t="s">
        <v>184</v>
      </c>
      <c r="F14" s="298" t="s">
        <v>188</v>
      </c>
    </row>
    <row r="15" spans="1:15" ht="15.75">
      <c r="C15" s="140">
        <v>12</v>
      </c>
      <c r="D15" s="294" t="s">
        <v>25</v>
      </c>
      <c r="E15" s="296" t="s">
        <v>187</v>
      </c>
      <c r="F15" s="298">
        <v>45641</v>
      </c>
    </row>
    <row r="16" spans="1:15" ht="15.75">
      <c r="C16" s="140">
        <v>13</v>
      </c>
      <c r="D16" s="293" t="s">
        <v>26</v>
      </c>
      <c r="E16" s="296" t="s">
        <v>189</v>
      </c>
      <c r="F16" s="298">
        <v>45641</v>
      </c>
    </row>
    <row r="17" spans="3:6" ht="15.75">
      <c r="C17" s="140">
        <v>14</v>
      </c>
      <c r="D17" s="294" t="s">
        <v>27</v>
      </c>
      <c r="E17" s="296" t="s">
        <v>190</v>
      </c>
      <c r="F17" s="298" t="s">
        <v>191</v>
      </c>
    </row>
    <row r="18" spans="3:6" ht="30.75">
      <c r="C18" s="140">
        <v>15</v>
      </c>
      <c r="D18" s="294" t="s">
        <v>28</v>
      </c>
      <c r="E18" s="296" t="s">
        <v>184</v>
      </c>
      <c r="F18" s="298">
        <v>45624</v>
      </c>
    </row>
    <row r="19" spans="3:6" ht="15.75">
      <c r="C19" s="140">
        <v>16</v>
      </c>
      <c r="D19" s="293" t="s">
        <v>29</v>
      </c>
      <c r="E19" s="296" t="s">
        <v>187</v>
      </c>
      <c r="F19" s="298">
        <v>45747</v>
      </c>
    </row>
    <row r="20" spans="3:6">
      <c r="C20" s="140">
        <v>17</v>
      </c>
      <c r="D20" s="143"/>
      <c r="E20" s="143"/>
      <c r="F20" s="143"/>
    </row>
    <row r="21" spans="3:6">
      <c r="C21" s="140">
        <v>18</v>
      </c>
      <c r="D21" s="143"/>
      <c r="E21" s="143"/>
      <c r="F21" s="143"/>
    </row>
    <row r="22" spans="3:6">
      <c r="C22" s="140">
        <v>19</v>
      </c>
      <c r="D22" s="143"/>
      <c r="E22" s="143"/>
      <c r="F22" s="143"/>
    </row>
    <row r="23" spans="3:6">
      <c r="C23" s="140">
        <v>20</v>
      </c>
      <c r="D23" s="143"/>
      <c r="E23" s="143"/>
      <c r="F23" s="143"/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98636A-4404-054A-9124-843F305CADE1}">
  <dimension ref="A1:AR50"/>
  <sheetViews>
    <sheetView showGridLines="0" zoomScale="125" zoomScaleNormal="80" workbookViewId="0">
      <selection activeCell="B1" sqref="B1:G1"/>
    </sheetView>
  </sheetViews>
  <sheetFormatPr defaultColWidth="8.875" defaultRowHeight="15.95"/>
  <cols>
    <col min="1" max="1" width="8.875" style="165"/>
    <col min="2" max="2" width="4.5" style="166" customWidth="1"/>
    <col min="3" max="3" width="36.5" style="166" bestFit="1" customWidth="1"/>
    <col min="4" max="7" width="13.125" style="169" customWidth="1"/>
    <col min="8" max="9" width="8.875" style="165"/>
    <col min="10" max="10" width="8.875" style="166"/>
    <col min="11" max="20" width="8.875" style="165"/>
    <col min="21" max="258" width="8.875" style="166"/>
    <col min="259" max="259" width="37.375" style="166" customWidth="1"/>
    <col min="260" max="262" width="18" style="166" customWidth="1"/>
    <col min="263" max="263" width="9.375" style="166" customWidth="1"/>
    <col min="264" max="514" width="8.875" style="166"/>
    <col min="515" max="515" width="37.375" style="166" customWidth="1"/>
    <col min="516" max="518" width="18" style="166" customWidth="1"/>
    <col min="519" max="519" width="9.375" style="166" customWidth="1"/>
    <col min="520" max="770" width="8.875" style="166"/>
    <col min="771" max="771" width="37.375" style="166" customWidth="1"/>
    <col min="772" max="774" width="18" style="166" customWidth="1"/>
    <col min="775" max="775" width="9.375" style="166" customWidth="1"/>
    <col min="776" max="1026" width="8.875" style="166"/>
    <col min="1027" max="1027" width="37.375" style="166" customWidth="1"/>
    <col min="1028" max="1030" width="18" style="166" customWidth="1"/>
    <col min="1031" max="1031" width="9.375" style="166" customWidth="1"/>
    <col min="1032" max="1282" width="8.875" style="166"/>
    <col min="1283" max="1283" width="37.375" style="166" customWidth="1"/>
    <col min="1284" max="1286" width="18" style="166" customWidth="1"/>
    <col min="1287" max="1287" width="9.375" style="166" customWidth="1"/>
    <col min="1288" max="1538" width="8.875" style="166"/>
    <col min="1539" max="1539" width="37.375" style="166" customWidth="1"/>
    <col min="1540" max="1542" width="18" style="166" customWidth="1"/>
    <col min="1543" max="1543" width="9.375" style="166" customWidth="1"/>
    <col min="1544" max="1794" width="8.875" style="166"/>
    <col min="1795" max="1795" width="37.375" style="166" customWidth="1"/>
    <col min="1796" max="1798" width="18" style="166" customWidth="1"/>
    <col min="1799" max="1799" width="9.375" style="166" customWidth="1"/>
    <col min="1800" max="2050" width="8.875" style="166"/>
    <col min="2051" max="2051" width="37.375" style="166" customWidth="1"/>
    <col min="2052" max="2054" width="18" style="166" customWidth="1"/>
    <col min="2055" max="2055" width="9.375" style="166" customWidth="1"/>
    <col min="2056" max="2306" width="8.875" style="166"/>
    <col min="2307" max="2307" width="37.375" style="166" customWidth="1"/>
    <col min="2308" max="2310" width="18" style="166" customWidth="1"/>
    <col min="2311" max="2311" width="9.375" style="166" customWidth="1"/>
    <col min="2312" max="2562" width="8.875" style="166"/>
    <col min="2563" max="2563" width="37.375" style="166" customWidth="1"/>
    <col min="2564" max="2566" width="18" style="166" customWidth="1"/>
    <col min="2567" max="2567" width="9.375" style="166" customWidth="1"/>
    <col min="2568" max="2818" width="8.875" style="166"/>
    <col min="2819" max="2819" width="37.375" style="166" customWidth="1"/>
    <col min="2820" max="2822" width="18" style="166" customWidth="1"/>
    <col min="2823" max="2823" width="9.375" style="166" customWidth="1"/>
    <col min="2824" max="3074" width="8.875" style="166"/>
    <col min="3075" max="3075" width="37.375" style="166" customWidth="1"/>
    <col min="3076" max="3078" width="18" style="166" customWidth="1"/>
    <col min="3079" max="3079" width="9.375" style="166" customWidth="1"/>
    <col min="3080" max="3330" width="8.875" style="166"/>
    <col min="3331" max="3331" width="37.375" style="166" customWidth="1"/>
    <col min="3332" max="3334" width="18" style="166" customWidth="1"/>
    <col min="3335" max="3335" width="9.375" style="166" customWidth="1"/>
    <col min="3336" max="3586" width="8.875" style="166"/>
    <col min="3587" max="3587" width="37.375" style="166" customWidth="1"/>
    <col min="3588" max="3590" width="18" style="166" customWidth="1"/>
    <col min="3591" max="3591" width="9.375" style="166" customWidth="1"/>
    <col min="3592" max="3842" width="8.875" style="166"/>
    <col min="3843" max="3843" width="37.375" style="166" customWidth="1"/>
    <col min="3844" max="3846" width="18" style="166" customWidth="1"/>
    <col min="3847" max="3847" width="9.375" style="166" customWidth="1"/>
    <col min="3848" max="4098" width="8.875" style="166"/>
    <col min="4099" max="4099" width="37.375" style="166" customWidth="1"/>
    <col min="4100" max="4102" width="18" style="166" customWidth="1"/>
    <col min="4103" max="4103" width="9.375" style="166" customWidth="1"/>
    <col min="4104" max="4354" width="8.875" style="166"/>
    <col min="4355" max="4355" width="37.375" style="166" customWidth="1"/>
    <col min="4356" max="4358" width="18" style="166" customWidth="1"/>
    <col min="4359" max="4359" width="9.375" style="166" customWidth="1"/>
    <col min="4360" max="4610" width="8.875" style="166"/>
    <col min="4611" max="4611" width="37.375" style="166" customWidth="1"/>
    <col min="4612" max="4614" width="18" style="166" customWidth="1"/>
    <col min="4615" max="4615" width="9.375" style="166" customWidth="1"/>
    <col min="4616" max="4866" width="8.875" style="166"/>
    <col min="4867" max="4867" width="37.375" style="166" customWidth="1"/>
    <col min="4868" max="4870" width="18" style="166" customWidth="1"/>
    <col min="4871" max="4871" width="9.375" style="166" customWidth="1"/>
    <col min="4872" max="5122" width="8.875" style="166"/>
    <col min="5123" max="5123" width="37.375" style="166" customWidth="1"/>
    <col min="5124" max="5126" width="18" style="166" customWidth="1"/>
    <col min="5127" max="5127" width="9.375" style="166" customWidth="1"/>
    <col min="5128" max="5378" width="8.875" style="166"/>
    <col min="5379" max="5379" width="37.375" style="166" customWidth="1"/>
    <col min="5380" max="5382" width="18" style="166" customWidth="1"/>
    <col min="5383" max="5383" width="9.375" style="166" customWidth="1"/>
    <col min="5384" max="5634" width="8.875" style="166"/>
    <col min="5635" max="5635" width="37.375" style="166" customWidth="1"/>
    <col min="5636" max="5638" width="18" style="166" customWidth="1"/>
    <col min="5639" max="5639" width="9.375" style="166" customWidth="1"/>
    <col min="5640" max="5890" width="8.875" style="166"/>
    <col min="5891" max="5891" width="37.375" style="166" customWidth="1"/>
    <col min="5892" max="5894" width="18" style="166" customWidth="1"/>
    <col min="5895" max="5895" width="9.375" style="166" customWidth="1"/>
    <col min="5896" max="6146" width="8.875" style="166"/>
    <col min="6147" max="6147" width="37.375" style="166" customWidth="1"/>
    <col min="6148" max="6150" width="18" style="166" customWidth="1"/>
    <col min="6151" max="6151" width="9.375" style="166" customWidth="1"/>
    <col min="6152" max="6402" width="8.875" style="166"/>
    <col min="6403" max="6403" width="37.375" style="166" customWidth="1"/>
    <col min="6404" max="6406" width="18" style="166" customWidth="1"/>
    <col min="6407" max="6407" width="9.375" style="166" customWidth="1"/>
    <col min="6408" max="6658" width="8.875" style="166"/>
    <col min="6659" max="6659" width="37.375" style="166" customWidth="1"/>
    <col min="6660" max="6662" width="18" style="166" customWidth="1"/>
    <col min="6663" max="6663" width="9.375" style="166" customWidth="1"/>
    <col min="6664" max="6914" width="8.875" style="166"/>
    <col min="6915" max="6915" width="37.375" style="166" customWidth="1"/>
    <col min="6916" max="6918" width="18" style="166" customWidth="1"/>
    <col min="6919" max="6919" width="9.375" style="166" customWidth="1"/>
    <col min="6920" max="7170" width="8.875" style="166"/>
    <col min="7171" max="7171" width="37.375" style="166" customWidth="1"/>
    <col min="7172" max="7174" width="18" style="166" customWidth="1"/>
    <col min="7175" max="7175" width="9.375" style="166" customWidth="1"/>
    <col min="7176" max="7426" width="8.875" style="166"/>
    <col min="7427" max="7427" width="37.375" style="166" customWidth="1"/>
    <col min="7428" max="7430" width="18" style="166" customWidth="1"/>
    <col min="7431" max="7431" width="9.375" style="166" customWidth="1"/>
    <col min="7432" max="7682" width="8.875" style="166"/>
    <col min="7683" max="7683" width="37.375" style="166" customWidth="1"/>
    <col min="7684" max="7686" width="18" style="166" customWidth="1"/>
    <col min="7687" max="7687" width="9.375" style="166" customWidth="1"/>
    <col min="7688" max="7938" width="8.875" style="166"/>
    <col min="7939" max="7939" width="37.375" style="166" customWidth="1"/>
    <col min="7940" max="7942" width="18" style="166" customWidth="1"/>
    <col min="7943" max="7943" width="9.375" style="166" customWidth="1"/>
    <col min="7944" max="8194" width="8.875" style="166"/>
    <col min="8195" max="8195" width="37.375" style="166" customWidth="1"/>
    <col min="8196" max="8198" width="18" style="166" customWidth="1"/>
    <col min="8199" max="8199" width="9.375" style="166" customWidth="1"/>
    <col min="8200" max="8450" width="8.875" style="166"/>
    <col min="8451" max="8451" width="37.375" style="166" customWidth="1"/>
    <col min="8452" max="8454" width="18" style="166" customWidth="1"/>
    <col min="8455" max="8455" width="9.375" style="166" customWidth="1"/>
    <col min="8456" max="8706" width="8.875" style="166"/>
    <col min="8707" max="8707" width="37.375" style="166" customWidth="1"/>
    <col min="8708" max="8710" width="18" style="166" customWidth="1"/>
    <col min="8711" max="8711" width="9.375" style="166" customWidth="1"/>
    <col min="8712" max="8962" width="8.875" style="166"/>
    <col min="8963" max="8963" width="37.375" style="166" customWidth="1"/>
    <col min="8964" max="8966" width="18" style="166" customWidth="1"/>
    <col min="8967" max="8967" width="9.375" style="166" customWidth="1"/>
    <col min="8968" max="9218" width="8.875" style="166"/>
    <col min="9219" max="9219" width="37.375" style="166" customWidth="1"/>
    <col min="9220" max="9222" width="18" style="166" customWidth="1"/>
    <col min="9223" max="9223" width="9.375" style="166" customWidth="1"/>
    <col min="9224" max="9474" width="8.875" style="166"/>
    <col min="9475" max="9475" width="37.375" style="166" customWidth="1"/>
    <col min="9476" max="9478" width="18" style="166" customWidth="1"/>
    <col min="9479" max="9479" width="9.375" style="166" customWidth="1"/>
    <col min="9480" max="9730" width="8.875" style="166"/>
    <col min="9731" max="9731" width="37.375" style="166" customWidth="1"/>
    <col min="9732" max="9734" width="18" style="166" customWidth="1"/>
    <col min="9735" max="9735" width="9.375" style="166" customWidth="1"/>
    <col min="9736" max="9986" width="8.875" style="166"/>
    <col min="9987" max="9987" width="37.375" style="166" customWidth="1"/>
    <col min="9988" max="9990" width="18" style="166" customWidth="1"/>
    <col min="9991" max="9991" width="9.375" style="166" customWidth="1"/>
    <col min="9992" max="10242" width="8.875" style="166"/>
    <col min="10243" max="10243" width="37.375" style="166" customWidth="1"/>
    <col min="10244" max="10246" width="18" style="166" customWidth="1"/>
    <col min="10247" max="10247" width="9.375" style="166" customWidth="1"/>
    <col min="10248" max="10498" width="8.875" style="166"/>
    <col min="10499" max="10499" width="37.375" style="166" customWidth="1"/>
    <col min="10500" max="10502" width="18" style="166" customWidth="1"/>
    <col min="10503" max="10503" width="9.375" style="166" customWidth="1"/>
    <col min="10504" max="10754" width="8.875" style="166"/>
    <col min="10755" max="10755" width="37.375" style="166" customWidth="1"/>
    <col min="10756" max="10758" width="18" style="166" customWidth="1"/>
    <col min="10759" max="10759" width="9.375" style="166" customWidth="1"/>
    <col min="10760" max="11010" width="8.875" style="166"/>
    <col min="11011" max="11011" width="37.375" style="166" customWidth="1"/>
    <col min="11012" max="11014" width="18" style="166" customWidth="1"/>
    <col min="11015" max="11015" width="9.375" style="166" customWidth="1"/>
    <col min="11016" max="11266" width="8.875" style="166"/>
    <col min="11267" max="11267" width="37.375" style="166" customWidth="1"/>
    <col min="11268" max="11270" width="18" style="166" customWidth="1"/>
    <col min="11271" max="11271" width="9.375" style="166" customWidth="1"/>
    <col min="11272" max="11522" width="8.875" style="166"/>
    <col min="11523" max="11523" width="37.375" style="166" customWidth="1"/>
    <col min="11524" max="11526" width="18" style="166" customWidth="1"/>
    <col min="11527" max="11527" width="9.375" style="166" customWidth="1"/>
    <col min="11528" max="11778" width="8.875" style="166"/>
    <col min="11779" max="11779" width="37.375" style="166" customWidth="1"/>
    <col min="11780" max="11782" width="18" style="166" customWidth="1"/>
    <col min="11783" max="11783" width="9.375" style="166" customWidth="1"/>
    <col min="11784" max="12034" width="8.875" style="166"/>
    <col min="12035" max="12035" width="37.375" style="166" customWidth="1"/>
    <col min="12036" max="12038" width="18" style="166" customWidth="1"/>
    <col min="12039" max="12039" width="9.375" style="166" customWidth="1"/>
    <col min="12040" max="12290" width="8.875" style="166"/>
    <col min="12291" max="12291" width="37.375" style="166" customWidth="1"/>
    <col min="12292" max="12294" width="18" style="166" customWidth="1"/>
    <col min="12295" max="12295" width="9.375" style="166" customWidth="1"/>
    <col min="12296" max="12546" width="8.875" style="166"/>
    <col min="12547" max="12547" width="37.375" style="166" customWidth="1"/>
    <col min="12548" max="12550" width="18" style="166" customWidth="1"/>
    <col min="12551" max="12551" width="9.375" style="166" customWidth="1"/>
    <col min="12552" max="12802" width="8.875" style="166"/>
    <col min="12803" max="12803" width="37.375" style="166" customWidth="1"/>
    <col min="12804" max="12806" width="18" style="166" customWidth="1"/>
    <col min="12807" max="12807" width="9.375" style="166" customWidth="1"/>
    <col min="12808" max="13058" width="8.875" style="166"/>
    <col min="13059" max="13059" width="37.375" style="166" customWidth="1"/>
    <col min="13060" max="13062" width="18" style="166" customWidth="1"/>
    <col min="13063" max="13063" width="9.375" style="166" customWidth="1"/>
    <col min="13064" max="13314" width="8.875" style="166"/>
    <col min="13315" max="13315" width="37.375" style="166" customWidth="1"/>
    <col min="13316" max="13318" width="18" style="166" customWidth="1"/>
    <col min="13319" max="13319" width="9.375" style="166" customWidth="1"/>
    <col min="13320" max="13570" width="8.875" style="166"/>
    <col min="13571" max="13571" width="37.375" style="166" customWidth="1"/>
    <col min="13572" max="13574" width="18" style="166" customWidth="1"/>
    <col min="13575" max="13575" width="9.375" style="166" customWidth="1"/>
    <col min="13576" max="13826" width="8.875" style="166"/>
    <col min="13827" max="13827" width="37.375" style="166" customWidth="1"/>
    <col min="13828" max="13830" width="18" style="166" customWidth="1"/>
    <col min="13831" max="13831" width="9.375" style="166" customWidth="1"/>
    <col min="13832" max="14082" width="8.875" style="166"/>
    <col min="14083" max="14083" width="37.375" style="166" customWidth="1"/>
    <col min="14084" max="14086" width="18" style="166" customWidth="1"/>
    <col min="14087" max="14087" width="9.375" style="166" customWidth="1"/>
    <col min="14088" max="14338" width="8.875" style="166"/>
    <col min="14339" max="14339" width="37.375" style="166" customWidth="1"/>
    <col min="14340" max="14342" width="18" style="166" customWidth="1"/>
    <col min="14343" max="14343" width="9.375" style="166" customWidth="1"/>
    <col min="14344" max="14594" width="8.875" style="166"/>
    <col min="14595" max="14595" width="37.375" style="166" customWidth="1"/>
    <col min="14596" max="14598" width="18" style="166" customWidth="1"/>
    <col min="14599" max="14599" width="9.375" style="166" customWidth="1"/>
    <col min="14600" max="14850" width="8.875" style="166"/>
    <col min="14851" max="14851" width="37.375" style="166" customWidth="1"/>
    <col min="14852" max="14854" width="18" style="166" customWidth="1"/>
    <col min="14855" max="14855" width="9.375" style="166" customWidth="1"/>
    <col min="14856" max="15106" width="8.875" style="166"/>
    <col min="15107" max="15107" width="37.375" style="166" customWidth="1"/>
    <col min="15108" max="15110" width="18" style="166" customWidth="1"/>
    <col min="15111" max="15111" width="9.375" style="166" customWidth="1"/>
    <col min="15112" max="15362" width="8.875" style="166"/>
    <col min="15363" max="15363" width="37.375" style="166" customWidth="1"/>
    <col min="15364" max="15366" width="18" style="166" customWidth="1"/>
    <col min="15367" max="15367" width="9.375" style="166" customWidth="1"/>
    <col min="15368" max="15618" width="8.875" style="166"/>
    <col min="15619" max="15619" width="37.375" style="166" customWidth="1"/>
    <col min="15620" max="15622" width="18" style="166" customWidth="1"/>
    <col min="15623" max="15623" width="9.375" style="166" customWidth="1"/>
    <col min="15624" max="15874" width="8.875" style="166"/>
    <col min="15875" max="15875" width="37.375" style="166" customWidth="1"/>
    <col min="15876" max="15878" width="18" style="166" customWidth="1"/>
    <col min="15879" max="15879" width="9.375" style="166" customWidth="1"/>
    <col min="15880" max="16130" width="8.875" style="166"/>
    <col min="16131" max="16131" width="37.375" style="166" customWidth="1"/>
    <col min="16132" max="16134" width="18" style="166" customWidth="1"/>
    <col min="16135" max="16135" width="9.375" style="166" customWidth="1"/>
    <col min="16136" max="16384" width="8.875" style="166"/>
  </cols>
  <sheetData>
    <row r="1" spans="2:11" ht="32.25" customHeight="1">
      <c r="B1" s="353" t="s">
        <v>192</v>
      </c>
      <c r="C1" s="354"/>
      <c r="D1" s="354"/>
      <c r="E1" s="354"/>
      <c r="F1" s="354"/>
      <c r="G1" s="355"/>
    </row>
    <row r="2" spans="2:11" ht="21" customHeight="1" thickBot="1">
      <c r="B2" s="202"/>
      <c r="C2" s="203"/>
      <c r="D2" s="172"/>
      <c r="E2" s="172"/>
      <c r="F2" s="172"/>
      <c r="G2" s="199"/>
    </row>
    <row r="3" spans="2:11" s="169" customFormat="1" ht="17.100000000000001" thickBot="1">
      <c r="B3" s="204"/>
      <c r="C3" s="167"/>
      <c r="D3" s="168" t="s">
        <v>193</v>
      </c>
      <c r="E3" s="168" t="s">
        <v>194</v>
      </c>
      <c r="F3" s="168" t="s">
        <v>195</v>
      </c>
      <c r="G3" s="168" t="s">
        <v>196</v>
      </c>
    </row>
    <row r="4" spans="2:11" s="169" customFormat="1" ht="5.25" customHeight="1" thickTop="1">
      <c r="B4" s="170"/>
      <c r="C4" s="166"/>
      <c r="D4" s="171"/>
      <c r="E4" s="171"/>
      <c r="F4" s="171"/>
      <c r="G4" s="171"/>
      <c r="H4" s="205"/>
    </row>
    <row r="5" spans="2:11" s="169" customFormat="1" ht="15.75" customHeight="1">
      <c r="B5" s="356" t="s">
        <v>197</v>
      </c>
      <c r="C5" s="173" t="s">
        <v>37</v>
      </c>
      <c r="D5" s="206">
        <v>1401652</v>
      </c>
      <c r="E5" s="206">
        <v>1571437</v>
      </c>
      <c r="F5" s="206">
        <v>1752325</v>
      </c>
      <c r="G5" s="207">
        <v>1925466</v>
      </c>
      <c r="H5" s="205"/>
      <c r="I5" s="174"/>
      <c r="J5" s="174"/>
      <c r="K5" s="174"/>
    </row>
    <row r="6" spans="2:11" ht="6" customHeight="1">
      <c r="B6" s="357"/>
      <c r="C6" s="175"/>
      <c r="D6" s="176"/>
      <c r="E6" s="176"/>
      <c r="F6" s="176"/>
      <c r="G6" s="176"/>
      <c r="H6" s="208"/>
    </row>
    <row r="7" spans="2:11" s="169" customFormat="1" ht="18">
      <c r="B7" s="357"/>
      <c r="C7" s="175" t="s">
        <v>40</v>
      </c>
      <c r="D7" s="206">
        <v>79093</v>
      </c>
      <c r="E7" s="206">
        <v>108090</v>
      </c>
      <c r="F7" s="206">
        <v>121459</v>
      </c>
      <c r="G7" s="207">
        <v>163498</v>
      </c>
      <c r="H7" s="205"/>
    </row>
    <row r="8" spans="2:11" ht="4.5" customHeight="1">
      <c r="B8" s="357"/>
      <c r="C8" s="175"/>
      <c r="D8" s="176"/>
      <c r="E8" s="176"/>
      <c r="F8" s="176"/>
      <c r="G8" s="176"/>
      <c r="H8" s="208"/>
    </row>
    <row r="9" spans="2:11" s="169" customFormat="1">
      <c r="B9" s="357"/>
      <c r="C9" s="178" t="s">
        <v>198</v>
      </c>
      <c r="D9" s="176">
        <f>+D5-D7</f>
        <v>1322559</v>
      </c>
      <c r="E9" s="176">
        <f>+E5-E7</f>
        <v>1463347</v>
      </c>
      <c r="F9" s="176">
        <f>+F5-F7</f>
        <v>1630866</v>
      </c>
      <c r="G9" s="176">
        <f>+G5-G7</f>
        <v>1761968</v>
      </c>
      <c r="H9" s="205"/>
    </row>
    <row r="10" spans="2:11" s="169" customFormat="1">
      <c r="B10" s="357"/>
      <c r="C10" s="179" t="s">
        <v>199</v>
      </c>
      <c r="D10" s="180">
        <f>+D9/D5</f>
        <v>0.94357158552907572</v>
      </c>
      <c r="E10" s="180">
        <f>+E9/E5</f>
        <v>0.93121582347876497</v>
      </c>
      <c r="F10" s="180">
        <f>+F9/F5</f>
        <v>0.93068694448803735</v>
      </c>
      <c r="G10" s="180">
        <f>+G9/G5</f>
        <v>0.9150865297024201</v>
      </c>
      <c r="H10" s="205"/>
    </row>
    <row r="11" spans="2:11" ht="10.5" customHeight="1">
      <c r="B11" s="357"/>
      <c r="C11" s="175"/>
      <c r="D11" s="176"/>
      <c r="E11" s="176"/>
      <c r="F11" s="176"/>
      <c r="G11" s="176"/>
      <c r="H11" s="208"/>
    </row>
    <row r="12" spans="2:11" s="169" customFormat="1" ht="18">
      <c r="B12" s="357"/>
      <c r="C12" s="175" t="s">
        <v>200</v>
      </c>
      <c r="D12" s="206">
        <v>561522</v>
      </c>
      <c r="E12" s="206">
        <v>603352</v>
      </c>
      <c r="F12" s="206">
        <v>590167</v>
      </c>
      <c r="G12" s="207">
        <v>666739</v>
      </c>
      <c r="H12" s="205"/>
    </row>
    <row r="13" spans="2:11" ht="4.5" customHeight="1">
      <c r="B13" s="357"/>
      <c r="C13" s="175"/>
      <c r="D13" s="176"/>
      <c r="E13" s="176"/>
      <c r="F13" s="176"/>
      <c r="G13" s="176"/>
      <c r="H13" s="208"/>
    </row>
    <row r="14" spans="2:11" s="169" customFormat="1" ht="18.95">
      <c r="B14" s="357"/>
      <c r="C14" s="181" t="s">
        <v>51</v>
      </c>
      <c r="D14" s="182">
        <f>D9-D12</f>
        <v>761037</v>
      </c>
      <c r="E14" s="182">
        <f>E9-E12</f>
        <v>859995</v>
      </c>
      <c r="F14" s="182">
        <f>F9-F12</f>
        <v>1040699</v>
      </c>
      <c r="G14" s="182">
        <f>G9-G12</f>
        <v>1095229</v>
      </c>
      <c r="H14" s="205"/>
    </row>
    <row r="15" spans="2:11" s="169" customFormat="1" ht="18.95">
      <c r="B15" s="358"/>
      <c r="C15" s="183" t="s">
        <v>201</v>
      </c>
      <c r="D15" s="184">
        <f>+D9/D12</f>
        <v>2.3553111009007663</v>
      </c>
      <c r="E15" s="184">
        <f>+E9/E12</f>
        <v>2.4253619777509647</v>
      </c>
      <c r="F15" s="184">
        <f>+F9/F12</f>
        <v>2.7633974790186508</v>
      </c>
      <c r="G15" s="184">
        <f>+G9/G12</f>
        <v>2.6426652708181164</v>
      </c>
      <c r="H15" s="205"/>
    </row>
    <row r="16" spans="2:11" ht="5.25" customHeight="1">
      <c r="B16" s="209"/>
      <c r="D16" s="185"/>
      <c r="E16" s="185"/>
      <c r="F16" s="185"/>
      <c r="G16" s="185"/>
      <c r="H16" s="208"/>
    </row>
    <row r="17" spans="2:44" s="169" customFormat="1" ht="15" customHeight="1">
      <c r="B17" s="356" t="s">
        <v>202</v>
      </c>
      <c r="C17" s="175" t="s">
        <v>203</v>
      </c>
      <c r="D17" s="185"/>
      <c r="E17" s="185"/>
      <c r="F17" s="185"/>
      <c r="G17" s="185"/>
      <c r="H17" s="205"/>
    </row>
    <row r="18" spans="2:44" s="169" customFormat="1">
      <c r="B18" s="357"/>
      <c r="C18" s="186" t="s">
        <v>204</v>
      </c>
      <c r="D18" s="210">
        <v>157292</v>
      </c>
      <c r="E18" s="210">
        <v>221278</v>
      </c>
      <c r="F18" s="210">
        <v>169233</v>
      </c>
      <c r="G18" s="211">
        <v>116615</v>
      </c>
      <c r="H18" s="205"/>
    </row>
    <row r="19" spans="2:44" s="169" customFormat="1">
      <c r="B19" s="357"/>
      <c r="C19" s="186" t="s">
        <v>205</v>
      </c>
      <c r="D19" s="210">
        <v>8955</v>
      </c>
      <c r="E19" s="210">
        <v>13520</v>
      </c>
      <c r="F19" s="210">
        <v>12404</v>
      </c>
      <c r="G19" s="211">
        <v>12559</v>
      </c>
      <c r="H19" s="205"/>
    </row>
    <row r="20" spans="2:44" s="169" customFormat="1">
      <c r="B20" s="357"/>
      <c r="C20" s="186" t="s">
        <v>206</v>
      </c>
      <c r="D20" s="210">
        <v>195795</v>
      </c>
      <c r="E20" s="210">
        <v>236254</v>
      </c>
      <c r="F20" s="210">
        <v>205462</v>
      </c>
      <c r="G20" s="211">
        <v>270490</v>
      </c>
      <c r="H20" s="205"/>
    </row>
    <row r="21" spans="2:44" s="169" customFormat="1">
      <c r="B21" s="357"/>
      <c r="C21" s="186" t="s">
        <v>207</v>
      </c>
      <c r="D21" s="210">
        <v>285620</v>
      </c>
      <c r="E21" s="210">
        <v>299557</v>
      </c>
      <c r="F21" s="210">
        <v>296432</v>
      </c>
      <c r="G21" s="211">
        <v>324361</v>
      </c>
      <c r="H21" s="205"/>
    </row>
    <row r="22" spans="2:44" s="169" customFormat="1" ht="18">
      <c r="B22" s="357"/>
      <c r="C22" s="186" t="s">
        <v>208</v>
      </c>
      <c r="D22" s="206">
        <v>36641</v>
      </c>
      <c r="E22" s="206">
        <v>55885</v>
      </c>
      <c r="F22" s="206">
        <v>33029</v>
      </c>
      <c r="G22" s="207">
        <v>32087</v>
      </c>
      <c r="H22" s="205"/>
    </row>
    <row r="23" spans="2:44" ht="15">
      <c r="B23" s="357"/>
      <c r="C23" s="175"/>
      <c r="D23" s="176"/>
      <c r="E23" s="176"/>
      <c r="F23" s="176"/>
      <c r="G23" s="176"/>
      <c r="H23" s="208"/>
    </row>
    <row r="24" spans="2:44" s="169" customFormat="1" ht="18.95">
      <c r="B24" s="357"/>
      <c r="C24" s="181" t="s">
        <v>209</v>
      </c>
      <c r="D24" s="182">
        <f>SUM(D18:D22)</f>
        <v>684303</v>
      </c>
      <c r="E24" s="182">
        <f>SUM(E18:E22)</f>
        <v>826494</v>
      </c>
      <c r="F24" s="182">
        <f>SUM(F18:F22)</f>
        <v>716560</v>
      </c>
      <c r="G24" s="182">
        <f>SUM(G18:G22)</f>
        <v>756112</v>
      </c>
      <c r="H24" s="205"/>
    </row>
    <row r="25" spans="2:44" s="169" customFormat="1" ht="18.95">
      <c r="B25" s="358"/>
      <c r="C25" s="183" t="s">
        <v>210</v>
      </c>
      <c r="D25" s="184">
        <f>+D14/D20</f>
        <v>3.8869072243928597</v>
      </c>
      <c r="E25" s="184">
        <f>+E14/E20</f>
        <v>3.6401288443793542</v>
      </c>
      <c r="F25" s="184">
        <f>+F14/F20</f>
        <v>5.0651653347090946</v>
      </c>
      <c r="G25" s="184">
        <f>+G14/G20</f>
        <v>4.049055417945211</v>
      </c>
      <c r="H25" s="205"/>
    </row>
    <row r="26" spans="2:44" ht="4.5" customHeight="1">
      <c r="B26" s="209"/>
      <c r="D26" s="185"/>
      <c r="E26" s="185"/>
      <c r="F26" s="185"/>
      <c r="G26" s="185"/>
      <c r="H26" s="205"/>
      <c r="I26" s="166"/>
      <c r="K26" s="166"/>
      <c r="L26" s="166"/>
      <c r="M26" s="166"/>
      <c r="N26" s="166"/>
      <c r="O26" s="166"/>
      <c r="P26" s="166"/>
      <c r="Q26" s="166"/>
      <c r="R26" s="166"/>
      <c r="S26" s="166"/>
      <c r="T26" s="166"/>
      <c r="AI26" s="165"/>
      <c r="AJ26" s="165"/>
      <c r="AK26" s="165"/>
      <c r="AL26" s="165"/>
      <c r="AM26" s="165"/>
      <c r="AN26" s="165"/>
      <c r="AO26" s="165"/>
      <c r="AP26" s="165"/>
      <c r="AQ26" s="165"/>
      <c r="AR26" s="165"/>
    </row>
    <row r="27" spans="2:44" s="169" customFormat="1" ht="18.95">
      <c r="B27" s="359" t="s">
        <v>211</v>
      </c>
      <c r="C27" s="178" t="s">
        <v>212</v>
      </c>
      <c r="D27" s="189">
        <f>D14-D24</f>
        <v>76734</v>
      </c>
      <c r="E27" s="189">
        <f>E14-E24</f>
        <v>33501</v>
      </c>
      <c r="F27" s="189">
        <f>F14-F24</f>
        <v>324139</v>
      </c>
      <c r="G27" s="189">
        <f>G14-G24</f>
        <v>339117</v>
      </c>
      <c r="H27" s="205"/>
      <c r="I27" s="166"/>
    </row>
    <row r="28" spans="2:44" s="169" customFormat="1" ht="6.75" customHeight="1">
      <c r="B28" s="360"/>
      <c r="C28" s="178"/>
      <c r="D28" s="190"/>
      <c r="E28" s="190"/>
      <c r="F28" s="190"/>
      <c r="G28" s="190"/>
      <c r="H28" s="205"/>
      <c r="I28" s="166"/>
    </row>
    <row r="29" spans="2:44" s="169" customFormat="1">
      <c r="B29" s="360"/>
      <c r="C29" s="191" t="s">
        <v>213</v>
      </c>
      <c r="D29" s="176"/>
      <c r="E29" s="176"/>
      <c r="F29" s="176"/>
      <c r="G29" s="176"/>
      <c r="H29" s="205"/>
      <c r="I29" s="166"/>
    </row>
    <row r="30" spans="2:44" s="169" customFormat="1">
      <c r="B30" s="360"/>
      <c r="C30" s="192" t="s">
        <v>214</v>
      </c>
      <c r="D30" s="187">
        <v>18979</v>
      </c>
      <c r="E30" s="187">
        <v>21990</v>
      </c>
      <c r="F30" s="187">
        <v>20664</v>
      </c>
      <c r="G30" s="188">
        <v>22140</v>
      </c>
      <c r="H30" s="205"/>
      <c r="I30" s="166"/>
    </row>
    <row r="31" spans="2:44" s="169" customFormat="1">
      <c r="B31" s="360"/>
      <c r="C31" s="192" t="s">
        <v>215</v>
      </c>
      <c r="D31" s="187">
        <v>-6214</v>
      </c>
      <c r="E31" s="187">
        <v>15901</v>
      </c>
      <c r="F31" s="187">
        <v>10478</v>
      </c>
      <c r="G31" s="188">
        <v>22174</v>
      </c>
      <c r="H31" s="205"/>
      <c r="I31" s="166"/>
    </row>
    <row r="32" spans="2:44" ht="4.5" customHeight="1">
      <c r="B32" s="360"/>
      <c r="C32" s="193"/>
      <c r="D32" s="176"/>
      <c r="E32" s="176"/>
      <c r="F32" s="176"/>
      <c r="G32" s="177"/>
      <c r="H32" s="205"/>
      <c r="I32" s="166"/>
      <c r="K32" s="166"/>
      <c r="L32" s="166"/>
      <c r="M32" s="166"/>
      <c r="N32" s="166"/>
      <c r="O32" s="166"/>
      <c r="P32" s="166"/>
      <c r="Q32" s="166"/>
      <c r="R32" s="166"/>
      <c r="S32" s="166"/>
      <c r="T32" s="166"/>
      <c r="AI32" s="165"/>
      <c r="AJ32" s="165"/>
      <c r="AK32" s="165"/>
      <c r="AL32" s="165"/>
      <c r="AM32" s="165"/>
      <c r="AN32" s="165"/>
      <c r="AO32" s="165"/>
      <c r="AP32" s="165"/>
      <c r="AQ32" s="165"/>
      <c r="AR32" s="165"/>
    </row>
    <row r="33" spans="2:44" s="169" customFormat="1">
      <c r="B33" s="360"/>
      <c r="C33" s="193" t="s">
        <v>216</v>
      </c>
      <c r="D33" s="187">
        <v>12765</v>
      </c>
      <c r="E33" s="187">
        <v>37891</v>
      </c>
      <c r="F33" s="187">
        <v>31142</v>
      </c>
      <c r="G33" s="188">
        <v>44314</v>
      </c>
      <c r="H33" s="205"/>
      <c r="I33" s="166"/>
    </row>
    <row r="34" spans="2:44" ht="7.5" customHeight="1">
      <c r="B34" s="360"/>
      <c r="C34" s="193"/>
      <c r="D34" s="176"/>
      <c r="E34" s="176"/>
      <c r="F34" s="176"/>
      <c r="G34" s="176"/>
      <c r="H34" s="205"/>
      <c r="I34" s="166"/>
      <c r="K34" s="166"/>
      <c r="L34" s="166"/>
      <c r="M34" s="166"/>
      <c r="N34" s="166"/>
      <c r="O34" s="166"/>
      <c r="P34" s="166"/>
      <c r="Q34" s="166"/>
      <c r="R34" s="166"/>
      <c r="S34" s="166"/>
      <c r="T34" s="166"/>
      <c r="AI34" s="165"/>
      <c r="AJ34" s="165"/>
      <c r="AK34" s="165"/>
      <c r="AL34" s="165"/>
      <c r="AM34" s="165"/>
      <c r="AN34" s="165"/>
      <c r="AO34" s="165"/>
      <c r="AP34" s="165"/>
      <c r="AQ34" s="165"/>
      <c r="AR34" s="165"/>
    </row>
    <row r="35" spans="2:44" s="169" customFormat="1" ht="18.95">
      <c r="B35" s="360"/>
      <c r="C35" s="178" t="s">
        <v>217</v>
      </c>
      <c r="D35" s="194">
        <f>D27-D33</f>
        <v>63969</v>
      </c>
      <c r="E35" s="194">
        <f>E27-E33</f>
        <v>-4390</v>
      </c>
      <c r="F35" s="194">
        <f>F27-F33</f>
        <v>292997</v>
      </c>
      <c r="G35" s="194">
        <f>G27-G33</f>
        <v>294803</v>
      </c>
      <c r="H35" s="205"/>
      <c r="I35" s="166"/>
    </row>
    <row r="36" spans="2:44" s="169" customFormat="1">
      <c r="B36" s="360"/>
      <c r="C36" s="195" t="s">
        <v>218</v>
      </c>
      <c r="D36" s="196">
        <f>D35/D5</f>
        <v>4.5638289675325974E-2</v>
      </c>
      <c r="E36" s="196">
        <f>E35/E5</f>
        <v>-2.7936213796671454E-3</v>
      </c>
      <c r="F36" s="196">
        <f>F35/F5</f>
        <v>0.1672047137374631</v>
      </c>
      <c r="G36" s="196">
        <f>G35/G5</f>
        <v>0.15310735167486728</v>
      </c>
      <c r="H36" s="205"/>
      <c r="I36" s="166"/>
    </row>
    <row r="37" spans="2:44" s="169" customFormat="1" ht="17.100000000000001" thickBot="1">
      <c r="B37" s="361"/>
      <c r="C37" s="197" t="s">
        <v>219</v>
      </c>
      <c r="D37" s="198">
        <f>D35/D9</f>
        <v>4.8367596455054181E-2</v>
      </c>
      <c r="E37" s="198">
        <f>E35/E9</f>
        <v>-2.9999719820384364E-3</v>
      </c>
      <c r="F37" s="198">
        <f>F35/F9</f>
        <v>0.17965731090107956</v>
      </c>
      <c r="G37" s="198">
        <f>G35/G9</f>
        <v>0.16731461638349845</v>
      </c>
      <c r="H37" s="205"/>
      <c r="I37" s="166"/>
    </row>
    <row r="38" spans="2:44" ht="5.25" customHeight="1">
      <c r="B38" s="209"/>
      <c r="D38" s="172"/>
      <c r="E38" s="172"/>
      <c r="F38" s="172"/>
      <c r="G38" s="172"/>
      <c r="H38" s="208"/>
    </row>
    <row r="39" spans="2:44" ht="15" customHeight="1">
      <c r="B39" s="360" t="s">
        <v>220</v>
      </c>
      <c r="D39" s="172"/>
      <c r="E39" s="172"/>
      <c r="F39" s="172"/>
      <c r="G39" s="172"/>
      <c r="H39" s="208"/>
    </row>
    <row r="40" spans="2:44">
      <c r="B40" s="360"/>
      <c r="D40" s="172"/>
      <c r="E40" s="172"/>
      <c r="F40" s="172"/>
      <c r="G40" s="172"/>
      <c r="H40" s="208"/>
    </row>
    <row r="41" spans="2:44">
      <c r="B41" s="360"/>
      <c r="D41" s="172"/>
      <c r="E41" s="172"/>
      <c r="F41" s="172"/>
      <c r="G41" s="172"/>
      <c r="H41" s="208"/>
    </row>
    <row r="42" spans="2:44">
      <c r="B42" s="360"/>
      <c r="D42" s="172"/>
      <c r="E42" s="172"/>
      <c r="F42" s="172"/>
      <c r="G42" s="172"/>
      <c r="H42" s="208"/>
    </row>
    <row r="43" spans="2:44">
      <c r="B43" s="360"/>
      <c r="D43" s="172"/>
      <c r="E43" s="172"/>
      <c r="F43" s="172"/>
      <c r="G43" s="172"/>
      <c r="H43" s="208"/>
    </row>
    <row r="44" spans="2:44">
      <c r="B44" s="360"/>
      <c r="D44" s="172"/>
      <c r="E44" s="172"/>
      <c r="F44" s="172"/>
      <c r="G44" s="172"/>
      <c r="H44" s="208"/>
    </row>
    <row r="45" spans="2:44">
      <c r="B45" s="360"/>
      <c r="D45" s="172"/>
      <c r="E45" s="172"/>
      <c r="F45" s="172"/>
      <c r="G45" s="172"/>
      <c r="H45" s="208"/>
    </row>
    <row r="46" spans="2:44" ht="17.100000000000001" thickBot="1">
      <c r="B46" s="361"/>
      <c r="C46" s="200"/>
      <c r="D46" s="201"/>
      <c r="E46" s="201"/>
      <c r="F46" s="201"/>
      <c r="G46" s="201"/>
      <c r="H46" s="208"/>
    </row>
    <row r="47" spans="2:44">
      <c r="B47" s="212"/>
    </row>
    <row r="48" spans="2:44">
      <c r="B48" s="212"/>
    </row>
    <row r="49" spans="2:2">
      <c r="B49" s="212"/>
    </row>
    <row r="50" spans="2:2">
      <c r="B50" s="212"/>
    </row>
  </sheetData>
  <mergeCells count="5">
    <mergeCell ref="B1:G1"/>
    <mergeCell ref="B5:B15"/>
    <mergeCell ref="B17:B25"/>
    <mergeCell ref="B27:B37"/>
    <mergeCell ref="B39:B46"/>
  </mergeCell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DCA264-6D0E-5143-912C-20B8BE402B1C}">
  <dimension ref="A1:AR48"/>
  <sheetViews>
    <sheetView showGridLines="0" zoomScaleNormal="80" workbookViewId="0">
      <selection activeCell="L2" sqref="L2"/>
    </sheetView>
  </sheetViews>
  <sheetFormatPr defaultColWidth="8.875" defaultRowHeight="15.95"/>
  <cols>
    <col min="1" max="1" width="8.875" style="165"/>
    <col min="2" max="2" width="4.5" style="166" customWidth="1"/>
    <col min="3" max="3" width="36.5" style="166" bestFit="1" customWidth="1"/>
    <col min="4" max="6" width="13.125" style="169" customWidth="1"/>
    <col min="7" max="7" width="27.875" style="169" customWidth="1"/>
    <col min="8" max="9" width="8.875" style="165"/>
    <col min="10" max="10" width="8.875" style="166"/>
    <col min="11" max="14" width="8.875" style="165"/>
    <col min="15" max="15" width="8.5" style="165" bestFit="1" customWidth="1"/>
    <col min="16" max="20" width="8.875" style="165"/>
    <col min="21" max="258" width="8.875" style="166"/>
    <col min="259" max="259" width="37.375" style="166" customWidth="1"/>
    <col min="260" max="262" width="18" style="166" customWidth="1"/>
    <col min="263" max="263" width="9.375" style="166" customWidth="1"/>
    <col min="264" max="514" width="8.875" style="166"/>
    <col min="515" max="515" width="37.375" style="166" customWidth="1"/>
    <col min="516" max="518" width="18" style="166" customWidth="1"/>
    <col min="519" max="519" width="9.375" style="166" customWidth="1"/>
    <col min="520" max="770" width="8.875" style="166"/>
    <col min="771" max="771" width="37.375" style="166" customWidth="1"/>
    <col min="772" max="774" width="18" style="166" customWidth="1"/>
    <col min="775" max="775" width="9.375" style="166" customWidth="1"/>
    <col min="776" max="1026" width="8.875" style="166"/>
    <col min="1027" max="1027" width="37.375" style="166" customWidth="1"/>
    <col min="1028" max="1030" width="18" style="166" customWidth="1"/>
    <col min="1031" max="1031" width="9.375" style="166" customWidth="1"/>
    <col min="1032" max="1282" width="8.875" style="166"/>
    <col min="1283" max="1283" width="37.375" style="166" customWidth="1"/>
    <col min="1284" max="1286" width="18" style="166" customWidth="1"/>
    <col min="1287" max="1287" width="9.375" style="166" customWidth="1"/>
    <col min="1288" max="1538" width="8.875" style="166"/>
    <col min="1539" max="1539" width="37.375" style="166" customWidth="1"/>
    <col min="1540" max="1542" width="18" style="166" customWidth="1"/>
    <col min="1543" max="1543" width="9.375" style="166" customWidth="1"/>
    <col min="1544" max="1794" width="8.875" style="166"/>
    <col min="1795" max="1795" width="37.375" style="166" customWidth="1"/>
    <col min="1796" max="1798" width="18" style="166" customWidth="1"/>
    <col min="1799" max="1799" width="9.375" style="166" customWidth="1"/>
    <col min="1800" max="2050" width="8.875" style="166"/>
    <col min="2051" max="2051" width="37.375" style="166" customWidth="1"/>
    <col min="2052" max="2054" width="18" style="166" customWidth="1"/>
    <col min="2055" max="2055" width="9.375" style="166" customWidth="1"/>
    <col min="2056" max="2306" width="8.875" style="166"/>
    <col min="2307" max="2307" width="37.375" style="166" customWidth="1"/>
    <col min="2308" max="2310" width="18" style="166" customWidth="1"/>
    <col min="2311" max="2311" width="9.375" style="166" customWidth="1"/>
    <col min="2312" max="2562" width="8.875" style="166"/>
    <col min="2563" max="2563" width="37.375" style="166" customWidth="1"/>
    <col min="2564" max="2566" width="18" style="166" customWidth="1"/>
    <col min="2567" max="2567" width="9.375" style="166" customWidth="1"/>
    <col min="2568" max="2818" width="8.875" style="166"/>
    <col min="2819" max="2819" width="37.375" style="166" customWidth="1"/>
    <col min="2820" max="2822" width="18" style="166" customWidth="1"/>
    <col min="2823" max="2823" width="9.375" style="166" customWidth="1"/>
    <col min="2824" max="3074" width="8.875" style="166"/>
    <col min="3075" max="3075" width="37.375" style="166" customWidth="1"/>
    <col min="3076" max="3078" width="18" style="166" customWidth="1"/>
    <col min="3079" max="3079" width="9.375" style="166" customWidth="1"/>
    <col min="3080" max="3330" width="8.875" style="166"/>
    <col min="3331" max="3331" width="37.375" style="166" customWidth="1"/>
    <col min="3332" max="3334" width="18" style="166" customWidth="1"/>
    <col min="3335" max="3335" width="9.375" style="166" customWidth="1"/>
    <col min="3336" max="3586" width="8.875" style="166"/>
    <col min="3587" max="3587" width="37.375" style="166" customWidth="1"/>
    <col min="3588" max="3590" width="18" style="166" customWidth="1"/>
    <col min="3591" max="3591" width="9.375" style="166" customWidth="1"/>
    <col min="3592" max="3842" width="8.875" style="166"/>
    <col min="3843" max="3843" width="37.375" style="166" customWidth="1"/>
    <col min="3844" max="3846" width="18" style="166" customWidth="1"/>
    <col min="3847" max="3847" width="9.375" style="166" customWidth="1"/>
    <col min="3848" max="4098" width="8.875" style="166"/>
    <col min="4099" max="4099" width="37.375" style="166" customWidth="1"/>
    <col min="4100" max="4102" width="18" style="166" customWidth="1"/>
    <col min="4103" max="4103" width="9.375" style="166" customWidth="1"/>
    <col min="4104" max="4354" width="8.875" style="166"/>
    <col min="4355" max="4355" width="37.375" style="166" customWidth="1"/>
    <col min="4356" max="4358" width="18" style="166" customWidth="1"/>
    <col min="4359" max="4359" width="9.375" style="166" customWidth="1"/>
    <col min="4360" max="4610" width="8.875" style="166"/>
    <col min="4611" max="4611" width="37.375" style="166" customWidth="1"/>
    <col min="4612" max="4614" width="18" style="166" customWidth="1"/>
    <col min="4615" max="4615" width="9.375" style="166" customWidth="1"/>
    <col min="4616" max="4866" width="8.875" style="166"/>
    <col min="4867" max="4867" width="37.375" style="166" customWidth="1"/>
    <col min="4868" max="4870" width="18" style="166" customWidth="1"/>
    <col min="4871" max="4871" width="9.375" style="166" customWidth="1"/>
    <col min="4872" max="5122" width="8.875" style="166"/>
    <col min="5123" max="5123" width="37.375" style="166" customWidth="1"/>
    <col min="5124" max="5126" width="18" style="166" customWidth="1"/>
    <col min="5127" max="5127" width="9.375" style="166" customWidth="1"/>
    <col min="5128" max="5378" width="8.875" style="166"/>
    <col min="5379" max="5379" width="37.375" style="166" customWidth="1"/>
    <col min="5380" max="5382" width="18" style="166" customWidth="1"/>
    <col min="5383" max="5383" width="9.375" style="166" customWidth="1"/>
    <col min="5384" max="5634" width="8.875" style="166"/>
    <col min="5635" max="5635" width="37.375" style="166" customWidth="1"/>
    <col min="5636" max="5638" width="18" style="166" customWidth="1"/>
    <col min="5639" max="5639" width="9.375" style="166" customWidth="1"/>
    <col min="5640" max="5890" width="8.875" style="166"/>
    <col min="5891" max="5891" width="37.375" style="166" customWidth="1"/>
    <col min="5892" max="5894" width="18" style="166" customWidth="1"/>
    <col min="5895" max="5895" width="9.375" style="166" customWidth="1"/>
    <col min="5896" max="6146" width="8.875" style="166"/>
    <col min="6147" max="6147" width="37.375" style="166" customWidth="1"/>
    <col min="6148" max="6150" width="18" style="166" customWidth="1"/>
    <col min="6151" max="6151" width="9.375" style="166" customWidth="1"/>
    <col min="6152" max="6402" width="8.875" style="166"/>
    <col min="6403" max="6403" width="37.375" style="166" customWidth="1"/>
    <col min="6404" max="6406" width="18" style="166" customWidth="1"/>
    <col min="6407" max="6407" width="9.375" style="166" customWidth="1"/>
    <col min="6408" max="6658" width="8.875" style="166"/>
    <col min="6659" max="6659" width="37.375" style="166" customWidth="1"/>
    <col min="6660" max="6662" width="18" style="166" customWidth="1"/>
    <col min="6663" max="6663" width="9.375" style="166" customWidth="1"/>
    <col min="6664" max="6914" width="8.875" style="166"/>
    <col min="6915" max="6915" width="37.375" style="166" customWidth="1"/>
    <col min="6916" max="6918" width="18" style="166" customWidth="1"/>
    <col min="6919" max="6919" width="9.375" style="166" customWidth="1"/>
    <col min="6920" max="7170" width="8.875" style="166"/>
    <col min="7171" max="7171" width="37.375" style="166" customWidth="1"/>
    <col min="7172" max="7174" width="18" style="166" customWidth="1"/>
    <col min="7175" max="7175" width="9.375" style="166" customWidth="1"/>
    <col min="7176" max="7426" width="8.875" style="166"/>
    <col min="7427" max="7427" width="37.375" style="166" customWidth="1"/>
    <col min="7428" max="7430" width="18" style="166" customWidth="1"/>
    <col min="7431" max="7431" width="9.375" style="166" customWidth="1"/>
    <col min="7432" max="7682" width="8.875" style="166"/>
    <col min="7683" max="7683" width="37.375" style="166" customWidth="1"/>
    <col min="7684" max="7686" width="18" style="166" customWidth="1"/>
    <col min="7687" max="7687" width="9.375" style="166" customWidth="1"/>
    <col min="7688" max="7938" width="8.875" style="166"/>
    <col min="7939" max="7939" width="37.375" style="166" customWidth="1"/>
    <col min="7940" max="7942" width="18" style="166" customWidth="1"/>
    <col min="7943" max="7943" width="9.375" style="166" customWidth="1"/>
    <col min="7944" max="8194" width="8.875" style="166"/>
    <col min="8195" max="8195" width="37.375" style="166" customWidth="1"/>
    <col min="8196" max="8198" width="18" style="166" customWidth="1"/>
    <col min="8199" max="8199" width="9.375" style="166" customWidth="1"/>
    <col min="8200" max="8450" width="8.875" style="166"/>
    <col min="8451" max="8451" width="37.375" style="166" customWidth="1"/>
    <col min="8452" max="8454" width="18" style="166" customWidth="1"/>
    <col min="8455" max="8455" width="9.375" style="166" customWidth="1"/>
    <col min="8456" max="8706" width="8.875" style="166"/>
    <col min="8707" max="8707" width="37.375" style="166" customWidth="1"/>
    <col min="8708" max="8710" width="18" style="166" customWidth="1"/>
    <col min="8711" max="8711" width="9.375" style="166" customWidth="1"/>
    <col min="8712" max="8962" width="8.875" style="166"/>
    <col min="8963" max="8963" width="37.375" style="166" customWidth="1"/>
    <col min="8964" max="8966" width="18" style="166" customWidth="1"/>
    <col min="8967" max="8967" width="9.375" style="166" customWidth="1"/>
    <col min="8968" max="9218" width="8.875" style="166"/>
    <col min="9219" max="9219" width="37.375" style="166" customWidth="1"/>
    <col min="9220" max="9222" width="18" style="166" customWidth="1"/>
    <col min="9223" max="9223" width="9.375" style="166" customWidth="1"/>
    <col min="9224" max="9474" width="8.875" style="166"/>
    <col min="9475" max="9475" width="37.375" style="166" customWidth="1"/>
    <col min="9476" max="9478" width="18" style="166" customWidth="1"/>
    <col min="9479" max="9479" width="9.375" style="166" customWidth="1"/>
    <col min="9480" max="9730" width="8.875" style="166"/>
    <col min="9731" max="9731" width="37.375" style="166" customWidth="1"/>
    <col min="9732" max="9734" width="18" style="166" customWidth="1"/>
    <col min="9735" max="9735" width="9.375" style="166" customWidth="1"/>
    <col min="9736" max="9986" width="8.875" style="166"/>
    <col min="9987" max="9987" width="37.375" style="166" customWidth="1"/>
    <col min="9988" max="9990" width="18" style="166" customWidth="1"/>
    <col min="9991" max="9991" width="9.375" style="166" customWidth="1"/>
    <col min="9992" max="10242" width="8.875" style="166"/>
    <col min="10243" max="10243" width="37.375" style="166" customWidth="1"/>
    <col min="10244" max="10246" width="18" style="166" customWidth="1"/>
    <col min="10247" max="10247" width="9.375" style="166" customWidth="1"/>
    <col min="10248" max="10498" width="8.875" style="166"/>
    <col min="10499" max="10499" width="37.375" style="166" customWidth="1"/>
    <col min="10500" max="10502" width="18" style="166" customWidth="1"/>
    <col min="10503" max="10503" width="9.375" style="166" customWidth="1"/>
    <col min="10504" max="10754" width="8.875" style="166"/>
    <col min="10755" max="10755" width="37.375" style="166" customWidth="1"/>
    <col min="10756" max="10758" width="18" style="166" customWidth="1"/>
    <col min="10759" max="10759" width="9.375" style="166" customWidth="1"/>
    <col min="10760" max="11010" width="8.875" style="166"/>
    <col min="11011" max="11011" width="37.375" style="166" customWidth="1"/>
    <col min="11012" max="11014" width="18" style="166" customWidth="1"/>
    <col min="11015" max="11015" width="9.375" style="166" customWidth="1"/>
    <col min="11016" max="11266" width="8.875" style="166"/>
    <col min="11267" max="11267" width="37.375" style="166" customWidth="1"/>
    <col min="11268" max="11270" width="18" style="166" customWidth="1"/>
    <col min="11271" max="11271" width="9.375" style="166" customWidth="1"/>
    <col min="11272" max="11522" width="8.875" style="166"/>
    <col min="11523" max="11523" width="37.375" style="166" customWidth="1"/>
    <col min="11524" max="11526" width="18" style="166" customWidth="1"/>
    <col min="11527" max="11527" width="9.375" style="166" customWidth="1"/>
    <col min="11528" max="11778" width="8.875" style="166"/>
    <col min="11779" max="11779" width="37.375" style="166" customWidth="1"/>
    <col min="11780" max="11782" width="18" style="166" customWidth="1"/>
    <col min="11783" max="11783" width="9.375" style="166" customWidth="1"/>
    <col min="11784" max="12034" width="8.875" style="166"/>
    <col min="12035" max="12035" width="37.375" style="166" customWidth="1"/>
    <col min="12036" max="12038" width="18" style="166" customWidth="1"/>
    <col min="12039" max="12039" width="9.375" style="166" customWidth="1"/>
    <col min="12040" max="12290" width="8.875" style="166"/>
    <col min="12291" max="12291" width="37.375" style="166" customWidth="1"/>
    <col min="12292" max="12294" width="18" style="166" customWidth="1"/>
    <col min="12295" max="12295" width="9.375" style="166" customWidth="1"/>
    <col min="12296" max="12546" width="8.875" style="166"/>
    <col min="12547" max="12547" width="37.375" style="166" customWidth="1"/>
    <col min="12548" max="12550" width="18" style="166" customWidth="1"/>
    <col min="12551" max="12551" width="9.375" style="166" customWidth="1"/>
    <col min="12552" max="12802" width="8.875" style="166"/>
    <col min="12803" max="12803" width="37.375" style="166" customWidth="1"/>
    <col min="12804" max="12806" width="18" style="166" customWidth="1"/>
    <col min="12807" max="12807" width="9.375" style="166" customWidth="1"/>
    <col min="12808" max="13058" width="8.875" style="166"/>
    <col min="13059" max="13059" width="37.375" style="166" customWidth="1"/>
    <col min="13060" max="13062" width="18" style="166" customWidth="1"/>
    <col min="13063" max="13063" width="9.375" style="166" customWidth="1"/>
    <col min="13064" max="13314" width="8.875" style="166"/>
    <col min="13315" max="13315" width="37.375" style="166" customWidth="1"/>
    <col min="13316" max="13318" width="18" style="166" customWidth="1"/>
    <col min="13319" max="13319" width="9.375" style="166" customWidth="1"/>
    <col min="13320" max="13570" width="8.875" style="166"/>
    <col min="13571" max="13571" width="37.375" style="166" customWidth="1"/>
    <col min="13572" max="13574" width="18" style="166" customWidth="1"/>
    <col min="13575" max="13575" width="9.375" style="166" customWidth="1"/>
    <col min="13576" max="13826" width="8.875" style="166"/>
    <col min="13827" max="13827" width="37.375" style="166" customWidth="1"/>
    <col min="13828" max="13830" width="18" style="166" customWidth="1"/>
    <col min="13831" max="13831" width="9.375" style="166" customWidth="1"/>
    <col min="13832" max="14082" width="8.875" style="166"/>
    <col min="14083" max="14083" width="37.375" style="166" customWidth="1"/>
    <col min="14084" max="14086" width="18" style="166" customWidth="1"/>
    <col min="14087" max="14087" width="9.375" style="166" customWidth="1"/>
    <col min="14088" max="14338" width="8.875" style="166"/>
    <col min="14339" max="14339" width="37.375" style="166" customWidth="1"/>
    <col min="14340" max="14342" width="18" style="166" customWidth="1"/>
    <col min="14343" max="14343" width="9.375" style="166" customWidth="1"/>
    <col min="14344" max="14594" width="8.875" style="166"/>
    <col min="14595" max="14595" width="37.375" style="166" customWidth="1"/>
    <col min="14596" max="14598" width="18" style="166" customWidth="1"/>
    <col min="14599" max="14599" width="9.375" style="166" customWidth="1"/>
    <col min="14600" max="14850" width="8.875" style="166"/>
    <col min="14851" max="14851" width="37.375" style="166" customWidth="1"/>
    <col min="14852" max="14854" width="18" style="166" customWidth="1"/>
    <col min="14855" max="14855" width="9.375" style="166" customWidth="1"/>
    <col min="14856" max="15106" width="8.875" style="166"/>
    <col min="15107" max="15107" width="37.375" style="166" customWidth="1"/>
    <col min="15108" max="15110" width="18" style="166" customWidth="1"/>
    <col min="15111" max="15111" width="9.375" style="166" customWidth="1"/>
    <col min="15112" max="15362" width="8.875" style="166"/>
    <col min="15363" max="15363" width="37.375" style="166" customWidth="1"/>
    <col min="15364" max="15366" width="18" style="166" customWidth="1"/>
    <col min="15367" max="15367" width="9.375" style="166" customWidth="1"/>
    <col min="15368" max="15618" width="8.875" style="166"/>
    <col min="15619" max="15619" width="37.375" style="166" customWidth="1"/>
    <col min="15620" max="15622" width="18" style="166" customWidth="1"/>
    <col min="15623" max="15623" width="9.375" style="166" customWidth="1"/>
    <col min="15624" max="15874" width="8.875" style="166"/>
    <col min="15875" max="15875" width="37.375" style="166" customWidth="1"/>
    <col min="15876" max="15878" width="18" style="166" customWidth="1"/>
    <col min="15879" max="15879" width="9.375" style="166" customWidth="1"/>
    <col min="15880" max="16130" width="8.875" style="166"/>
    <col min="16131" max="16131" width="37.375" style="166" customWidth="1"/>
    <col min="16132" max="16134" width="18" style="166" customWidth="1"/>
    <col min="16135" max="16135" width="9.375" style="166" customWidth="1"/>
    <col min="16136" max="16384" width="8.875" style="166"/>
  </cols>
  <sheetData>
    <row r="1" spans="1:44" ht="32.25" customHeight="1">
      <c r="A1" s="299"/>
      <c r="B1" s="376" t="s">
        <v>192</v>
      </c>
      <c r="C1" s="377"/>
      <c r="D1" s="377"/>
      <c r="E1" s="377"/>
      <c r="F1" s="377"/>
      <c r="G1" s="378"/>
      <c r="H1" s="299"/>
      <c r="I1" s="299"/>
      <c r="J1" s="300"/>
      <c r="K1" s="299"/>
      <c r="L1" s="299"/>
      <c r="M1" s="299"/>
      <c r="N1" s="299"/>
      <c r="O1" s="299"/>
      <c r="P1" s="299"/>
      <c r="Q1" s="299"/>
      <c r="R1" s="299"/>
      <c r="S1" s="299"/>
      <c r="T1" s="299"/>
      <c r="U1" s="300"/>
      <c r="V1" s="300"/>
      <c r="W1" s="300"/>
      <c r="X1" s="300"/>
      <c r="Y1" s="300"/>
      <c r="Z1" s="300"/>
      <c r="AA1" s="300"/>
      <c r="AB1" s="300"/>
      <c r="AC1" s="300"/>
      <c r="AD1" s="300"/>
      <c r="AE1" s="300"/>
      <c r="AF1" s="300"/>
      <c r="AG1" s="300"/>
      <c r="AH1" s="300"/>
      <c r="AI1" s="300"/>
      <c r="AJ1" s="300"/>
      <c r="AK1" s="300"/>
      <c r="AL1" s="300"/>
      <c r="AM1" s="300"/>
      <c r="AN1" s="300"/>
      <c r="AO1" s="300"/>
      <c r="AP1" s="300"/>
      <c r="AQ1" s="300"/>
      <c r="AR1" s="300"/>
    </row>
    <row r="2" spans="1:44" ht="21" customHeight="1">
      <c r="A2" s="299"/>
      <c r="B2" s="301" t="s">
        <v>6</v>
      </c>
      <c r="C2" s="302" t="s">
        <v>6</v>
      </c>
      <c r="D2" s="303" t="s">
        <v>6</v>
      </c>
      <c r="E2" s="303" t="s">
        <v>6</v>
      </c>
      <c r="F2" s="303" t="s">
        <v>6</v>
      </c>
      <c r="G2" s="304" t="s">
        <v>6</v>
      </c>
      <c r="H2" s="299"/>
      <c r="I2" s="299"/>
      <c r="J2" s="300"/>
      <c r="K2" s="299"/>
      <c r="L2" s="299"/>
      <c r="M2" s="299"/>
      <c r="N2" s="299"/>
      <c r="O2" s="299"/>
      <c r="P2" s="299"/>
      <c r="Q2" s="299"/>
      <c r="R2" s="299"/>
      <c r="S2" s="299"/>
      <c r="T2" s="299"/>
      <c r="U2" s="300"/>
      <c r="V2" s="300"/>
      <c r="W2" s="300"/>
      <c r="X2" s="300"/>
      <c r="Y2" s="300"/>
      <c r="Z2" s="300"/>
      <c r="AA2" s="300"/>
      <c r="AB2" s="300"/>
      <c r="AC2" s="300"/>
      <c r="AD2" s="300"/>
      <c r="AE2" s="300"/>
      <c r="AF2" s="300"/>
      <c r="AG2" s="300"/>
      <c r="AH2" s="300"/>
      <c r="AI2" s="300"/>
      <c r="AJ2" s="300"/>
      <c r="AK2" s="300"/>
      <c r="AL2" s="300"/>
      <c r="AM2" s="300"/>
      <c r="AN2" s="300"/>
      <c r="AO2" s="300"/>
      <c r="AP2" s="300"/>
      <c r="AQ2" s="300"/>
      <c r="AR2" s="300"/>
    </row>
    <row r="3" spans="1:44" s="169" customFormat="1" ht="15.75">
      <c r="A3" s="234"/>
      <c r="B3" s="305" t="s">
        <v>6</v>
      </c>
      <c r="C3" s="306" t="s">
        <v>6</v>
      </c>
      <c r="D3" s="307">
        <v>2020</v>
      </c>
      <c r="E3" s="307">
        <v>2021</v>
      </c>
      <c r="F3" s="307">
        <v>2022</v>
      </c>
      <c r="G3" s="307">
        <v>2023</v>
      </c>
      <c r="H3" s="234"/>
      <c r="I3" s="234"/>
      <c r="J3" s="234"/>
      <c r="K3" s="234"/>
      <c r="L3" s="234"/>
      <c r="M3" s="234"/>
      <c r="N3" s="234"/>
      <c r="O3" s="234"/>
      <c r="P3" s="234"/>
      <c r="Q3" s="234"/>
      <c r="R3" s="234"/>
      <c r="S3" s="234"/>
      <c r="T3" s="234"/>
      <c r="U3" s="234"/>
      <c r="V3" s="234"/>
      <c r="W3" s="234"/>
      <c r="X3" s="234"/>
      <c r="Y3" s="234"/>
      <c r="Z3" s="234"/>
      <c r="AA3" s="234"/>
      <c r="AB3" s="234"/>
      <c r="AC3" s="234"/>
      <c r="AD3" s="234"/>
      <c r="AE3" s="234"/>
      <c r="AF3" s="234"/>
      <c r="AG3" s="234"/>
      <c r="AH3" s="234"/>
      <c r="AI3" s="234"/>
      <c r="AJ3" s="234"/>
      <c r="AK3" s="234"/>
      <c r="AL3" s="234"/>
      <c r="AM3" s="234"/>
      <c r="AN3" s="234"/>
      <c r="AO3" s="234"/>
      <c r="AP3" s="234"/>
      <c r="AQ3" s="234"/>
      <c r="AR3" s="234"/>
    </row>
    <row r="4" spans="1:44" s="169" customFormat="1" ht="5.25" customHeight="1">
      <c r="A4" s="234"/>
      <c r="B4" s="305" t="s">
        <v>6</v>
      </c>
      <c r="C4" s="300"/>
      <c r="D4" s="308"/>
      <c r="E4" s="308"/>
      <c r="F4" s="308"/>
      <c r="G4" s="309" t="s">
        <v>6</v>
      </c>
      <c r="H4" s="234"/>
      <c r="I4" s="234"/>
      <c r="J4" s="234"/>
      <c r="K4" s="234"/>
      <c r="L4" s="234"/>
      <c r="M4" s="234"/>
      <c r="N4" s="234"/>
      <c r="O4" s="234"/>
      <c r="P4" s="234"/>
      <c r="Q4" s="234"/>
      <c r="R4" s="234"/>
      <c r="S4" s="234"/>
      <c r="T4" s="234"/>
      <c r="U4" s="234"/>
      <c r="V4" s="234"/>
      <c r="W4" s="234"/>
      <c r="X4" s="234"/>
      <c r="Y4" s="234"/>
      <c r="Z4" s="234"/>
      <c r="AA4" s="234"/>
      <c r="AB4" s="234"/>
      <c r="AC4" s="234"/>
      <c r="AD4" s="234"/>
      <c r="AE4" s="234"/>
      <c r="AF4" s="234"/>
      <c r="AG4" s="234"/>
      <c r="AH4" s="234"/>
      <c r="AI4" s="234"/>
      <c r="AJ4" s="234"/>
      <c r="AK4" s="234"/>
      <c r="AL4" s="234"/>
      <c r="AM4" s="234"/>
      <c r="AN4" s="234"/>
      <c r="AO4" s="234"/>
      <c r="AP4" s="234"/>
      <c r="AQ4" s="234"/>
      <c r="AR4" s="234"/>
    </row>
    <row r="5" spans="1:44" s="169" customFormat="1" ht="15.75" customHeight="1">
      <c r="A5" s="234"/>
      <c r="B5" s="362" t="s">
        <v>221</v>
      </c>
      <c r="C5" s="310" t="s">
        <v>37</v>
      </c>
      <c r="D5" s="311" t="s">
        <v>6</v>
      </c>
      <c r="E5" s="312" t="s">
        <v>222</v>
      </c>
      <c r="F5" s="312" t="s">
        <v>223</v>
      </c>
      <c r="G5" s="313" t="s">
        <v>224</v>
      </c>
      <c r="H5" s="234"/>
      <c r="I5" s="234"/>
      <c r="J5" s="234"/>
      <c r="K5" s="234"/>
      <c r="L5" s="234"/>
      <c r="M5" s="234"/>
      <c r="N5" s="234"/>
      <c r="O5" s="234"/>
      <c r="P5" s="234"/>
      <c r="Q5" s="234"/>
      <c r="R5" s="234"/>
      <c r="S5" s="234"/>
      <c r="T5" s="234"/>
      <c r="U5" s="234"/>
      <c r="V5" s="234"/>
      <c r="W5" s="234"/>
      <c r="X5" s="234"/>
      <c r="Y5" s="234"/>
      <c r="Z5" s="234"/>
      <c r="AA5" s="234"/>
      <c r="AB5" s="234"/>
      <c r="AC5" s="234"/>
      <c r="AD5" s="234"/>
      <c r="AE5" s="234"/>
      <c r="AF5" s="234"/>
      <c r="AG5" s="234"/>
      <c r="AH5" s="234"/>
      <c r="AI5" s="234"/>
      <c r="AJ5" s="234"/>
      <c r="AK5" s="234"/>
      <c r="AL5" s="234"/>
      <c r="AM5" s="234"/>
      <c r="AN5" s="234"/>
      <c r="AO5" s="234"/>
      <c r="AP5" s="234"/>
      <c r="AQ5" s="234"/>
      <c r="AR5" s="234"/>
    </row>
    <row r="6" spans="1:44" ht="6" customHeight="1">
      <c r="A6" s="299"/>
      <c r="B6" s="362"/>
      <c r="C6" s="314"/>
      <c r="D6" s="315"/>
      <c r="E6" s="315"/>
      <c r="F6" s="315"/>
      <c r="G6" s="316" t="s">
        <v>6</v>
      </c>
      <c r="H6" s="299"/>
      <c r="I6" s="299"/>
      <c r="J6" s="300"/>
      <c r="K6" s="299"/>
      <c r="L6" s="299"/>
      <c r="M6" s="299"/>
      <c r="N6" s="299"/>
      <c r="O6" s="299"/>
      <c r="P6" s="299"/>
      <c r="Q6" s="299"/>
      <c r="R6" s="299"/>
      <c r="S6" s="299"/>
      <c r="T6" s="299"/>
      <c r="U6" s="300"/>
      <c r="V6" s="300"/>
      <c r="W6" s="300"/>
      <c r="X6" s="300"/>
      <c r="Y6" s="300"/>
      <c r="Z6" s="300"/>
      <c r="AA6" s="300"/>
      <c r="AB6" s="300"/>
      <c r="AC6" s="300"/>
      <c r="AD6" s="300"/>
      <c r="AE6" s="300"/>
      <c r="AF6" s="300"/>
      <c r="AG6" s="300"/>
      <c r="AH6" s="300"/>
      <c r="AI6" s="300"/>
      <c r="AJ6" s="300"/>
      <c r="AK6" s="300"/>
      <c r="AL6" s="300"/>
      <c r="AM6" s="300"/>
      <c r="AN6" s="300"/>
      <c r="AO6" s="300"/>
      <c r="AP6" s="300"/>
      <c r="AQ6" s="300"/>
      <c r="AR6" s="300"/>
    </row>
    <row r="7" spans="1:44" s="169" customFormat="1" ht="15.75">
      <c r="A7" s="234"/>
      <c r="B7" s="362"/>
      <c r="C7" s="314" t="s">
        <v>40</v>
      </c>
      <c r="D7" s="311" t="s">
        <v>6</v>
      </c>
      <c r="E7" s="312" t="s">
        <v>225</v>
      </c>
      <c r="F7" s="312" t="s">
        <v>226</v>
      </c>
      <c r="G7" s="313" t="s">
        <v>227</v>
      </c>
      <c r="H7" s="234"/>
      <c r="I7" s="234"/>
      <c r="J7" s="234"/>
      <c r="K7" s="234"/>
      <c r="L7" s="234"/>
      <c r="M7" s="234"/>
      <c r="N7" s="234"/>
      <c r="O7" s="234"/>
      <c r="P7" s="234"/>
      <c r="Q7" s="234"/>
      <c r="R7" s="234"/>
      <c r="S7" s="234"/>
      <c r="T7" s="234"/>
      <c r="U7" s="234"/>
      <c r="V7" s="234"/>
      <c r="W7" s="234"/>
      <c r="X7" s="234"/>
      <c r="Y7" s="234"/>
      <c r="Z7" s="234"/>
      <c r="AA7" s="234"/>
      <c r="AB7" s="234"/>
      <c r="AC7" s="234"/>
      <c r="AD7" s="234"/>
      <c r="AE7" s="234"/>
      <c r="AF7" s="234"/>
      <c r="AG7" s="234"/>
      <c r="AH7" s="234"/>
      <c r="AI7" s="234"/>
      <c r="AJ7" s="234"/>
      <c r="AK7" s="234"/>
      <c r="AL7" s="234"/>
      <c r="AM7" s="234"/>
      <c r="AN7" s="234"/>
      <c r="AO7" s="234"/>
      <c r="AP7" s="234"/>
      <c r="AQ7" s="234"/>
      <c r="AR7" s="234"/>
    </row>
    <row r="8" spans="1:44" ht="4.5" customHeight="1">
      <c r="A8" s="299"/>
      <c r="B8" s="362"/>
      <c r="C8" s="314"/>
      <c r="D8" s="315"/>
      <c r="E8" s="315"/>
      <c r="F8" s="315"/>
      <c r="G8" s="316" t="s">
        <v>6</v>
      </c>
      <c r="H8" s="299"/>
      <c r="I8" s="299"/>
      <c r="J8" s="300"/>
      <c r="K8" s="299"/>
      <c r="L8" s="299"/>
      <c r="M8" s="299"/>
      <c r="N8" s="299"/>
      <c r="O8" s="299"/>
      <c r="P8" s="299"/>
      <c r="Q8" s="299"/>
      <c r="R8" s="299"/>
      <c r="S8" s="299"/>
      <c r="T8" s="299"/>
      <c r="U8" s="300"/>
      <c r="V8" s="300"/>
      <c r="W8" s="300"/>
      <c r="X8" s="300"/>
      <c r="Y8" s="300"/>
      <c r="Z8" s="300"/>
      <c r="AA8" s="300"/>
      <c r="AB8" s="300"/>
      <c r="AC8" s="300"/>
      <c r="AD8" s="300"/>
      <c r="AE8" s="300"/>
      <c r="AF8" s="300"/>
      <c r="AG8" s="300"/>
      <c r="AH8" s="300"/>
      <c r="AI8" s="300"/>
      <c r="AJ8" s="300"/>
      <c r="AK8" s="300"/>
      <c r="AL8" s="300"/>
      <c r="AM8" s="300"/>
      <c r="AN8" s="300"/>
      <c r="AO8" s="300"/>
      <c r="AP8" s="300"/>
      <c r="AQ8" s="300"/>
      <c r="AR8" s="300"/>
    </row>
    <row r="9" spans="1:44" s="169" customFormat="1" ht="15.75">
      <c r="A9" s="234"/>
      <c r="B9" s="362"/>
      <c r="C9" s="317" t="s">
        <v>198</v>
      </c>
      <c r="D9" s="315" t="s">
        <v>228</v>
      </c>
      <c r="E9" s="315" t="s">
        <v>229</v>
      </c>
      <c r="F9" s="315" t="s">
        <v>230</v>
      </c>
      <c r="G9" s="316" t="s">
        <v>231</v>
      </c>
      <c r="H9" s="234"/>
      <c r="I9" s="234"/>
      <c r="J9" s="234"/>
      <c r="K9" s="234"/>
      <c r="L9" s="234"/>
      <c r="M9" s="234"/>
      <c r="N9" s="234"/>
      <c r="O9" s="234"/>
      <c r="P9" s="234"/>
      <c r="Q9" s="234"/>
      <c r="R9" s="234"/>
      <c r="S9" s="234"/>
      <c r="T9" s="234"/>
      <c r="U9" s="234"/>
      <c r="V9" s="234"/>
      <c r="W9" s="234"/>
      <c r="X9" s="234"/>
      <c r="Y9" s="234"/>
      <c r="Z9" s="234"/>
      <c r="AA9" s="234"/>
      <c r="AB9" s="234"/>
      <c r="AC9" s="234"/>
      <c r="AD9" s="234"/>
      <c r="AE9" s="234"/>
      <c r="AF9" s="234"/>
      <c r="AG9" s="234"/>
      <c r="AH9" s="234"/>
      <c r="AI9" s="234"/>
      <c r="AJ9" s="234"/>
      <c r="AK9" s="234"/>
      <c r="AL9" s="234"/>
      <c r="AM9" s="234"/>
      <c r="AN9" s="234"/>
      <c r="AO9" s="234"/>
      <c r="AP9" s="234"/>
      <c r="AQ9" s="234"/>
      <c r="AR9" s="234"/>
    </row>
    <row r="10" spans="1:44" s="169" customFormat="1" ht="15.75">
      <c r="A10" s="234"/>
      <c r="B10" s="362"/>
      <c r="C10" s="318" t="s">
        <v>199</v>
      </c>
      <c r="D10" s="319">
        <v>0</v>
      </c>
      <c r="E10" s="319">
        <v>0.5</v>
      </c>
      <c r="F10" s="319">
        <v>0.49</v>
      </c>
      <c r="G10" s="321">
        <v>0.53</v>
      </c>
      <c r="H10" s="234"/>
      <c r="I10" s="234"/>
      <c r="J10" s="234"/>
      <c r="K10" s="234"/>
      <c r="L10" s="234"/>
      <c r="M10" s="234"/>
      <c r="N10" s="234"/>
      <c r="O10" s="234"/>
      <c r="P10" s="234"/>
      <c r="Q10" s="234"/>
      <c r="R10" s="234"/>
      <c r="S10" s="234"/>
      <c r="T10" s="234"/>
      <c r="U10" s="234"/>
      <c r="V10" s="234"/>
      <c r="W10" s="234"/>
      <c r="X10" s="234"/>
      <c r="Y10" s="234"/>
      <c r="Z10" s="234"/>
      <c r="AA10" s="234"/>
      <c r="AB10" s="234"/>
      <c r="AC10" s="234"/>
      <c r="AD10" s="234"/>
      <c r="AE10" s="234"/>
      <c r="AF10" s="234"/>
      <c r="AG10" s="234"/>
      <c r="AH10" s="234"/>
      <c r="AI10" s="234"/>
      <c r="AJ10" s="234"/>
      <c r="AK10" s="234"/>
      <c r="AL10" s="234"/>
      <c r="AM10" s="234"/>
      <c r="AN10" s="234"/>
      <c r="AO10" s="234"/>
      <c r="AP10" s="234"/>
      <c r="AQ10" s="234"/>
      <c r="AR10" s="234"/>
    </row>
    <row r="11" spans="1:44" ht="10.5" customHeight="1">
      <c r="A11" s="299"/>
      <c r="B11" s="362"/>
      <c r="C11" s="314"/>
      <c r="D11" s="315"/>
      <c r="E11" s="315"/>
      <c r="F11" s="315"/>
      <c r="G11" s="316" t="s">
        <v>6</v>
      </c>
      <c r="H11" s="299"/>
      <c r="I11" s="299"/>
      <c r="J11" s="300"/>
      <c r="K11" s="299"/>
      <c r="L11" s="299"/>
      <c r="M11" s="299"/>
      <c r="N11" s="299"/>
      <c r="O11" s="299"/>
      <c r="P11" s="299"/>
      <c r="Q11" s="299"/>
      <c r="R11" s="299"/>
      <c r="S11" s="299"/>
      <c r="T11" s="299"/>
      <c r="U11" s="300"/>
      <c r="V11" s="300"/>
      <c r="W11" s="300"/>
      <c r="X11" s="300"/>
      <c r="Y11" s="300"/>
      <c r="Z11" s="300"/>
      <c r="AA11" s="300"/>
      <c r="AB11" s="300"/>
      <c r="AC11" s="300"/>
      <c r="AD11" s="300"/>
      <c r="AE11" s="300"/>
      <c r="AF11" s="300"/>
      <c r="AG11" s="300"/>
      <c r="AH11" s="300"/>
      <c r="AI11" s="300"/>
      <c r="AJ11" s="300"/>
      <c r="AK11" s="300"/>
      <c r="AL11" s="300"/>
      <c r="AM11" s="300"/>
      <c r="AN11" s="300"/>
      <c r="AO11" s="300"/>
      <c r="AP11" s="300"/>
      <c r="AQ11" s="300"/>
      <c r="AR11" s="300"/>
    </row>
    <row r="12" spans="1:44" s="169" customFormat="1" ht="15.75">
      <c r="A12" s="234"/>
      <c r="B12" s="362"/>
      <c r="C12" s="314" t="s">
        <v>200</v>
      </c>
      <c r="D12" s="311" t="s">
        <v>6</v>
      </c>
      <c r="E12" s="312" t="s">
        <v>232</v>
      </c>
      <c r="F12" s="312" t="s">
        <v>233</v>
      </c>
      <c r="G12" s="313" t="s">
        <v>234</v>
      </c>
      <c r="H12" s="234"/>
      <c r="I12" s="234"/>
      <c r="J12" s="234"/>
      <c r="K12" s="234"/>
      <c r="L12" s="234"/>
      <c r="M12" s="234"/>
      <c r="N12" s="234"/>
      <c r="O12" s="234"/>
      <c r="P12" s="234"/>
      <c r="Q12" s="234"/>
      <c r="R12" s="234"/>
      <c r="S12" s="234"/>
      <c r="T12" s="234"/>
      <c r="U12" s="234"/>
      <c r="V12" s="234"/>
      <c r="W12" s="234"/>
      <c r="X12" s="234"/>
      <c r="Y12" s="234"/>
      <c r="Z12" s="234"/>
      <c r="AA12" s="234"/>
      <c r="AB12" s="234"/>
      <c r="AC12" s="234"/>
      <c r="AD12" s="234"/>
      <c r="AE12" s="234"/>
      <c r="AF12" s="234"/>
      <c r="AG12" s="234"/>
      <c r="AH12" s="234"/>
      <c r="AI12" s="234"/>
      <c r="AJ12" s="234"/>
      <c r="AK12" s="234"/>
      <c r="AL12" s="234"/>
      <c r="AM12" s="234"/>
      <c r="AN12" s="234"/>
      <c r="AO12" s="234"/>
      <c r="AP12" s="234"/>
      <c r="AQ12" s="234"/>
      <c r="AR12" s="234"/>
    </row>
    <row r="13" spans="1:44" ht="4.5" customHeight="1">
      <c r="A13" s="299"/>
      <c r="B13" s="362"/>
      <c r="C13" s="314"/>
      <c r="D13" s="315"/>
      <c r="E13" s="315"/>
      <c r="F13" s="315"/>
      <c r="G13" s="316" t="s">
        <v>6</v>
      </c>
      <c r="H13" s="299"/>
      <c r="I13" s="299"/>
      <c r="J13" s="300"/>
      <c r="K13" s="299"/>
      <c r="L13" s="299"/>
      <c r="M13" s="299"/>
      <c r="N13" s="299"/>
      <c r="O13" s="299"/>
      <c r="P13" s="299"/>
      <c r="Q13" s="299"/>
      <c r="R13" s="299"/>
      <c r="S13" s="299"/>
      <c r="T13" s="299"/>
      <c r="U13" s="300"/>
      <c r="V13" s="300"/>
      <c r="W13" s="300"/>
      <c r="X13" s="300"/>
      <c r="Y13" s="300"/>
      <c r="Z13" s="300"/>
      <c r="AA13" s="300"/>
      <c r="AB13" s="300"/>
      <c r="AC13" s="300"/>
      <c r="AD13" s="300"/>
      <c r="AE13" s="300"/>
      <c r="AF13" s="300"/>
      <c r="AG13" s="300"/>
      <c r="AH13" s="300"/>
      <c r="AI13" s="300"/>
      <c r="AJ13" s="300"/>
      <c r="AK13" s="300"/>
      <c r="AL13" s="300"/>
      <c r="AM13" s="300"/>
      <c r="AN13" s="300"/>
      <c r="AO13" s="300"/>
      <c r="AP13" s="300"/>
      <c r="AQ13" s="300"/>
      <c r="AR13" s="300"/>
    </row>
    <row r="14" spans="1:44" s="169" customFormat="1" ht="15.75">
      <c r="A14" s="234"/>
      <c r="B14" s="362"/>
      <c r="C14" s="322" t="s">
        <v>51</v>
      </c>
      <c r="D14" s="323" t="s">
        <v>228</v>
      </c>
      <c r="E14" s="323" t="s">
        <v>235</v>
      </c>
      <c r="F14" s="323" t="s">
        <v>236</v>
      </c>
      <c r="G14" s="324" t="s">
        <v>237</v>
      </c>
      <c r="H14" s="234"/>
      <c r="I14" s="234"/>
      <c r="J14" s="234"/>
      <c r="K14" s="234"/>
      <c r="L14" s="234"/>
      <c r="M14" s="234"/>
      <c r="N14" s="234"/>
      <c r="O14" s="234"/>
      <c r="P14" s="234"/>
      <c r="Q14" s="234"/>
      <c r="R14" s="234"/>
      <c r="S14" s="234"/>
      <c r="T14" s="234"/>
      <c r="U14" s="234"/>
      <c r="V14" s="234"/>
      <c r="W14" s="234"/>
      <c r="X14" s="234"/>
      <c r="Y14" s="234"/>
      <c r="Z14" s="234"/>
      <c r="AA14" s="234"/>
      <c r="AB14" s="234"/>
      <c r="AC14" s="234"/>
      <c r="AD14" s="234"/>
      <c r="AE14" s="234"/>
      <c r="AF14" s="234"/>
      <c r="AG14" s="234"/>
      <c r="AH14" s="234"/>
      <c r="AI14" s="234"/>
      <c r="AJ14" s="234"/>
      <c r="AK14" s="234"/>
      <c r="AL14" s="234"/>
      <c r="AM14" s="234"/>
      <c r="AN14" s="234"/>
      <c r="AO14" s="234"/>
      <c r="AP14" s="234"/>
      <c r="AQ14" s="234"/>
      <c r="AR14" s="234"/>
    </row>
    <row r="15" spans="1:44" s="169" customFormat="1" ht="15.75">
      <c r="A15" s="234"/>
      <c r="B15" s="363"/>
      <c r="C15" s="325" t="s">
        <v>238</v>
      </c>
      <c r="D15" s="326" t="s">
        <v>239</v>
      </c>
      <c r="E15" s="326" t="s">
        <v>240</v>
      </c>
      <c r="F15" s="326" t="s">
        <v>241</v>
      </c>
      <c r="G15" s="327" t="s">
        <v>242</v>
      </c>
      <c r="H15" s="234"/>
      <c r="I15" s="234"/>
      <c r="J15" s="234"/>
      <c r="K15" s="234"/>
      <c r="L15" s="234"/>
      <c r="M15" s="234"/>
      <c r="N15" s="234"/>
      <c r="O15" s="234"/>
      <c r="P15" s="234"/>
      <c r="Q15" s="234"/>
      <c r="R15" s="234"/>
      <c r="S15" s="234"/>
      <c r="T15" s="234"/>
      <c r="U15" s="234"/>
      <c r="V15" s="234"/>
      <c r="W15" s="234"/>
      <c r="X15" s="234"/>
      <c r="Y15" s="234"/>
      <c r="Z15" s="234"/>
      <c r="AA15" s="234"/>
      <c r="AB15" s="234"/>
      <c r="AC15" s="234"/>
      <c r="AD15" s="234"/>
      <c r="AE15" s="234"/>
      <c r="AF15" s="234"/>
      <c r="AG15" s="234"/>
      <c r="AH15" s="234"/>
      <c r="AI15" s="234"/>
      <c r="AJ15" s="234"/>
      <c r="AK15" s="234"/>
      <c r="AL15" s="234"/>
      <c r="AM15" s="234"/>
      <c r="AN15" s="234"/>
      <c r="AO15" s="234"/>
      <c r="AP15" s="234"/>
      <c r="AQ15" s="234"/>
      <c r="AR15" s="234"/>
    </row>
    <row r="16" spans="1:44" ht="5.25" customHeight="1">
      <c r="A16" s="299"/>
      <c r="B16" s="328" t="s">
        <v>6</v>
      </c>
      <c r="C16" s="300"/>
      <c r="D16" s="315"/>
      <c r="E16" s="315"/>
      <c r="F16" s="315"/>
      <c r="G16" s="316" t="s">
        <v>6</v>
      </c>
      <c r="H16" s="299"/>
      <c r="I16" s="299"/>
      <c r="J16" s="300"/>
      <c r="K16" s="299"/>
      <c r="L16" s="299"/>
      <c r="M16" s="299"/>
      <c r="N16" s="299"/>
      <c r="O16" s="234"/>
      <c r="P16" s="299"/>
      <c r="Q16" s="299"/>
      <c r="R16" s="299"/>
      <c r="S16" s="299"/>
      <c r="T16" s="299"/>
      <c r="U16" s="300"/>
      <c r="V16" s="300"/>
      <c r="W16" s="300"/>
      <c r="X16" s="300"/>
      <c r="Y16" s="300"/>
      <c r="Z16" s="300"/>
      <c r="AA16" s="300"/>
      <c r="AB16" s="300"/>
      <c r="AC16" s="300"/>
      <c r="AD16" s="300"/>
      <c r="AE16" s="300"/>
      <c r="AF16" s="300"/>
      <c r="AG16" s="300"/>
      <c r="AH16" s="300"/>
      <c r="AI16" s="300"/>
      <c r="AJ16" s="300"/>
      <c r="AK16" s="300"/>
      <c r="AL16" s="300"/>
      <c r="AM16" s="300"/>
      <c r="AN16" s="300"/>
      <c r="AO16" s="300"/>
      <c r="AP16" s="300"/>
      <c r="AQ16" s="300"/>
      <c r="AR16" s="300"/>
    </row>
    <row r="17" spans="1:44" s="169" customFormat="1" ht="15" customHeight="1">
      <c r="A17" s="234"/>
      <c r="B17" s="364" t="s">
        <v>243</v>
      </c>
      <c r="C17" s="314" t="s">
        <v>203</v>
      </c>
      <c r="D17" s="315"/>
      <c r="E17" s="315"/>
      <c r="F17" s="315"/>
      <c r="G17" s="316" t="s">
        <v>6</v>
      </c>
      <c r="H17" s="234"/>
      <c r="I17" s="234"/>
      <c r="J17" s="234"/>
      <c r="K17" s="234"/>
      <c r="L17" s="234"/>
      <c r="M17" s="234"/>
      <c r="N17" s="234"/>
      <c r="O17" s="234"/>
      <c r="P17" s="234"/>
      <c r="Q17" s="234"/>
      <c r="R17" s="234"/>
      <c r="S17" s="234"/>
      <c r="T17" s="234"/>
      <c r="U17" s="234"/>
      <c r="V17" s="234"/>
      <c r="W17" s="234"/>
      <c r="X17" s="234"/>
      <c r="Y17" s="234"/>
      <c r="Z17" s="234"/>
      <c r="AA17" s="234"/>
      <c r="AB17" s="234"/>
      <c r="AC17" s="234"/>
      <c r="AD17" s="234"/>
      <c r="AE17" s="234"/>
      <c r="AF17" s="234"/>
      <c r="AG17" s="234"/>
      <c r="AH17" s="234"/>
      <c r="AI17" s="234"/>
      <c r="AJ17" s="234"/>
      <c r="AK17" s="234"/>
      <c r="AL17" s="234"/>
      <c r="AM17" s="234"/>
      <c r="AN17" s="234"/>
      <c r="AO17" s="234"/>
      <c r="AP17" s="234"/>
      <c r="AQ17" s="234"/>
      <c r="AR17" s="234"/>
    </row>
    <row r="18" spans="1:44" s="169" customFormat="1" ht="15.75">
      <c r="A18" s="234"/>
      <c r="B18" s="362"/>
      <c r="C18" s="329" t="s">
        <v>204</v>
      </c>
      <c r="D18" s="330" t="s">
        <v>6</v>
      </c>
      <c r="E18" s="331" t="s">
        <v>244</v>
      </c>
      <c r="F18" s="331" t="s">
        <v>245</v>
      </c>
      <c r="G18" s="332" t="s">
        <v>246</v>
      </c>
      <c r="H18" s="379"/>
      <c r="I18" s="379"/>
      <c r="J18" s="379"/>
      <c r="K18" s="379"/>
      <c r="L18" s="379"/>
      <c r="M18" s="234"/>
      <c r="N18" s="234"/>
      <c r="O18" s="234"/>
      <c r="P18" s="234"/>
      <c r="Q18" s="234"/>
      <c r="R18" s="234"/>
      <c r="S18" s="234"/>
      <c r="T18" s="234"/>
      <c r="U18" s="234"/>
      <c r="V18" s="234"/>
      <c r="W18" s="234"/>
      <c r="X18" s="234"/>
      <c r="Y18" s="234"/>
      <c r="Z18" s="234"/>
      <c r="AA18" s="234"/>
      <c r="AB18" s="234"/>
      <c r="AC18" s="234"/>
      <c r="AD18" s="234"/>
      <c r="AE18" s="234"/>
      <c r="AF18" s="234"/>
      <c r="AG18" s="234"/>
      <c r="AH18" s="234"/>
      <c r="AI18" s="234"/>
      <c r="AJ18" s="234"/>
      <c r="AK18" s="234"/>
      <c r="AL18" s="234"/>
      <c r="AM18" s="234"/>
      <c r="AN18" s="234"/>
      <c r="AO18" s="234"/>
      <c r="AP18" s="234"/>
      <c r="AQ18" s="234"/>
      <c r="AR18" s="234"/>
    </row>
    <row r="19" spans="1:44" s="169" customFormat="1" ht="15.75">
      <c r="A19" s="234"/>
      <c r="B19" s="362"/>
      <c r="C19" s="329" t="s">
        <v>205</v>
      </c>
      <c r="D19" s="333" t="s">
        <v>6</v>
      </c>
      <c r="E19" s="334" t="s">
        <v>247</v>
      </c>
      <c r="F19" s="334" t="s">
        <v>248</v>
      </c>
      <c r="G19" s="335" t="s">
        <v>249</v>
      </c>
      <c r="H19" s="379"/>
      <c r="I19" s="379"/>
      <c r="J19" s="379"/>
      <c r="K19" s="379"/>
      <c r="L19" s="379"/>
      <c r="M19" s="234"/>
      <c r="N19" s="234"/>
      <c r="O19" s="234"/>
      <c r="P19" s="234"/>
      <c r="Q19" s="234"/>
      <c r="R19" s="234"/>
      <c r="S19" s="234"/>
      <c r="T19" s="234"/>
      <c r="U19" s="234"/>
      <c r="V19" s="234"/>
      <c r="W19" s="234"/>
      <c r="X19" s="234"/>
      <c r="Y19" s="234"/>
      <c r="Z19" s="234"/>
      <c r="AA19" s="234"/>
      <c r="AB19" s="234"/>
      <c r="AC19" s="234"/>
      <c r="AD19" s="234"/>
      <c r="AE19" s="234"/>
      <c r="AF19" s="234"/>
      <c r="AG19" s="234"/>
      <c r="AH19" s="234"/>
      <c r="AI19" s="234"/>
      <c r="AJ19" s="234"/>
      <c r="AK19" s="234"/>
      <c r="AL19" s="234"/>
      <c r="AM19" s="234"/>
      <c r="AN19" s="234"/>
      <c r="AO19" s="234"/>
      <c r="AP19" s="234"/>
      <c r="AQ19" s="234"/>
      <c r="AR19" s="234"/>
    </row>
    <row r="20" spans="1:44" s="169" customFormat="1" ht="15.75">
      <c r="A20" s="234"/>
      <c r="B20" s="362"/>
      <c r="C20" s="329" t="s">
        <v>206</v>
      </c>
      <c r="D20" s="333" t="s">
        <v>6</v>
      </c>
      <c r="E20" s="334" t="s">
        <v>250</v>
      </c>
      <c r="F20" s="334" t="s">
        <v>251</v>
      </c>
      <c r="G20" s="335" t="s">
        <v>252</v>
      </c>
      <c r="H20" s="379"/>
      <c r="I20" s="379"/>
      <c r="J20" s="379"/>
      <c r="K20" s="379"/>
      <c r="L20" s="379"/>
      <c r="M20" s="234"/>
      <c r="N20" s="234"/>
      <c r="O20" s="234"/>
      <c r="P20" s="234"/>
      <c r="Q20" s="234"/>
      <c r="R20" s="234"/>
      <c r="S20" s="234"/>
      <c r="T20" s="234"/>
      <c r="U20" s="234"/>
      <c r="V20" s="234"/>
      <c r="W20" s="234"/>
      <c r="X20" s="234"/>
      <c r="Y20" s="234"/>
      <c r="Z20" s="234"/>
      <c r="AA20" s="234"/>
      <c r="AB20" s="234"/>
      <c r="AC20" s="234"/>
      <c r="AD20" s="234"/>
      <c r="AE20" s="234"/>
      <c r="AF20" s="234"/>
      <c r="AG20" s="234"/>
      <c r="AH20" s="234"/>
      <c r="AI20" s="234"/>
      <c r="AJ20" s="234"/>
      <c r="AK20" s="234"/>
      <c r="AL20" s="234"/>
      <c r="AM20" s="234"/>
      <c r="AN20" s="234"/>
      <c r="AO20" s="234"/>
      <c r="AP20" s="234"/>
      <c r="AQ20" s="234"/>
      <c r="AR20" s="234"/>
    </row>
    <row r="21" spans="1:44" s="169" customFormat="1" ht="15.75">
      <c r="A21" s="234"/>
      <c r="B21" s="362"/>
      <c r="C21" s="329" t="s">
        <v>207</v>
      </c>
      <c r="D21" s="333" t="s">
        <v>6</v>
      </c>
      <c r="E21" s="334" t="s">
        <v>253</v>
      </c>
      <c r="F21" s="334" t="s">
        <v>254</v>
      </c>
      <c r="G21" s="335" t="s">
        <v>255</v>
      </c>
      <c r="H21" s="379"/>
      <c r="I21" s="379"/>
      <c r="J21" s="379"/>
      <c r="K21" s="379"/>
      <c r="L21" s="379"/>
      <c r="M21" s="234"/>
      <c r="N21" s="234"/>
      <c r="O21" s="234"/>
      <c r="P21" s="234"/>
      <c r="Q21" s="234"/>
      <c r="R21" s="234"/>
      <c r="S21" s="234"/>
      <c r="T21" s="234"/>
      <c r="U21" s="234"/>
      <c r="V21" s="234"/>
      <c r="W21" s="234"/>
      <c r="X21" s="234"/>
      <c r="Y21" s="234"/>
      <c r="Z21" s="234"/>
      <c r="AA21" s="234"/>
      <c r="AB21" s="234"/>
      <c r="AC21" s="234"/>
      <c r="AD21" s="234"/>
      <c r="AE21" s="234"/>
      <c r="AF21" s="234"/>
      <c r="AG21" s="234"/>
      <c r="AH21" s="234"/>
      <c r="AI21" s="234"/>
      <c r="AJ21" s="234"/>
      <c r="AK21" s="234"/>
      <c r="AL21" s="234"/>
      <c r="AM21" s="234"/>
      <c r="AN21" s="234"/>
      <c r="AO21" s="234"/>
      <c r="AP21" s="234"/>
      <c r="AQ21" s="234"/>
      <c r="AR21" s="234"/>
    </row>
    <row r="22" spans="1:44" s="169" customFormat="1" ht="15.75">
      <c r="A22" s="234"/>
      <c r="B22" s="362"/>
      <c r="C22" s="329" t="s">
        <v>208</v>
      </c>
      <c r="D22" s="336" t="s">
        <v>6</v>
      </c>
      <c r="E22" s="337" t="s">
        <v>256</v>
      </c>
      <c r="F22" s="337" t="s">
        <v>257</v>
      </c>
      <c r="G22" s="338" t="s">
        <v>258</v>
      </c>
      <c r="H22" s="379"/>
      <c r="I22" s="379"/>
      <c r="J22" s="379"/>
      <c r="K22" s="379"/>
      <c r="L22" s="379"/>
      <c r="M22" s="234"/>
      <c r="N22" s="234"/>
      <c r="O22" s="234"/>
      <c r="P22" s="234"/>
      <c r="Q22" s="234"/>
      <c r="R22" s="234"/>
      <c r="S22" s="234"/>
      <c r="T22" s="234"/>
      <c r="U22" s="234"/>
      <c r="V22" s="234"/>
      <c r="W22" s="234"/>
      <c r="X22" s="234"/>
      <c r="Y22" s="234"/>
      <c r="Z22" s="234"/>
      <c r="AA22" s="234"/>
      <c r="AB22" s="234"/>
      <c r="AC22" s="234"/>
      <c r="AD22" s="234"/>
      <c r="AE22" s="234"/>
      <c r="AF22" s="234"/>
      <c r="AG22" s="234"/>
      <c r="AH22" s="234"/>
      <c r="AI22" s="234"/>
      <c r="AJ22" s="234"/>
      <c r="AK22" s="234"/>
      <c r="AL22" s="234"/>
      <c r="AM22" s="234"/>
      <c r="AN22" s="234"/>
      <c r="AO22" s="234"/>
      <c r="AP22" s="234"/>
      <c r="AQ22" s="234"/>
      <c r="AR22" s="234"/>
    </row>
    <row r="23" spans="1:44" ht="15">
      <c r="A23" s="299"/>
      <c r="B23" s="362"/>
      <c r="C23" s="314"/>
      <c r="D23" s="315"/>
      <c r="E23" s="315"/>
      <c r="F23" s="315"/>
      <c r="G23" s="316" t="s">
        <v>6</v>
      </c>
      <c r="H23" s="299"/>
      <c r="I23" s="299"/>
      <c r="J23" s="300"/>
      <c r="K23" s="299"/>
      <c r="L23" s="299"/>
      <c r="M23" s="299"/>
      <c r="N23" s="299"/>
      <c r="O23" s="299"/>
      <c r="P23" s="299"/>
      <c r="Q23" s="299"/>
      <c r="R23" s="299"/>
      <c r="S23" s="299"/>
      <c r="T23" s="299"/>
      <c r="U23" s="300"/>
      <c r="V23" s="300"/>
      <c r="W23" s="300"/>
      <c r="X23" s="300"/>
      <c r="Y23" s="300"/>
      <c r="Z23" s="300"/>
      <c r="AA23" s="300"/>
      <c r="AB23" s="300"/>
      <c r="AC23" s="300"/>
      <c r="AD23" s="300"/>
      <c r="AE23" s="300"/>
      <c r="AF23" s="300"/>
      <c r="AG23" s="300"/>
      <c r="AH23" s="300"/>
      <c r="AI23" s="300"/>
      <c r="AJ23" s="300"/>
      <c r="AK23" s="300"/>
      <c r="AL23" s="300"/>
      <c r="AM23" s="300"/>
      <c r="AN23" s="300"/>
      <c r="AO23" s="300"/>
      <c r="AP23" s="300"/>
      <c r="AQ23" s="300"/>
      <c r="AR23" s="300"/>
    </row>
    <row r="24" spans="1:44" s="169" customFormat="1" ht="15.75">
      <c r="A24" s="234"/>
      <c r="B24" s="362"/>
      <c r="C24" s="322" t="s">
        <v>209</v>
      </c>
      <c r="D24" s="323" t="s">
        <v>228</v>
      </c>
      <c r="E24" s="323" t="s">
        <v>259</v>
      </c>
      <c r="F24" s="323" t="s">
        <v>260</v>
      </c>
      <c r="G24" s="324" t="s">
        <v>261</v>
      </c>
      <c r="H24" s="234"/>
      <c r="I24" s="234"/>
      <c r="J24" s="234"/>
      <c r="K24" s="234"/>
      <c r="L24" s="234"/>
      <c r="M24" s="234"/>
      <c r="N24" s="234"/>
      <c r="O24" s="234"/>
      <c r="P24" s="234"/>
      <c r="Q24" s="234"/>
      <c r="R24" s="234"/>
      <c r="S24" s="234"/>
      <c r="T24" s="234"/>
      <c r="U24" s="234"/>
      <c r="V24" s="234"/>
      <c r="W24" s="234"/>
      <c r="X24" s="234"/>
      <c r="Y24" s="234"/>
      <c r="Z24" s="234"/>
      <c r="AA24" s="234"/>
      <c r="AB24" s="234"/>
      <c r="AC24" s="234"/>
      <c r="AD24" s="234"/>
      <c r="AE24" s="234"/>
      <c r="AF24" s="234"/>
      <c r="AG24" s="234"/>
      <c r="AH24" s="234"/>
      <c r="AI24" s="234"/>
      <c r="AJ24" s="234"/>
      <c r="AK24" s="234"/>
      <c r="AL24" s="234"/>
      <c r="AM24" s="234"/>
      <c r="AN24" s="234"/>
      <c r="AO24" s="234"/>
      <c r="AP24" s="234"/>
      <c r="AQ24" s="234"/>
      <c r="AR24" s="234"/>
    </row>
    <row r="25" spans="1:44" s="169" customFormat="1" ht="15.75">
      <c r="A25" s="234"/>
      <c r="B25" s="363"/>
      <c r="C25" s="325" t="s">
        <v>262</v>
      </c>
      <c r="D25" s="326" t="s">
        <v>239</v>
      </c>
      <c r="E25" s="326" t="s">
        <v>263</v>
      </c>
      <c r="F25" s="326" t="s">
        <v>264</v>
      </c>
      <c r="G25" s="326" t="s">
        <v>265</v>
      </c>
      <c r="H25" s="234"/>
      <c r="I25" s="234"/>
      <c r="J25" s="234"/>
      <c r="K25" s="234"/>
      <c r="L25" s="234"/>
      <c r="M25" s="234"/>
      <c r="N25" s="234"/>
      <c r="O25" s="234"/>
      <c r="P25" s="234"/>
      <c r="Q25" s="234"/>
      <c r="R25" s="234"/>
      <c r="S25" s="234"/>
      <c r="T25" s="234"/>
      <c r="U25" s="234"/>
      <c r="V25" s="234"/>
      <c r="W25" s="234"/>
      <c r="X25" s="234"/>
      <c r="Y25" s="234"/>
      <c r="Z25" s="234"/>
      <c r="AA25" s="234"/>
      <c r="AB25" s="234"/>
      <c r="AC25" s="234"/>
      <c r="AD25" s="234"/>
      <c r="AE25" s="234"/>
      <c r="AF25" s="234"/>
      <c r="AG25" s="234"/>
      <c r="AH25" s="234"/>
      <c r="AI25" s="234"/>
      <c r="AJ25" s="234"/>
      <c r="AK25" s="234"/>
      <c r="AL25" s="234"/>
      <c r="AM25" s="234"/>
      <c r="AN25" s="234"/>
      <c r="AO25" s="234"/>
      <c r="AP25" s="234"/>
      <c r="AQ25" s="234"/>
      <c r="AR25" s="234"/>
    </row>
    <row r="26" spans="1:44" ht="4.5" customHeight="1">
      <c r="A26" s="299"/>
      <c r="B26" s="328" t="s">
        <v>6</v>
      </c>
      <c r="C26" s="300"/>
      <c r="D26" s="315"/>
      <c r="E26" s="315"/>
      <c r="F26" s="315"/>
      <c r="G26" s="316" t="s">
        <v>6</v>
      </c>
      <c r="H26" s="234"/>
      <c r="I26" s="300"/>
      <c r="J26" s="300"/>
      <c r="K26" s="300"/>
      <c r="L26" s="300"/>
      <c r="M26" s="300"/>
      <c r="N26" s="300"/>
      <c r="O26" s="300"/>
      <c r="P26" s="300"/>
      <c r="Q26" s="300"/>
      <c r="R26" s="300"/>
      <c r="S26" s="300"/>
      <c r="T26" s="300"/>
      <c r="U26" s="300"/>
      <c r="V26" s="300"/>
      <c r="W26" s="300"/>
      <c r="X26" s="300"/>
      <c r="Y26" s="300"/>
      <c r="Z26" s="300"/>
      <c r="AA26" s="300"/>
      <c r="AB26" s="300"/>
      <c r="AC26" s="300"/>
      <c r="AD26" s="300"/>
      <c r="AE26" s="300"/>
      <c r="AF26" s="300"/>
      <c r="AG26" s="300"/>
      <c r="AH26" s="300"/>
      <c r="AI26" s="299"/>
      <c r="AJ26" s="299"/>
      <c r="AK26" s="299"/>
      <c r="AL26" s="299"/>
      <c r="AM26" s="299"/>
      <c r="AN26" s="299"/>
      <c r="AO26" s="299"/>
      <c r="AP26" s="299"/>
      <c r="AQ26" s="299"/>
      <c r="AR26" s="299"/>
    </row>
    <row r="27" spans="1:44" s="169" customFormat="1" ht="15.75">
      <c r="A27" s="234"/>
      <c r="B27" s="365" t="s">
        <v>266</v>
      </c>
      <c r="C27" s="317" t="s">
        <v>212</v>
      </c>
      <c r="D27" s="339" t="s">
        <v>228</v>
      </c>
      <c r="E27" s="339" t="s">
        <v>267</v>
      </c>
      <c r="F27" s="339" t="s">
        <v>268</v>
      </c>
      <c r="G27" s="340" t="s">
        <v>269</v>
      </c>
      <c r="H27" s="234"/>
      <c r="I27" s="300"/>
      <c r="J27" s="234"/>
      <c r="K27" s="234"/>
      <c r="L27" s="234"/>
      <c r="M27" s="234"/>
      <c r="N27" s="234"/>
      <c r="O27" s="234"/>
      <c r="P27" s="234"/>
      <c r="Q27" s="234"/>
      <c r="R27" s="234"/>
      <c r="S27" s="234"/>
      <c r="T27" s="234"/>
      <c r="U27" s="234"/>
      <c r="V27" s="234"/>
      <c r="W27" s="234"/>
      <c r="X27" s="234"/>
      <c r="Y27" s="234"/>
      <c r="Z27" s="234"/>
      <c r="AA27" s="234"/>
      <c r="AB27" s="234"/>
      <c r="AC27" s="234"/>
      <c r="AD27" s="234"/>
      <c r="AE27" s="234"/>
      <c r="AF27" s="234"/>
      <c r="AG27" s="234"/>
      <c r="AH27" s="234"/>
      <c r="AI27" s="234"/>
      <c r="AJ27" s="234"/>
      <c r="AK27" s="234"/>
      <c r="AL27" s="234"/>
      <c r="AM27" s="234"/>
      <c r="AN27" s="234"/>
      <c r="AO27" s="234"/>
      <c r="AP27" s="234"/>
      <c r="AQ27" s="234"/>
      <c r="AR27" s="234"/>
    </row>
    <row r="28" spans="1:44" s="169" customFormat="1" ht="6.75" customHeight="1">
      <c r="A28" s="234"/>
      <c r="B28" s="366"/>
      <c r="C28" s="317"/>
      <c r="D28" s="339"/>
      <c r="E28" s="339"/>
      <c r="F28" s="339"/>
      <c r="G28" s="341" t="s">
        <v>6</v>
      </c>
      <c r="H28" s="234"/>
      <c r="I28" s="300"/>
      <c r="J28" s="234"/>
      <c r="K28" s="234"/>
      <c r="L28" s="234"/>
      <c r="M28" s="234"/>
      <c r="N28" s="234"/>
      <c r="O28" s="234"/>
      <c r="P28" s="234"/>
      <c r="Q28" s="234"/>
      <c r="R28" s="234"/>
      <c r="S28" s="234"/>
      <c r="T28" s="234"/>
      <c r="U28" s="234"/>
      <c r="V28" s="234"/>
      <c r="W28" s="234"/>
      <c r="X28" s="234"/>
      <c r="Y28" s="234"/>
      <c r="Z28" s="234"/>
      <c r="AA28" s="234"/>
      <c r="AB28" s="234"/>
      <c r="AC28" s="234"/>
      <c r="AD28" s="234"/>
      <c r="AE28" s="234"/>
      <c r="AF28" s="234"/>
      <c r="AG28" s="234"/>
      <c r="AH28" s="234"/>
      <c r="AI28" s="234"/>
      <c r="AJ28" s="234"/>
      <c r="AK28" s="234"/>
      <c r="AL28" s="234"/>
      <c r="AM28" s="234"/>
      <c r="AN28" s="234"/>
      <c r="AO28" s="234"/>
      <c r="AP28" s="234"/>
      <c r="AQ28" s="234"/>
      <c r="AR28" s="234"/>
    </row>
    <row r="29" spans="1:44" s="169" customFormat="1" ht="15.75">
      <c r="A29" s="234"/>
      <c r="B29" s="366"/>
      <c r="C29" s="342" t="s">
        <v>213</v>
      </c>
      <c r="D29" s="315"/>
      <c r="E29" s="315"/>
      <c r="F29" s="315"/>
      <c r="G29" s="316" t="s">
        <v>6</v>
      </c>
      <c r="H29" s="234"/>
      <c r="I29" s="300"/>
      <c r="J29" s="234"/>
      <c r="K29" s="234"/>
      <c r="L29" s="234"/>
      <c r="M29" s="234"/>
      <c r="N29" s="234"/>
      <c r="O29" s="234"/>
      <c r="P29" s="234"/>
      <c r="Q29" s="234"/>
      <c r="R29" s="234"/>
      <c r="S29" s="234"/>
      <c r="T29" s="234"/>
      <c r="U29" s="234"/>
      <c r="V29" s="234"/>
      <c r="W29" s="234"/>
      <c r="X29" s="234"/>
      <c r="Y29" s="234"/>
      <c r="Z29" s="234"/>
      <c r="AA29" s="234"/>
      <c r="AB29" s="234"/>
      <c r="AC29" s="234"/>
      <c r="AD29" s="234"/>
      <c r="AE29" s="234"/>
      <c r="AF29" s="234"/>
      <c r="AG29" s="234"/>
      <c r="AH29" s="234"/>
      <c r="AI29" s="234"/>
      <c r="AJ29" s="234"/>
      <c r="AK29" s="234"/>
      <c r="AL29" s="234"/>
      <c r="AM29" s="234"/>
      <c r="AN29" s="234"/>
      <c r="AO29" s="234"/>
      <c r="AP29" s="234"/>
      <c r="AQ29" s="234"/>
      <c r="AR29" s="234"/>
    </row>
    <row r="30" spans="1:44" s="169" customFormat="1" ht="15.75">
      <c r="A30" s="234"/>
      <c r="B30" s="366"/>
      <c r="C30" s="315" t="s">
        <v>214</v>
      </c>
      <c r="D30" s="330" t="s">
        <v>6</v>
      </c>
      <c r="E30" s="331" t="s">
        <v>270</v>
      </c>
      <c r="F30" s="331" t="s">
        <v>271</v>
      </c>
      <c r="G30" s="332" t="s">
        <v>272</v>
      </c>
      <c r="H30" s="234"/>
      <c r="I30" s="300"/>
      <c r="J30" s="234"/>
      <c r="K30" s="234"/>
      <c r="L30" s="234"/>
      <c r="M30" s="234"/>
      <c r="N30" s="234"/>
      <c r="O30" s="234"/>
      <c r="P30" s="234"/>
      <c r="Q30" s="234"/>
      <c r="R30" s="234"/>
      <c r="S30" s="234"/>
      <c r="T30" s="234"/>
      <c r="U30" s="234"/>
      <c r="V30" s="234"/>
      <c r="W30" s="234"/>
      <c r="X30" s="234"/>
      <c r="Y30" s="234"/>
      <c r="Z30" s="234"/>
      <c r="AA30" s="234"/>
      <c r="AB30" s="234"/>
      <c r="AC30" s="234"/>
      <c r="AD30" s="234"/>
      <c r="AE30" s="234"/>
      <c r="AF30" s="234"/>
      <c r="AG30" s="234"/>
      <c r="AH30" s="234"/>
      <c r="AI30" s="234"/>
      <c r="AJ30" s="234"/>
      <c r="AK30" s="234"/>
      <c r="AL30" s="234"/>
      <c r="AM30" s="234"/>
      <c r="AN30" s="234"/>
      <c r="AO30" s="234"/>
      <c r="AP30" s="234"/>
      <c r="AQ30" s="234"/>
      <c r="AR30" s="234"/>
    </row>
    <row r="31" spans="1:44" s="169" customFormat="1" ht="15.75">
      <c r="A31" s="234"/>
      <c r="B31" s="366"/>
      <c r="C31" s="315" t="s">
        <v>215</v>
      </c>
      <c r="D31" s="333" t="s">
        <v>6</v>
      </c>
      <c r="E31" s="334">
        <v>360.85300000000001</v>
      </c>
      <c r="F31" s="334" t="s">
        <v>273</v>
      </c>
      <c r="G31" s="335" t="s">
        <v>274</v>
      </c>
      <c r="H31" s="234"/>
      <c r="I31" s="300"/>
      <c r="J31" s="234"/>
      <c r="K31" s="234"/>
      <c r="L31" s="234"/>
      <c r="M31" s="234"/>
      <c r="N31" s="234"/>
      <c r="O31" s="234"/>
      <c r="P31" s="234"/>
      <c r="Q31" s="234"/>
      <c r="R31" s="234"/>
      <c r="S31" s="234"/>
      <c r="T31" s="234"/>
      <c r="U31" s="234"/>
      <c r="V31" s="234"/>
      <c r="W31" s="234"/>
      <c r="X31" s="234"/>
      <c r="Y31" s="234"/>
      <c r="Z31" s="234"/>
      <c r="AA31" s="234"/>
      <c r="AB31" s="234"/>
      <c r="AC31" s="234"/>
      <c r="AD31" s="234"/>
      <c r="AE31" s="234"/>
      <c r="AF31" s="234"/>
      <c r="AG31" s="234"/>
      <c r="AH31" s="234"/>
      <c r="AI31" s="234"/>
      <c r="AJ31" s="234"/>
      <c r="AK31" s="234"/>
      <c r="AL31" s="234"/>
      <c r="AM31" s="234"/>
      <c r="AN31" s="234"/>
      <c r="AO31" s="234"/>
      <c r="AP31" s="234"/>
      <c r="AQ31" s="234"/>
      <c r="AR31" s="234"/>
    </row>
    <row r="32" spans="1:44" ht="4.5" customHeight="1">
      <c r="A32" s="299"/>
      <c r="B32" s="366"/>
      <c r="C32" s="315"/>
      <c r="D32" s="315"/>
      <c r="E32" s="315"/>
      <c r="F32" s="315"/>
      <c r="G32" s="316" t="s">
        <v>6</v>
      </c>
      <c r="H32" s="234"/>
      <c r="I32" s="300"/>
      <c r="J32" s="300"/>
      <c r="K32" s="300"/>
      <c r="L32" s="300"/>
      <c r="M32" s="300"/>
      <c r="N32" s="300"/>
      <c r="O32" s="300"/>
      <c r="P32" s="300"/>
      <c r="Q32" s="300"/>
      <c r="R32" s="300"/>
      <c r="S32" s="300"/>
      <c r="T32" s="300"/>
      <c r="U32" s="300"/>
      <c r="V32" s="300"/>
      <c r="W32" s="300"/>
      <c r="X32" s="300"/>
      <c r="Y32" s="300"/>
      <c r="Z32" s="300"/>
      <c r="AA32" s="300"/>
      <c r="AB32" s="300"/>
      <c r="AC32" s="300"/>
      <c r="AD32" s="300"/>
      <c r="AE32" s="300"/>
      <c r="AF32" s="300"/>
      <c r="AG32" s="300"/>
      <c r="AH32" s="300"/>
      <c r="AI32" s="299"/>
      <c r="AJ32" s="299"/>
      <c r="AK32" s="299"/>
      <c r="AL32" s="299"/>
      <c r="AM32" s="299"/>
      <c r="AN32" s="299"/>
      <c r="AO32" s="299"/>
      <c r="AP32" s="299"/>
      <c r="AQ32" s="299"/>
      <c r="AR32" s="299"/>
    </row>
    <row r="33" spans="1:44" s="169" customFormat="1" ht="15.75">
      <c r="A33" s="234"/>
      <c r="B33" s="366"/>
      <c r="C33" s="315" t="s">
        <v>216</v>
      </c>
      <c r="D33" s="330" t="s">
        <v>6</v>
      </c>
      <c r="E33" s="331" t="s">
        <v>275</v>
      </c>
      <c r="F33" s="331" t="s">
        <v>276</v>
      </c>
      <c r="G33" s="331" t="s">
        <v>277</v>
      </c>
      <c r="H33" s="234"/>
      <c r="I33" s="300"/>
      <c r="J33" s="234"/>
      <c r="K33" s="234"/>
      <c r="L33" s="234"/>
      <c r="M33" s="234"/>
      <c r="N33" s="234"/>
      <c r="O33" s="234"/>
      <c r="P33" s="234"/>
      <c r="Q33" s="234"/>
      <c r="R33" s="234"/>
      <c r="S33" s="234"/>
      <c r="T33" s="234"/>
      <c r="U33" s="234"/>
      <c r="V33" s="234"/>
      <c r="W33" s="234"/>
      <c r="X33" s="234"/>
      <c r="Y33" s="234"/>
      <c r="Z33" s="234"/>
      <c r="AA33" s="234"/>
      <c r="AB33" s="234"/>
      <c r="AC33" s="234"/>
      <c r="AD33" s="234"/>
      <c r="AE33" s="234"/>
      <c r="AF33" s="234"/>
      <c r="AG33" s="234"/>
      <c r="AH33" s="234"/>
      <c r="AI33" s="234"/>
      <c r="AJ33" s="234"/>
      <c r="AK33" s="234"/>
      <c r="AL33" s="234"/>
      <c r="AM33" s="234"/>
      <c r="AN33" s="234"/>
      <c r="AO33" s="234"/>
      <c r="AP33" s="234"/>
      <c r="AQ33" s="234"/>
      <c r="AR33" s="234"/>
    </row>
    <row r="34" spans="1:44" ht="7.5" customHeight="1">
      <c r="A34" s="299"/>
      <c r="B34" s="366"/>
      <c r="C34" s="315"/>
      <c r="D34" s="315"/>
      <c r="E34" s="315"/>
      <c r="F34" s="315"/>
      <c r="G34" s="316" t="s">
        <v>6</v>
      </c>
      <c r="H34" s="234"/>
      <c r="I34" s="300"/>
      <c r="J34" s="300"/>
      <c r="K34" s="300"/>
      <c r="L34" s="300"/>
      <c r="M34" s="300"/>
      <c r="N34" s="300"/>
      <c r="O34" s="300"/>
      <c r="P34" s="300"/>
      <c r="Q34" s="300"/>
      <c r="R34" s="300"/>
      <c r="S34" s="300"/>
      <c r="T34" s="300"/>
      <c r="U34" s="300"/>
      <c r="V34" s="300"/>
      <c r="W34" s="300"/>
      <c r="X34" s="300"/>
      <c r="Y34" s="300"/>
      <c r="Z34" s="300"/>
      <c r="AA34" s="300"/>
      <c r="AB34" s="300"/>
      <c r="AC34" s="300"/>
      <c r="AD34" s="300"/>
      <c r="AE34" s="300"/>
      <c r="AF34" s="300"/>
      <c r="AG34" s="300"/>
      <c r="AH34" s="300"/>
      <c r="AI34" s="299"/>
      <c r="AJ34" s="299"/>
      <c r="AK34" s="299"/>
      <c r="AL34" s="299"/>
      <c r="AM34" s="299"/>
      <c r="AN34" s="299"/>
      <c r="AO34" s="299"/>
      <c r="AP34" s="299"/>
      <c r="AQ34" s="299"/>
      <c r="AR34" s="299"/>
    </row>
    <row r="35" spans="1:44" s="169" customFormat="1" ht="15.75">
      <c r="A35" s="234"/>
      <c r="B35" s="366"/>
      <c r="C35" s="317" t="s">
        <v>217</v>
      </c>
      <c r="D35" s="343" t="s">
        <v>278</v>
      </c>
      <c r="E35" s="343" t="s">
        <v>279</v>
      </c>
      <c r="F35" s="343" t="s">
        <v>280</v>
      </c>
      <c r="G35" s="344" t="s">
        <v>281</v>
      </c>
      <c r="H35" s="234"/>
      <c r="I35" s="234"/>
      <c r="J35" s="234"/>
      <c r="K35" s="234"/>
      <c r="L35" s="234"/>
      <c r="M35" s="234"/>
      <c r="N35" s="234"/>
      <c r="O35" s="234"/>
      <c r="P35" s="234"/>
      <c r="Q35" s="234"/>
      <c r="R35" s="234"/>
      <c r="S35" s="234"/>
      <c r="T35" s="234"/>
      <c r="U35" s="234"/>
      <c r="V35" s="234"/>
      <c r="W35" s="234"/>
      <c r="X35" s="234"/>
      <c r="Y35" s="234"/>
      <c r="Z35" s="234"/>
      <c r="AA35" s="234"/>
      <c r="AB35" s="234"/>
      <c r="AC35" s="234"/>
      <c r="AD35" s="234"/>
      <c r="AE35" s="234"/>
      <c r="AF35" s="234"/>
      <c r="AG35" s="234"/>
      <c r="AH35" s="234"/>
      <c r="AI35" s="234"/>
      <c r="AJ35" s="234"/>
      <c r="AK35" s="234"/>
      <c r="AL35" s="234"/>
      <c r="AM35" s="234"/>
      <c r="AN35" s="234"/>
      <c r="AO35" s="234"/>
      <c r="AP35" s="234"/>
      <c r="AQ35" s="234"/>
      <c r="AR35" s="234"/>
    </row>
    <row r="36" spans="1:44" s="169" customFormat="1" ht="15.75">
      <c r="A36" s="234"/>
      <c r="B36" s="366"/>
      <c r="C36" s="318" t="s">
        <v>218</v>
      </c>
      <c r="D36" s="318"/>
      <c r="E36" s="318" t="s">
        <v>282</v>
      </c>
      <c r="F36" s="318" t="s">
        <v>283</v>
      </c>
      <c r="G36" s="320" t="s">
        <v>284</v>
      </c>
      <c r="H36" s="234"/>
      <c r="I36" s="300"/>
      <c r="J36" s="234"/>
      <c r="K36" s="234"/>
      <c r="L36" s="234"/>
      <c r="M36" s="234"/>
      <c r="N36" s="234"/>
      <c r="O36" s="234"/>
      <c r="P36" s="234"/>
      <c r="Q36" s="234"/>
      <c r="R36" s="234"/>
      <c r="S36" s="234"/>
      <c r="T36" s="234"/>
      <c r="U36" s="234"/>
      <c r="V36" s="234"/>
      <c r="W36" s="234"/>
      <c r="X36" s="234"/>
      <c r="Y36" s="234"/>
      <c r="Z36" s="234"/>
      <c r="AA36" s="234"/>
      <c r="AB36" s="234"/>
      <c r="AC36" s="234"/>
      <c r="AD36" s="234"/>
      <c r="AE36" s="234"/>
      <c r="AF36" s="234"/>
      <c r="AG36" s="234"/>
      <c r="AH36" s="234"/>
      <c r="AI36" s="234"/>
      <c r="AJ36" s="234"/>
      <c r="AK36" s="234"/>
      <c r="AL36" s="234"/>
      <c r="AM36" s="234"/>
      <c r="AN36" s="234"/>
      <c r="AO36" s="234"/>
      <c r="AP36" s="234"/>
      <c r="AQ36" s="234"/>
      <c r="AR36" s="234"/>
    </row>
    <row r="37" spans="1:44" s="169" customFormat="1" ht="15.75">
      <c r="A37" s="234"/>
      <c r="B37" s="367"/>
      <c r="C37" s="345" t="s">
        <v>219</v>
      </c>
      <c r="D37" s="345" t="s">
        <v>6</v>
      </c>
      <c r="E37" s="345" t="s">
        <v>285</v>
      </c>
      <c r="F37" s="345" t="s">
        <v>286</v>
      </c>
      <c r="G37" s="346" t="s">
        <v>287</v>
      </c>
      <c r="H37" s="234"/>
      <c r="I37" s="300"/>
      <c r="J37" s="234"/>
      <c r="K37" s="234"/>
      <c r="L37" s="234"/>
      <c r="M37" s="234"/>
      <c r="N37" s="234"/>
      <c r="O37" s="234"/>
      <c r="P37" s="234"/>
      <c r="Q37" s="234"/>
      <c r="R37" s="234"/>
      <c r="S37" s="234"/>
      <c r="T37" s="234"/>
      <c r="U37" s="234"/>
      <c r="V37" s="234"/>
      <c r="W37" s="234"/>
      <c r="X37" s="234"/>
      <c r="Y37" s="234"/>
      <c r="Z37" s="234"/>
      <c r="AA37" s="234"/>
      <c r="AB37" s="234"/>
      <c r="AC37" s="234"/>
      <c r="AD37" s="234"/>
      <c r="AE37" s="234"/>
      <c r="AF37" s="234"/>
      <c r="AG37" s="234"/>
      <c r="AH37" s="234"/>
      <c r="AI37" s="234"/>
      <c r="AJ37" s="234"/>
      <c r="AK37" s="234"/>
      <c r="AL37" s="234"/>
      <c r="AM37" s="234"/>
      <c r="AN37" s="234"/>
      <c r="AO37" s="234"/>
      <c r="AP37" s="234"/>
      <c r="AQ37" s="234"/>
      <c r="AR37" s="234"/>
    </row>
    <row r="38" spans="1:44" ht="5.25" customHeight="1">
      <c r="A38" s="299"/>
      <c r="B38" s="328" t="s">
        <v>6</v>
      </c>
      <c r="C38" s="300"/>
      <c r="D38" s="234"/>
      <c r="E38" s="234"/>
      <c r="F38" s="234"/>
      <c r="G38" s="347" t="s">
        <v>6</v>
      </c>
      <c r="H38" s="299"/>
      <c r="I38" s="299"/>
      <c r="J38" s="300"/>
      <c r="K38" s="299"/>
      <c r="L38" s="299"/>
      <c r="M38" s="299"/>
      <c r="N38" s="299"/>
      <c r="O38" s="299"/>
      <c r="P38" s="299"/>
      <c r="Q38" s="299"/>
      <c r="R38" s="299"/>
      <c r="S38" s="299"/>
      <c r="T38" s="299"/>
      <c r="U38" s="300"/>
      <c r="V38" s="300"/>
      <c r="W38" s="300"/>
      <c r="X38" s="300"/>
      <c r="Y38" s="300"/>
      <c r="Z38" s="300"/>
      <c r="AA38" s="300"/>
      <c r="AB38" s="300"/>
      <c r="AC38" s="300"/>
      <c r="AD38" s="300"/>
      <c r="AE38" s="300"/>
      <c r="AF38" s="300"/>
      <c r="AG38" s="300"/>
      <c r="AH38" s="300"/>
      <c r="AI38" s="300"/>
      <c r="AJ38" s="300"/>
      <c r="AK38" s="300"/>
      <c r="AL38" s="300"/>
      <c r="AM38" s="300"/>
      <c r="AN38" s="300"/>
      <c r="AO38" s="300"/>
      <c r="AP38" s="300"/>
      <c r="AQ38" s="300"/>
      <c r="AR38" s="300"/>
    </row>
    <row r="39" spans="1:44" ht="15" customHeight="1">
      <c r="A39" s="299"/>
      <c r="B39" s="366" t="s">
        <v>288</v>
      </c>
      <c r="C39" s="300"/>
      <c r="D39" s="234"/>
      <c r="E39" s="234"/>
      <c r="F39" s="234"/>
      <c r="G39" s="347" t="s">
        <v>6</v>
      </c>
      <c r="H39" s="299"/>
      <c r="I39" s="299"/>
      <c r="J39" s="300"/>
      <c r="K39" s="299"/>
      <c r="L39" s="299"/>
      <c r="M39" s="299"/>
      <c r="N39" s="299"/>
      <c r="O39" s="299"/>
      <c r="P39" s="299"/>
      <c r="Q39" s="299"/>
      <c r="R39" s="299"/>
      <c r="S39" s="299"/>
      <c r="T39" s="299"/>
      <c r="U39" s="300"/>
      <c r="V39" s="300"/>
      <c r="W39" s="300"/>
      <c r="X39" s="300"/>
      <c r="Y39" s="300"/>
      <c r="Z39" s="300"/>
      <c r="AA39" s="300"/>
      <c r="AB39" s="300"/>
      <c r="AC39" s="300"/>
      <c r="AD39" s="300"/>
      <c r="AE39" s="300"/>
      <c r="AF39" s="300"/>
      <c r="AG39" s="300"/>
      <c r="AH39" s="300"/>
      <c r="AI39" s="300"/>
      <c r="AJ39" s="300"/>
      <c r="AK39" s="300"/>
      <c r="AL39" s="300"/>
      <c r="AM39" s="300"/>
      <c r="AN39" s="300"/>
      <c r="AO39" s="300"/>
      <c r="AP39" s="300"/>
      <c r="AQ39" s="300"/>
      <c r="AR39" s="300"/>
    </row>
    <row r="40" spans="1:44" ht="15.75">
      <c r="A40" s="299"/>
      <c r="B40" s="366"/>
      <c r="C40" s="300"/>
      <c r="D40" s="234"/>
      <c r="E40" s="234"/>
      <c r="F40" s="234"/>
      <c r="G40" s="347" t="s">
        <v>6</v>
      </c>
      <c r="H40" s="299"/>
      <c r="I40" s="299"/>
      <c r="J40" s="300"/>
      <c r="K40" s="299"/>
      <c r="L40" s="299"/>
      <c r="M40" s="299"/>
      <c r="N40" s="299"/>
      <c r="O40" s="299"/>
      <c r="P40" s="299"/>
      <c r="Q40" s="299"/>
      <c r="R40" s="299"/>
      <c r="S40" s="299"/>
      <c r="T40" s="299"/>
      <c r="U40" s="300"/>
      <c r="V40" s="300"/>
      <c r="W40" s="300"/>
      <c r="X40" s="300"/>
      <c r="Y40" s="300"/>
      <c r="Z40" s="300"/>
      <c r="AA40" s="300"/>
      <c r="AB40" s="300"/>
      <c r="AC40" s="300"/>
      <c r="AD40" s="300"/>
      <c r="AE40" s="300"/>
      <c r="AF40" s="300"/>
      <c r="AG40" s="300"/>
      <c r="AH40" s="300"/>
      <c r="AI40" s="300"/>
      <c r="AJ40" s="300"/>
      <c r="AK40" s="300"/>
      <c r="AL40" s="300"/>
      <c r="AM40" s="300"/>
      <c r="AN40" s="300"/>
      <c r="AO40" s="300"/>
      <c r="AP40" s="300"/>
      <c r="AQ40" s="300"/>
      <c r="AR40" s="300"/>
    </row>
    <row r="41" spans="1:44" ht="15.75">
      <c r="A41" s="299"/>
      <c r="B41" s="366"/>
      <c r="C41" s="300"/>
      <c r="D41" s="234"/>
      <c r="E41" s="234"/>
      <c r="F41" s="234"/>
      <c r="G41" s="347" t="s">
        <v>6</v>
      </c>
      <c r="H41" s="299"/>
      <c r="I41" s="299"/>
      <c r="J41" s="300"/>
      <c r="K41" s="299"/>
      <c r="L41" s="299"/>
      <c r="M41" s="299"/>
      <c r="N41" s="299"/>
      <c r="O41" s="299"/>
      <c r="P41" s="299"/>
      <c r="Q41" s="299"/>
      <c r="R41" s="299"/>
      <c r="S41" s="299"/>
      <c r="T41" s="299"/>
      <c r="U41" s="300"/>
      <c r="V41" s="300"/>
      <c r="W41" s="300"/>
      <c r="X41" s="300"/>
      <c r="Y41" s="300"/>
      <c r="Z41" s="300"/>
      <c r="AA41" s="300"/>
      <c r="AB41" s="300"/>
      <c r="AC41" s="300"/>
      <c r="AD41" s="300"/>
      <c r="AE41" s="300"/>
      <c r="AF41" s="300"/>
      <c r="AG41" s="300"/>
      <c r="AH41" s="300"/>
      <c r="AI41" s="300"/>
      <c r="AJ41" s="300"/>
      <c r="AK41" s="300"/>
      <c r="AL41" s="300"/>
      <c r="AM41" s="300"/>
      <c r="AN41" s="300"/>
      <c r="AO41" s="300"/>
      <c r="AP41" s="300"/>
      <c r="AQ41" s="300"/>
      <c r="AR41" s="300"/>
    </row>
    <row r="42" spans="1:44" ht="15.75">
      <c r="A42" s="299"/>
      <c r="B42" s="366"/>
      <c r="C42" s="300"/>
      <c r="D42" s="234"/>
      <c r="E42" s="234"/>
      <c r="F42" s="234"/>
      <c r="G42" s="347" t="s">
        <v>6</v>
      </c>
      <c r="H42" s="299"/>
      <c r="I42" s="299"/>
      <c r="J42" s="300"/>
      <c r="K42" s="299"/>
      <c r="L42" s="299"/>
      <c r="M42" s="299"/>
      <c r="N42" s="299"/>
      <c r="O42" s="299"/>
      <c r="P42" s="299"/>
      <c r="Q42" s="299"/>
      <c r="R42" s="299"/>
      <c r="S42" s="299"/>
      <c r="T42" s="299"/>
      <c r="U42" s="300"/>
      <c r="V42" s="300"/>
      <c r="W42" s="300"/>
      <c r="X42" s="300"/>
      <c r="Y42" s="300"/>
      <c r="Z42" s="300"/>
      <c r="AA42" s="300"/>
      <c r="AB42" s="300"/>
      <c r="AC42" s="300"/>
      <c r="AD42" s="300"/>
      <c r="AE42" s="300"/>
      <c r="AF42" s="300"/>
      <c r="AG42" s="300"/>
      <c r="AH42" s="300"/>
      <c r="AI42" s="300"/>
      <c r="AJ42" s="300"/>
      <c r="AK42" s="300"/>
      <c r="AL42" s="300"/>
      <c r="AM42" s="300"/>
      <c r="AN42" s="300"/>
      <c r="AO42" s="300"/>
      <c r="AP42" s="300"/>
      <c r="AQ42" s="300"/>
      <c r="AR42" s="300"/>
    </row>
    <row r="43" spans="1:44" ht="15.75">
      <c r="A43" s="299"/>
      <c r="B43" s="366"/>
      <c r="C43" s="300"/>
      <c r="D43" s="234"/>
      <c r="E43" s="234"/>
      <c r="F43" s="234"/>
      <c r="G43" s="347" t="s">
        <v>6</v>
      </c>
      <c r="H43" s="299"/>
      <c r="I43" s="299"/>
      <c r="J43" s="300"/>
      <c r="K43" s="299"/>
      <c r="L43" s="299"/>
      <c r="M43" s="299"/>
      <c r="N43" s="299"/>
      <c r="O43" s="299"/>
      <c r="P43" s="299"/>
      <c r="Q43" s="299"/>
      <c r="R43" s="299"/>
      <c r="S43" s="299"/>
      <c r="T43" s="299"/>
      <c r="U43" s="300"/>
      <c r="V43" s="300"/>
      <c r="W43" s="300"/>
      <c r="X43" s="300"/>
      <c r="Y43" s="300"/>
      <c r="Z43" s="300"/>
      <c r="AA43" s="300"/>
      <c r="AB43" s="300"/>
      <c r="AC43" s="300"/>
      <c r="AD43" s="300"/>
      <c r="AE43" s="300"/>
      <c r="AF43" s="300"/>
      <c r="AG43" s="300"/>
      <c r="AH43" s="300"/>
      <c r="AI43" s="300"/>
      <c r="AJ43" s="300"/>
      <c r="AK43" s="300"/>
      <c r="AL43" s="300"/>
      <c r="AM43" s="300"/>
      <c r="AN43" s="300"/>
      <c r="AO43" s="300"/>
      <c r="AP43" s="300"/>
      <c r="AQ43" s="300"/>
      <c r="AR43" s="300"/>
    </row>
    <row r="44" spans="1:44" ht="15.75">
      <c r="A44" s="299"/>
      <c r="B44" s="366"/>
      <c r="C44" s="300"/>
      <c r="D44" s="234"/>
      <c r="E44" s="234"/>
      <c r="F44" s="234"/>
      <c r="G44" s="347" t="s">
        <v>6</v>
      </c>
      <c r="H44" s="299"/>
      <c r="I44" s="299"/>
      <c r="J44" s="300"/>
      <c r="K44" s="299"/>
      <c r="L44" s="299"/>
      <c r="M44" s="299"/>
      <c r="N44" s="299"/>
      <c r="O44" s="299"/>
      <c r="P44" s="299"/>
      <c r="Q44" s="299"/>
      <c r="R44" s="299"/>
      <c r="S44" s="299"/>
      <c r="T44" s="299"/>
      <c r="U44" s="300"/>
      <c r="V44" s="300"/>
      <c r="W44" s="300"/>
      <c r="X44" s="300"/>
      <c r="Y44" s="300"/>
      <c r="Z44" s="300"/>
      <c r="AA44" s="300"/>
      <c r="AB44" s="300"/>
      <c r="AC44" s="300"/>
      <c r="AD44" s="300"/>
      <c r="AE44" s="300"/>
      <c r="AF44" s="300"/>
      <c r="AG44" s="300"/>
      <c r="AH44" s="300"/>
      <c r="AI44" s="300"/>
      <c r="AJ44" s="300"/>
      <c r="AK44" s="300"/>
      <c r="AL44" s="300"/>
      <c r="AM44" s="300"/>
      <c r="AN44" s="300"/>
      <c r="AO44" s="300"/>
      <c r="AP44" s="300"/>
      <c r="AQ44" s="300"/>
      <c r="AR44" s="300"/>
    </row>
    <row r="45" spans="1:44" ht="15.75">
      <c r="A45" s="299"/>
      <c r="B45" s="366"/>
      <c r="C45" s="300"/>
      <c r="D45" s="234"/>
      <c r="E45" s="234"/>
      <c r="F45" s="234"/>
      <c r="G45" s="347" t="s">
        <v>6</v>
      </c>
      <c r="H45" s="299"/>
      <c r="I45" s="299"/>
      <c r="J45" s="300"/>
      <c r="K45" s="299"/>
      <c r="L45" s="299"/>
      <c r="M45" s="299"/>
      <c r="N45" s="299"/>
      <c r="O45" s="299"/>
      <c r="P45" s="299"/>
      <c r="Q45" s="299"/>
      <c r="R45" s="299"/>
      <c r="S45" s="299"/>
      <c r="T45" s="299"/>
      <c r="U45" s="300"/>
      <c r="V45" s="300"/>
      <c r="W45" s="300"/>
      <c r="X45" s="300"/>
      <c r="Y45" s="300"/>
      <c r="Z45" s="300"/>
      <c r="AA45" s="300"/>
      <c r="AB45" s="300"/>
      <c r="AC45" s="300"/>
      <c r="AD45" s="300"/>
      <c r="AE45" s="300"/>
      <c r="AF45" s="300"/>
      <c r="AG45" s="300"/>
      <c r="AH45" s="300"/>
      <c r="AI45" s="300"/>
      <c r="AJ45" s="300"/>
      <c r="AK45" s="300"/>
      <c r="AL45" s="300"/>
      <c r="AM45" s="300"/>
      <c r="AN45" s="300"/>
      <c r="AO45" s="300"/>
      <c r="AP45" s="300"/>
      <c r="AQ45" s="300"/>
      <c r="AR45" s="300"/>
    </row>
    <row r="46" spans="1:44" ht="15.75">
      <c r="A46" s="299"/>
      <c r="B46" s="367"/>
      <c r="C46" s="348" t="s">
        <v>6</v>
      </c>
      <c r="D46" s="349" t="s">
        <v>6</v>
      </c>
      <c r="E46" s="349" t="s">
        <v>6</v>
      </c>
      <c r="F46" s="349" t="s">
        <v>6</v>
      </c>
      <c r="G46" s="350" t="s">
        <v>6</v>
      </c>
      <c r="H46" s="299"/>
      <c r="I46" s="299"/>
      <c r="J46" s="300"/>
      <c r="K46" s="299"/>
      <c r="L46" s="299"/>
      <c r="M46" s="299"/>
      <c r="N46" s="299"/>
      <c r="O46" s="299"/>
      <c r="P46" s="299"/>
      <c r="Q46" s="299"/>
      <c r="R46" s="299"/>
      <c r="S46" s="299"/>
      <c r="T46" s="299"/>
      <c r="U46" s="300"/>
      <c r="V46" s="300"/>
      <c r="W46" s="300"/>
      <c r="X46" s="300"/>
      <c r="Y46" s="300"/>
      <c r="Z46" s="300"/>
      <c r="AA46" s="300"/>
      <c r="AB46" s="300"/>
      <c r="AC46" s="300"/>
      <c r="AD46" s="300"/>
      <c r="AE46" s="300"/>
      <c r="AF46" s="300"/>
      <c r="AG46" s="300"/>
      <c r="AH46" s="300"/>
      <c r="AI46" s="300"/>
      <c r="AJ46" s="300"/>
      <c r="AK46" s="300"/>
      <c r="AL46" s="300"/>
      <c r="AM46" s="300"/>
      <c r="AN46" s="300"/>
      <c r="AO46" s="300"/>
      <c r="AP46" s="300"/>
      <c r="AQ46" s="300"/>
      <c r="AR46" s="300"/>
    </row>
    <row r="47" spans="1:44" ht="15.75"/>
    <row r="48" spans="1:44" ht="15.75"/>
  </sheetData>
  <mergeCells count="6">
    <mergeCell ref="B39:B46"/>
    <mergeCell ref="H18:L22"/>
    <mergeCell ref="B1:G1"/>
    <mergeCell ref="B5:B15"/>
    <mergeCell ref="B17:B25"/>
    <mergeCell ref="B27:B37"/>
  </mergeCell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P40"/>
  <sheetViews>
    <sheetView topLeftCell="D8" zoomScale="90" zoomScaleNormal="90" zoomScalePageLayoutView="110" workbookViewId="0">
      <selection activeCell="O25" sqref="O25"/>
    </sheetView>
  </sheetViews>
  <sheetFormatPr defaultColWidth="11" defaultRowHeight="15"/>
  <cols>
    <col min="1" max="2" width="4.125" style="39" customWidth="1"/>
    <col min="3" max="3" width="24.5" style="39" customWidth="1"/>
    <col min="4" max="4" width="16.875" style="39" bestFit="1" customWidth="1"/>
    <col min="5" max="5" width="7" style="39" bestFit="1" customWidth="1"/>
    <col min="6" max="6" width="16.875" style="39" bestFit="1" customWidth="1"/>
    <col min="7" max="7" width="7" style="39" bestFit="1" customWidth="1"/>
    <col min="8" max="8" width="16.375" style="39" bestFit="1" customWidth="1"/>
    <col min="9" max="9" width="4.875" style="39" customWidth="1"/>
    <col min="10" max="10" width="32.625" style="39" bestFit="1" customWidth="1"/>
    <col min="11" max="11" width="6.125" style="39" customWidth="1"/>
    <col min="12" max="12" width="5.5" style="39" customWidth="1"/>
    <col min="13" max="13" width="14.5" style="39" customWidth="1"/>
    <col min="14" max="14" width="15.625" style="39" bestFit="1" customWidth="1"/>
    <col min="15" max="15" width="16.875" style="39" bestFit="1" customWidth="1"/>
    <col min="16" max="16" width="15.5" style="39" customWidth="1"/>
    <col min="17" max="16384" width="11" style="39"/>
  </cols>
  <sheetData>
    <row r="1" spans="1:16">
      <c r="A1" s="38" t="s">
        <v>289</v>
      </c>
      <c r="D1" s="40" t="s">
        <v>290</v>
      </c>
      <c r="J1" s="40" t="s">
        <v>290</v>
      </c>
    </row>
    <row r="2" spans="1:16">
      <c r="D2" s="41" t="s">
        <v>146</v>
      </c>
      <c r="E2" s="41"/>
      <c r="J2" s="38" t="s">
        <v>148</v>
      </c>
      <c r="K2" s="38"/>
      <c r="L2" s="38"/>
      <c r="M2" s="42" t="s">
        <v>291</v>
      </c>
      <c r="N2" s="42" t="s">
        <v>150</v>
      </c>
    </row>
    <row r="3" spans="1:16">
      <c r="A3" s="38" t="s">
        <v>32</v>
      </c>
      <c r="J3" s="39" t="s">
        <v>151</v>
      </c>
      <c r="M3" s="43">
        <f>F15+H22+H23+H30+H26</f>
        <v>-3260074</v>
      </c>
      <c r="N3" s="44">
        <f>F12</f>
        <v>4618850</v>
      </c>
    </row>
    <row r="4" spans="1:16">
      <c r="D4" s="368">
        <v>2012</v>
      </c>
      <c r="E4" s="369"/>
      <c r="F4" s="368">
        <v>2013</v>
      </c>
      <c r="G4" s="369"/>
      <c r="I4" s="45"/>
      <c r="J4" s="39" t="s">
        <v>152</v>
      </c>
      <c r="M4" s="43">
        <f>F22/(F5/365)</f>
        <v>75.000000119047627</v>
      </c>
      <c r="N4" s="44"/>
    </row>
    <row r="5" spans="1:16">
      <c r="A5" s="39" t="s">
        <v>37</v>
      </c>
      <c r="D5" s="46">
        <v>35000000</v>
      </c>
      <c r="E5" s="47"/>
      <c r="F5" s="46">
        <v>42000000</v>
      </c>
      <c r="G5" s="47"/>
      <c r="H5" s="43"/>
      <c r="I5" s="48"/>
      <c r="J5" s="39" t="s">
        <v>153</v>
      </c>
      <c r="M5" s="44">
        <f>F30/(F6/365)</f>
        <v>69.999997239475505</v>
      </c>
      <c r="N5" s="44"/>
    </row>
    <row r="6" spans="1:16">
      <c r="A6" s="39" t="s">
        <v>40</v>
      </c>
      <c r="D6" s="49">
        <v>24500000</v>
      </c>
      <c r="E6" s="50"/>
      <c r="F6" s="49">
        <v>28980000</v>
      </c>
      <c r="G6" s="48"/>
      <c r="H6" s="43"/>
      <c r="I6" s="48"/>
      <c r="J6" s="39" t="s">
        <v>154</v>
      </c>
      <c r="M6" s="44">
        <f>F23/(F6/365)</f>
        <v>180.00000189786061</v>
      </c>
    </row>
    <row r="7" spans="1:16">
      <c r="B7" s="39" t="s">
        <v>43</v>
      </c>
      <c r="D7" s="43">
        <f>D5-D6</f>
        <v>10500000</v>
      </c>
      <c r="E7" s="51">
        <f>D7/D5</f>
        <v>0.3</v>
      </c>
      <c r="F7" s="43">
        <f>F5-F6</f>
        <v>13020000</v>
      </c>
      <c r="G7" s="51">
        <f>F7/F5</f>
        <v>0.31</v>
      </c>
      <c r="H7" s="43"/>
      <c r="I7" s="52"/>
    </row>
    <row r="8" spans="1:16" ht="15.95" thickBot="1">
      <c r="A8" s="39" t="s">
        <v>46</v>
      </c>
      <c r="D8" s="49">
        <v>3000000</v>
      </c>
      <c r="E8" s="43">
        <f>D7/D8</f>
        <v>3.5</v>
      </c>
      <c r="F8" s="49">
        <v>3250000</v>
      </c>
      <c r="G8" s="43">
        <f>F7/F8</f>
        <v>4.006153846153846</v>
      </c>
      <c r="H8" s="43"/>
      <c r="I8" s="52"/>
      <c r="J8" s="38" t="s">
        <v>148</v>
      </c>
      <c r="K8" s="53"/>
      <c r="L8" s="53"/>
      <c r="M8" s="53"/>
      <c r="N8" s="53"/>
      <c r="O8" s="54" t="s">
        <v>84</v>
      </c>
      <c r="P8" s="55"/>
    </row>
    <row r="9" spans="1:16">
      <c r="B9" s="39" t="s">
        <v>51</v>
      </c>
      <c r="D9" s="43">
        <f>D7-D8</f>
        <v>7500000</v>
      </c>
      <c r="E9" s="51">
        <f>D9/D5</f>
        <v>0.21428571428571427</v>
      </c>
      <c r="F9" s="43">
        <f>F7-F8</f>
        <v>9770000</v>
      </c>
      <c r="G9" s="51">
        <f>F9/F5</f>
        <v>0.23261904761904761</v>
      </c>
      <c r="H9" s="43"/>
      <c r="I9" s="52"/>
      <c r="O9" s="56"/>
      <c r="P9" s="57"/>
    </row>
    <row r="10" spans="1:16">
      <c r="A10" s="39" t="s">
        <v>54</v>
      </c>
      <c r="D10" s="46">
        <v>2000000</v>
      </c>
      <c r="E10" s="43">
        <f>D9/D10</f>
        <v>3.75</v>
      </c>
      <c r="F10" s="46">
        <v>2500000</v>
      </c>
      <c r="G10" s="43">
        <f>F9/F10</f>
        <v>3.9079999999999999</v>
      </c>
      <c r="H10" s="43"/>
      <c r="I10" s="52"/>
      <c r="J10" s="39" t="s">
        <v>155</v>
      </c>
      <c r="K10" s="41">
        <v>1</v>
      </c>
      <c r="L10" s="58" t="s">
        <v>156</v>
      </c>
      <c r="M10" s="44">
        <f>N10+F22-O11</f>
        <v>333698.62999999896</v>
      </c>
      <c r="N10" s="59">
        <f>F5*(K10/100)</f>
        <v>420000</v>
      </c>
      <c r="O10" s="60">
        <f>F5+N10</f>
        <v>42420000</v>
      </c>
      <c r="P10" s="57" t="s">
        <v>91</v>
      </c>
    </row>
    <row r="11" spans="1:16">
      <c r="A11" s="39" t="s">
        <v>59</v>
      </c>
      <c r="D11" s="61">
        <f>D9-D12-D10</f>
        <v>1751140</v>
      </c>
      <c r="E11" s="61"/>
      <c r="F11" s="61">
        <f>F9-F12-F10</f>
        <v>2651150</v>
      </c>
      <c r="G11" s="61"/>
      <c r="H11" s="43"/>
      <c r="I11" s="52"/>
      <c r="L11" s="58"/>
      <c r="M11" s="44"/>
      <c r="N11" s="59"/>
      <c r="O11" s="62">
        <f>O10/365*M4</f>
        <v>8716438.370000001</v>
      </c>
      <c r="P11" s="57" t="s">
        <v>96</v>
      </c>
    </row>
    <row r="12" spans="1:16">
      <c r="B12" s="39" t="s">
        <v>62</v>
      </c>
      <c r="D12" s="43">
        <f>D15+D13+D14</f>
        <v>3748860</v>
      </c>
      <c r="E12" s="51">
        <f>D12/D5</f>
        <v>0.10711028571428571</v>
      </c>
      <c r="F12" s="43">
        <f>F15+F13+F14</f>
        <v>4618850</v>
      </c>
      <c r="G12" s="51">
        <f>F12/F5</f>
        <v>0.10997261904761904</v>
      </c>
      <c r="H12" s="43">
        <f>F12-F16</f>
        <v>5551850</v>
      </c>
      <c r="I12" s="52"/>
      <c r="L12" s="58"/>
      <c r="M12" s="44"/>
      <c r="N12" s="59"/>
      <c r="O12" s="56"/>
      <c r="P12" s="57"/>
    </row>
    <row r="13" spans="1:16">
      <c r="A13" s="39" t="s">
        <v>65</v>
      </c>
      <c r="D13" s="46">
        <v>1165900</v>
      </c>
      <c r="E13" s="47"/>
      <c r="F13" s="46">
        <v>1363480</v>
      </c>
      <c r="G13" s="47"/>
      <c r="H13" s="43"/>
      <c r="I13" s="48"/>
      <c r="O13" s="56"/>
      <c r="P13" s="57"/>
    </row>
    <row r="14" spans="1:16">
      <c r="A14" s="39" t="s">
        <v>67</v>
      </c>
      <c r="D14" s="49">
        <v>930280</v>
      </c>
      <c r="E14" s="50"/>
      <c r="F14" s="49">
        <v>1172348</v>
      </c>
      <c r="G14" s="48"/>
      <c r="H14" s="43"/>
      <c r="I14" s="48"/>
      <c r="J14" s="39" t="s">
        <v>157</v>
      </c>
      <c r="K14" s="41">
        <v>1</v>
      </c>
      <c r="L14" s="58" t="s">
        <v>156</v>
      </c>
      <c r="M14" s="43">
        <f>N14+F22-O15+O17-F30+F23-O18</f>
        <v>-75938.360000001267</v>
      </c>
      <c r="N14" s="59">
        <f>F9*(K14/100)</f>
        <v>97700</v>
      </c>
      <c r="O14" s="62">
        <f>(F5*(K14/100))+F5</f>
        <v>42420000</v>
      </c>
      <c r="P14" s="57" t="s">
        <v>91</v>
      </c>
    </row>
    <row r="15" spans="1:16" ht="15.95" thickBot="1">
      <c r="B15" s="39" t="s">
        <v>70</v>
      </c>
      <c r="D15" s="63">
        <v>1652680</v>
      </c>
      <c r="E15" s="64"/>
      <c r="F15" s="63">
        <v>2083022</v>
      </c>
      <c r="G15" s="48"/>
      <c r="H15" s="43"/>
      <c r="I15" s="48"/>
      <c r="L15" s="58"/>
      <c r="M15" s="43"/>
      <c r="N15" s="59"/>
      <c r="O15" s="62">
        <f>(O14/365*M4)</f>
        <v>8716438.370000001</v>
      </c>
      <c r="P15" s="57" t="s">
        <v>96</v>
      </c>
    </row>
    <row r="16" spans="1:16" ht="15.95" thickTop="1">
      <c r="A16" s="39" t="s">
        <v>73</v>
      </c>
      <c r="D16" s="46">
        <v>-820000</v>
      </c>
      <c r="E16" s="47"/>
      <c r="F16" s="46">
        <v>-933000</v>
      </c>
      <c r="G16" s="47"/>
      <c r="H16" s="43"/>
      <c r="I16" s="52"/>
      <c r="L16" s="58"/>
      <c r="M16" s="43"/>
      <c r="N16" s="59"/>
      <c r="O16" s="62">
        <f>F6+(F6*(K14/100))</f>
        <v>29269800</v>
      </c>
      <c r="P16" s="57" t="s">
        <v>107</v>
      </c>
    </row>
    <row r="17" spans="1:16">
      <c r="D17" s="43"/>
      <c r="E17" s="43"/>
      <c r="F17" s="43"/>
      <c r="G17" s="43"/>
      <c r="H17" s="43"/>
      <c r="I17" s="52"/>
      <c r="L17" s="58"/>
      <c r="M17" s="43"/>
      <c r="N17" s="59"/>
      <c r="O17" s="62">
        <f>O16/365*M5</f>
        <v>5613386.0800000001</v>
      </c>
      <c r="P17" s="57" t="s">
        <v>113</v>
      </c>
    </row>
    <row r="18" spans="1:16">
      <c r="D18" s="43">
        <f>D12-SUM(D13:D14)</f>
        <v>1652680</v>
      </c>
      <c r="E18" s="43"/>
      <c r="F18" s="43"/>
      <c r="G18" s="43"/>
      <c r="H18" s="43"/>
      <c r="I18" s="52"/>
      <c r="L18" s="58"/>
      <c r="M18" s="43"/>
      <c r="N18" s="59"/>
      <c r="O18" s="62">
        <f>O16/365*M6</f>
        <v>14434422.07</v>
      </c>
      <c r="P18" s="57" t="s">
        <v>119</v>
      </c>
    </row>
    <row r="19" spans="1:16">
      <c r="A19" s="38" t="s">
        <v>76</v>
      </c>
      <c r="D19" s="43"/>
      <c r="E19" s="43"/>
      <c r="F19" s="43"/>
      <c r="G19" s="43"/>
      <c r="H19" s="43"/>
      <c r="I19" s="52"/>
      <c r="O19" s="56"/>
      <c r="P19" s="57"/>
    </row>
    <row r="20" spans="1:16">
      <c r="D20" s="38">
        <v>2012</v>
      </c>
      <c r="E20" s="38"/>
      <c r="F20" s="38">
        <v>2013</v>
      </c>
      <c r="G20" s="38"/>
      <c r="H20" s="45" t="s">
        <v>147</v>
      </c>
      <c r="I20" s="45"/>
      <c r="J20" s="39" t="s">
        <v>158</v>
      </c>
      <c r="K20" s="41">
        <v>1</v>
      </c>
      <c r="L20" s="58" t="s">
        <v>156</v>
      </c>
      <c r="M20" s="44">
        <f>N20-F30+O21+F23-O22</f>
        <v>377136.98999999836</v>
      </c>
      <c r="N20" s="59">
        <f>F6*(K20/100)</f>
        <v>289800</v>
      </c>
      <c r="O20" s="65">
        <f>F6-N20</f>
        <v>28690200</v>
      </c>
      <c r="P20" s="57" t="s">
        <v>107</v>
      </c>
    </row>
    <row r="21" spans="1:16">
      <c r="A21" s="39" t="s">
        <v>78</v>
      </c>
      <c r="D21" s="46">
        <v>0</v>
      </c>
      <c r="E21" s="47"/>
      <c r="F21" s="46">
        <v>0</v>
      </c>
      <c r="G21" s="47"/>
      <c r="H21" s="43"/>
      <c r="I21" s="48"/>
      <c r="M21" s="44"/>
      <c r="O21" s="62">
        <f>O20/365*M5</f>
        <v>5502229.9199999999</v>
      </c>
      <c r="P21" s="57" t="s">
        <v>113</v>
      </c>
    </row>
    <row r="22" spans="1:16">
      <c r="A22" s="39" t="s">
        <v>80</v>
      </c>
      <c r="D22" s="46">
        <v>6712330</v>
      </c>
      <c r="E22" s="47"/>
      <c r="F22" s="46">
        <v>8630137</v>
      </c>
      <c r="G22" s="47"/>
      <c r="H22" s="43">
        <f>D22-F22</f>
        <v>-1917807</v>
      </c>
      <c r="I22" s="48"/>
      <c r="M22" s="44"/>
      <c r="O22" s="66">
        <f>O20/365*M6</f>
        <v>14148591.930000002</v>
      </c>
      <c r="P22" s="67" t="s">
        <v>119</v>
      </c>
    </row>
    <row r="23" spans="1:16">
      <c r="A23" s="39" t="s">
        <v>85</v>
      </c>
      <c r="D23" s="46">
        <v>10336960</v>
      </c>
      <c r="E23" s="47"/>
      <c r="F23" s="46">
        <v>14291507</v>
      </c>
      <c r="G23" s="47"/>
      <c r="H23" s="43">
        <f>D23-F23</f>
        <v>-3954547</v>
      </c>
      <c r="I23" s="48"/>
      <c r="J23" s="39" t="s">
        <v>159</v>
      </c>
      <c r="K23" s="41">
        <v>1</v>
      </c>
      <c r="L23" s="58" t="s">
        <v>156</v>
      </c>
      <c r="M23" s="44">
        <f>+N23</f>
        <v>130199.99999999898</v>
      </c>
      <c r="N23" s="44">
        <f>F8*(O23-G8)</f>
        <v>130199.99999999898</v>
      </c>
      <c r="O23" s="68">
        <f>G8*(1+(K23/100))</f>
        <v>4.0462153846153841</v>
      </c>
      <c r="P23" s="69"/>
    </row>
    <row r="24" spans="1:16">
      <c r="A24" s="39" t="s">
        <v>89</v>
      </c>
      <c r="D24" s="49">
        <v>0</v>
      </c>
      <c r="E24" s="50"/>
      <c r="F24" s="49">
        <v>0</v>
      </c>
      <c r="G24" s="48"/>
      <c r="H24" s="43"/>
      <c r="I24" s="48"/>
      <c r="M24" s="44"/>
    </row>
    <row r="25" spans="1:16">
      <c r="B25" s="39" t="s">
        <v>93</v>
      </c>
      <c r="D25" s="47">
        <f>SUM(D21:D24)</f>
        <v>17049290</v>
      </c>
      <c r="E25" s="47"/>
      <c r="F25" s="47">
        <f>SUM(F21:F24)</f>
        <v>22921644</v>
      </c>
      <c r="G25" s="47"/>
      <c r="H25" s="43"/>
      <c r="I25" s="48"/>
      <c r="J25" s="39" t="s">
        <v>160</v>
      </c>
      <c r="K25" s="41">
        <v>1</v>
      </c>
      <c r="L25" s="58" t="s">
        <v>156</v>
      </c>
      <c r="M25" s="44">
        <f>+N25</f>
        <v>97700.000000000568</v>
      </c>
      <c r="N25" s="44">
        <f>F10*(O25-G10)</f>
        <v>97700.000000000568</v>
      </c>
      <c r="O25" s="68">
        <f>G10*(1+(K25/100))</f>
        <v>3.9470800000000001</v>
      </c>
    </row>
    <row r="26" spans="1:16">
      <c r="A26" s="39" t="s">
        <v>98</v>
      </c>
      <c r="D26" s="46">
        <v>8500000</v>
      </c>
      <c r="E26" s="47"/>
      <c r="F26" s="46">
        <v>9500000</v>
      </c>
      <c r="G26" s="47"/>
      <c r="H26" s="43">
        <f>D26-F26</f>
        <v>-1000000</v>
      </c>
      <c r="I26" s="48"/>
      <c r="M26" s="44"/>
    </row>
    <row r="27" spans="1:16">
      <c r="A27" s="39" t="s">
        <v>101</v>
      </c>
      <c r="D27" s="49">
        <v>0</v>
      </c>
      <c r="E27" s="50"/>
      <c r="F27" s="49">
        <v>0</v>
      </c>
      <c r="G27" s="48"/>
      <c r="H27" s="43"/>
      <c r="I27" s="48"/>
      <c r="J27" s="39" t="s">
        <v>161</v>
      </c>
      <c r="K27" s="41">
        <v>1</v>
      </c>
      <c r="L27" s="58" t="s">
        <v>156</v>
      </c>
      <c r="M27" s="68">
        <f>N27</f>
        <v>26511.5</v>
      </c>
      <c r="N27" s="59">
        <f>F11*(K27/100)</f>
        <v>26511.5</v>
      </c>
    </row>
    <row r="28" spans="1:16" ht="15.95" thickBot="1">
      <c r="B28" s="39" t="s">
        <v>104</v>
      </c>
      <c r="D28" s="64">
        <f>SUM(D25:D27)</f>
        <v>25549290</v>
      </c>
      <c r="E28" s="64"/>
      <c r="F28" s="64">
        <f>SUM(F25:F27)</f>
        <v>32421644</v>
      </c>
      <c r="G28" s="48"/>
      <c r="H28" s="43"/>
      <c r="I28" s="48"/>
    </row>
    <row r="29" spans="1:16" ht="15.95" thickTop="1">
      <c r="D29" s="47"/>
      <c r="E29" s="47"/>
      <c r="F29" s="47"/>
      <c r="G29" s="47"/>
      <c r="H29" s="43"/>
      <c r="I29" s="48"/>
      <c r="J29" s="39" t="s">
        <v>162</v>
      </c>
      <c r="K29" s="41">
        <v>1</v>
      </c>
      <c r="L29" s="39" t="s">
        <v>163</v>
      </c>
      <c r="M29" s="44">
        <f>F5/365*K29</f>
        <v>115068.49315068492</v>
      </c>
    </row>
    <row r="30" spans="1:16">
      <c r="A30" s="39" t="s">
        <v>109</v>
      </c>
      <c r="D30" s="46">
        <v>4028550</v>
      </c>
      <c r="E30" s="47"/>
      <c r="F30" s="46">
        <v>5557808</v>
      </c>
      <c r="G30" s="47"/>
      <c r="H30" s="43">
        <f>F30-D30</f>
        <v>1529258</v>
      </c>
      <c r="I30" s="48"/>
    </row>
    <row r="31" spans="1:16">
      <c r="A31" s="39" t="s">
        <v>115</v>
      </c>
      <c r="D31" s="46">
        <v>5019740</v>
      </c>
      <c r="E31" s="47"/>
      <c r="F31" s="46">
        <v>7279813</v>
      </c>
      <c r="G31" s="47"/>
      <c r="H31" s="43">
        <f>F31-D31</f>
        <v>2260073</v>
      </c>
      <c r="I31" s="48"/>
      <c r="J31" s="39" t="s">
        <v>164</v>
      </c>
      <c r="K31" s="41">
        <v>1</v>
      </c>
      <c r="L31" s="39" t="s">
        <v>163</v>
      </c>
      <c r="M31" s="44">
        <f>IF(F23&gt;0,F6/365*K31,0)</f>
        <v>79397.260273972599</v>
      </c>
    </row>
    <row r="32" spans="1:16">
      <c r="A32" s="39" t="s">
        <v>121</v>
      </c>
      <c r="D32" s="49">
        <v>0</v>
      </c>
      <c r="E32" s="50"/>
      <c r="F32" s="49">
        <v>0</v>
      </c>
      <c r="G32" s="48"/>
      <c r="H32" s="43"/>
      <c r="I32" s="48"/>
    </row>
    <row r="33" spans="1:14">
      <c r="B33" s="39" t="s">
        <v>124</v>
      </c>
      <c r="D33" s="47">
        <f>SUM(D30:D32)</f>
        <v>9048290</v>
      </c>
      <c r="E33" s="47"/>
      <c r="F33" s="47">
        <f>SUM(F30:F32)</f>
        <v>12837621</v>
      </c>
      <c r="G33" s="47"/>
      <c r="H33" s="43"/>
      <c r="I33" s="48"/>
      <c r="J33" s="39" t="s">
        <v>165</v>
      </c>
      <c r="K33" s="41">
        <v>1</v>
      </c>
      <c r="L33" s="39" t="s">
        <v>163</v>
      </c>
      <c r="M33" s="70">
        <f>F6/365*K33</f>
        <v>79397.260273972599</v>
      </c>
      <c r="N33" s="71"/>
    </row>
    <row r="34" spans="1:14">
      <c r="A34" s="39" t="s">
        <v>128</v>
      </c>
      <c r="D34" s="46">
        <v>9000000</v>
      </c>
      <c r="E34" s="47"/>
      <c r="F34" s="46">
        <v>10000000</v>
      </c>
      <c r="G34" s="47"/>
      <c r="H34" s="43">
        <f>F34-D34</f>
        <v>1000000</v>
      </c>
      <c r="I34" s="48"/>
    </row>
    <row r="35" spans="1:14">
      <c r="A35" s="39" t="s">
        <v>131</v>
      </c>
      <c r="D35" s="49">
        <v>0</v>
      </c>
      <c r="E35" s="50"/>
      <c r="F35" s="49">
        <v>0</v>
      </c>
      <c r="G35" s="48"/>
      <c r="H35" s="43"/>
      <c r="I35" s="48"/>
      <c r="J35" s="40" t="s">
        <v>166</v>
      </c>
      <c r="M35" s="72">
        <f>SUM(M10:M34)</f>
        <v>1163171.7736986256</v>
      </c>
      <c r="N35" s="72">
        <f>SUM(N10:N34)</f>
        <v>1061911.4999999995</v>
      </c>
    </row>
    <row r="36" spans="1:14">
      <c r="B36" s="39" t="s">
        <v>133</v>
      </c>
      <c r="D36" s="47">
        <f>SUM(D33:D35)</f>
        <v>18048290</v>
      </c>
      <c r="E36" s="47"/>
      <c r="F36" s="47">
        <f>SUM(F33:F35)</f>
        <v>22837621</v>
      </c>
      <c r="G36" s="47"/>
      <c r="H36" s="43"/>
      <c r="I36" s="48"/>
    </row>
    <row r="37" spans="1:14">
      <c r="A37" s="39" t="s">
        <v>135</v>
      </c>
      <c r="D37" s="46">
        <v>2001000</v>
      </c>
      <c r="E37" s="47"/>
      <c r="F37" s="46">
        <v>2001000</v>
      </c>
      <c r="G37" s="47"/>
      <c r="H37" s="43">
        <f t="shared" ref="H37:H38" si="0">F37-D37</f>
        <v>0</v>
      </c>
      <c r="I37" s="48"/>
      <c r="N37" s="44">
        <f>+N35+F15</f>
        <v>3144933.4999999995</v>
      </c>
    </row>
    <row r="38" spans="1:14">
      <c r="A38" s="39" t="s">
        <v>139</v>
      </c>
      <c r="D38" s="49">
        <v>5500000</v>
      </c>
      <c r="E38" s="50"/>
      <c r="F38" s="49">
        <v>7583023</v>
      </c>
      <c r="G38" s="48"/>
      <c r="H38" s="43">
        <f t="shared" si="0"/>
        <v>2083023</v>
      </c>
      <c r="I38" s="48"/>
    </row>
    <row r="39" spans="1:14" ht="15.95" thickBot="1">
      <c r="B39" s="39" t="s">
        <v>142</v>
      </c>
      <c r="D39" s="64">
        <f>SUM(D36:D38)</f>
        <v>25549290</v>
      </c>
      <c r="E39" s="64"/>
      <c r="F39" s="64">
        <f>SUM(F36:F38)</f>
        <v>32421644</v>
      </c>
      <c r="G39" s="48"/>
      <c r="H39" s="43"/>
      <c r="I39" s="48"/>
      <c r="N39" s="44"/>
    </row>
    <row r="40" spans="1:14" ht="15.95" thickTop="1">
      <c r="C40" s="39" t="s">
        <v>292</v>
      </c>
      <c r="D40" s="43">
        <f>D28-D39</f>
        <v>0</v>
      </c>
      <c r="E40" s="47"/>
      <c r="F40" s="43">
        <f>F28-F39</f>
        <v>0</v>
      </c>
      <c r="G40" s="43"/>
      <c r="H40" s="43"/>
      <c r="I40" s="52"/>
    </row>
  </sheetData>
  <mergeCells count="2">
    <mergeCell ref="D4:E4"/>
    <mergeCell ref="F4:G4"/>
  </mergeCells>
  <phoneticPr fontId="11" type="noConversion"/>
  <pageMargins left="0.75" right="0.75" top="1" bottom="1" header="0.5" footer="0.5"/>
  <pageSetup scale="75" fitToWidth="2" orientation="portrait" horizontalDpi="4294967292" verticalDpi="4294967292"/>
  <colBreaks count="1" manualBreakCount="1">
    <brk id="9" max="1048575" man="1"/>
  </colBreaks>
  <extLst>
    <ext xmlns:mx="http://schemas.microsoft.com/office/mac/excel/2008/main" uri="{64002731-A6B0-56B0-2670-7721B7C09600}">
      <mx:PLV Mode="0" OnePage="0" WScale="75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pageSetUpPr fitToPage="1"/>
  </sheetPr>
  <dimension ref="A1:P40"/>
  <sheetViews>
    <sheetView zoomScale="90" zoomScaleNormal="90" zoomScalePageLayoutView="110" workbookViewId="0">
      <selection activeCell="D12" sqref="D12"/>
    </sheetView>
  </sheetViews>
  <sheetFormatPr defaultColWidth="11" defaultRowHeight="15.95"/>
  <cols>
    <col min="1" max="2" width="4.125" customWidth="1"/>
    <col min="3" max="3" width="24.5" customWidth="1"/>
    <col min="4" max="4" width="15.375" bestFit="1" customWidth="1"/>
    <col min="5" max="5" width="6" bestFit="1" customWidth="1"/>
    <col min="6" max="6" width="15.375" bestFit="1" customWidth="1"/>
    <col min="7" max="7" width="6" bestFit="1" customWidth="1"/>
    <col min="8" max="8" width="13.375" bestFit="1" customWidth="1"/>
    <col min="9" max="9" width="5.625" customWidth="1"/>
    <col min="10" max="10" width="32.625" bestFit="1" customWidth="1"/>
    <col min="11" max="11" width="6.125" customWidth="1"/>
    <col min="12" max="12" width="5.5" customWidth="1"/>
    <col min="13" max="13" width="14.5" customWidth="1"/>
    <col min="14" max="14" width="15" bestFit="1" customWidth="1"/>
    <col min="15" max="15" width="14" bestFit="1" customWidth="1"/>
    <col min="16" max="16" width="15.5" customWidth="1"/>
  </cols>
  <sheetData>
    <row r="1" spans="1:16" ht="21">
      <c r="A1" s="24" t="s">
        <v>289</v>
      </c>
      <c r="D1" s="37" t="s">
        <v>293</v>
      </c>
      <c r="J1" s="37" t="s">
        <v>293</v>
      </c>
    </row>
    <row r="2" spans="1:16" ht="18.95">
      <c r="D2" s="13" t="s">
        <v>146</v>
      </c>
      <c r="E2" s="13"/>
      <c r="J2" s="11" t="s">
        <v>148</v>
      </c>
      <c r="K2" s="11"/>
      <c r="L2" s="11"/>
      <c r="M2" s="12" t="s">
        <v>291</v>
      </c>
      <c r="N2" s="12" t="s">
        <v>150</v>
      </c>
    </row>
    <row r="3" spans="1:16" ht="18.95">
      <c r="A3" s="11" t="s">
        <v>32</v>
      </c>
      <c r="J3" t="s">
        <v>151</v>
      </c>
      <c r="M3" s="3">
        <f>F15+H22+H23+H30+H26</f>
        <v>67875.650000000023</v>
      </c>
      <c r="N3" s="4">
        <f>F12</f>
        <v>640525.21</v>
      </c>
    </row>
    <row r="4" spans="1:16">
      <c r="D4" s="370">
        <v>2012</v>
      </c>
      <c r="E4" s="371"/>
      <c r="F4" s="370">
        <v>2013</v>
      </c>
      <c r="G4" s="371"/>
      <c r="I4" s="25"/>
      <c r="J4" t="s">
        <v>152</v>
      </c>
      <c r="M4" s="3">
        <f>F22/(F5/365)</f>
        <v>6.2693866130080158</v>
      </c>
      <c r="N4" s="4"/>
    </row>
    <row r="5" spans="1:16">
      <c r="A5" t="s">
        <v>37</v>
      </c>
      <c r="D5" s="7">
        <v>5872961.3899999997</v>
      </c>
      <c r="E5" s="8"/>
      <c r="F5" s="7">
        <v>8251080.9100000001</v>
      </c>
      <c r="G5" s="8"/>
      <c r="H5" s="3"/>
      <c r="I5" s="34"/>
      <c r="J5" t="s">
        <v>153</v>
      </c>
      <c r="M5" s="4">
        <f>F30/(F6/365)</f>
        <v>92.714645845657685</v>
      </c>
      <c r="N5" s="4"/>
    </row>
    <row r="6" spans="1:16">
      <c r="A6" t="s">
        <v>40</v>
      </c>
      <c r="D6" s="21">
        <v>950121.44</v>
      </c>
      <c r="E6" s="31"/>
      <c r="F6" s="21">
        <v>1386466.27</v>
      </c>
      <c r="G6" s="34"/>
      <c r="H6" s="3"/>
      <c r="I6" s="34"/>
      <c r="J6" t="s">
        <v>154</v>
      </c>
      <c r="M6" s="4">
        <f>F23/(F6/365)</f>
        <v>0</v>
      </c>
    </row>
    <row r="7" spans="1:16">
      <c r="B7" t="s">
        <v>43</v>
      </c>
      <c r="D7" s="3">
        <f>D5-D6</f>
        <v>4922839.9499999993</v>
      </c>
      <c r="E7" s="32">
        <f>D7/D5</f>
        <v>0.83822106482467429</v>
      </c>
      <c r="F7" s="3">
        <f>F5-F6</f>
        <v>6864614.6400000006</v>
      </c>
      <c r="G7" s="32">
        <f>F7/F5</f>
        <v>0.83196549820282883</v>
      </c>
      <c r="H7" s="3"/>
      <c r="I7" s="33"/>
    </row>
    <row r="8" spans="1:16" ht="20.100000000000001" thickBot="1">
      <c r="A8" t="s">
        <v>46</v>
      </c>
      <c r="D8" s="21">
        <v>2750000</v>
      </c>
      <c r="E8" s="3">
        <f>D7/D8</f>
        <v>1.7901236181818179</v>
      </c>
      <c r="F8" s="21">
        <v>3500000</v>
      </c>
      <c r="G8" s="3">
        <f>F7/F8</f>
        <v>1.9613184685714287</v>
      </c>
      <c r="H8" s="3"/>
      <c r="I8" s="33"/>
      <c r="J8" s="11" t="s">
        <v>148</v>
      </c>
      <c r="K8" s="6"/>
      <c r="L8" s="6"/>
      <c r="M8" s="6"/>
      <c r="N8" s="6"/>
      <c r="O8" s="26" t="s">
        <v>84</v>
      </c>
      <c r="P8" s="14"/>
    </row>
    <row r="9" spans="1:16">
      <c r="B9" t="s">
        <v>51</v>
      </c>
      <c r="D9" s="3">
        <f>D7-D8</f>
        <v>2172839.9499999993</v>
      </c>
      <c r="E9" s="32">
        <f>D9/D5</f>
        <v>0.36997347772449757</v>
      </c>
      <c r="F9" s="3">
        <f>F7-F8</f>
        <v>3364614.6400000006</v>
      </c>
      <c r="G9" s="32">
        <f>F9/F5</f>
        <v>0.4077786506640862</v>
      </c>
      <c r="H9" s="3"/>
      <c r="I9" s="33"/>
      <c r="O9" s="15"/>
      <c r="P9" s="16"/>
    </row>
    <row r="10" spans="1:16">
      <c r="A10" t="s">
        <v>54</v>
      </c>
      <c r="D10" s="7">
        <v>450000</v>
      </c>
      <c r="E10" s="3">
        <f>D9/D10</f>
        <v>4.8285332222222204</v>
      </c>
      <c r="F10" s="7">
        <v>650000</v>
      </c>
      <c r="G10" s="3">
        <f>F9/F10</f>
        <v>5.176330215384616</v>
      </c>
      <c r="H10" s="3"/>
      <c r="I10" s="33"/>
      <c r="J10" t="s">
        <v>155</v>
      </c>
      <c r="K10" s="13">
        <v>1</v>
      </c>
      <c r="L10" s="5" t="s">
        <v>156</v>
      </c>
      <c r="M10" s="4">
        <f>N10+F22-O11</f>
        <v>81093.570300000021</v>
      </c>
      <c r="N10" s="1">
        <f>F5*(K10/100)</f>
        <v>82510.809099999999</v>
      </c>
      <c r="O10" s="17">
        <f>F5+N10</f>
        <v>8333591.7191000003</v>
      </c>
      <c r="P10" s="16" t="s">
        <v>91</v>
      </c>
    </row>
    <row r="11" spans="1:16">
      <c r="A11" t="s">
        <v>59</v>
      </c>
      <c r="D11" s="9">
        <f>D9-D12-D10</f>
        <v>1350333.8599999992</v>
      </c>
      <c r="E11" s="9"/>
      <c r="F11" s="9">
        <f>F9-F12-F10</f>
        <v>2074089.4300000006</v>
      </c>
      <c r="G11" s="9"/>
      <c r="H11" s="3"/>
      <c r="I11" s="33"/>
      <c r="L11" s="5"/>
      <c r="M11" s="4"/>
      <c r="N11" s="1"/>
      <c r="O11" s="18">
        <f>O10/365*M4</f>
        <v>143141.1188</v>
      </c>
      <c r="P11" s="16" t="s">
        <v>96</v>
      </c>
    </row>
    <row r="12" spans="1:16">
      <c r="B12" t="s">
        <v>62</v>
      </c>
      <c r="D12" s="3">
        <f>D15+D13+D14</f>
        <v>372506.09</v>
      </c>
      <c r="E12" s="32">
        <f>D12/D5</f>
        <v>6.3427301026407742E-2</v>
      </c>
      <c r="F12" s="3">
        <f>F15+F13+F14</f>
        <v>640525.21</v>
      </c>
      <c r="G12" s="32">
        <f>F12/F5</f>
        <v>7.7629248456854594E-2</v>
      </c>
      <c r="H12" s="3">
        <f>F12-F16</f>
        <v>675525.21</v>
      </c>
      <c r="I12" s="33"/>
      <c r="L12" s="5"/>
      <c r="M12" s="4"/>
      <c r="N12" s="1"/>
      <c r="O12" s="15"/>
      <c r="P12" s="16"/>
    </row>
    <row r="13" spans="1:16">
      <c r="A13" t="s">
        <v>65</v>
      </c>
      <c r="D13" s="7">
        <v>0</v>
      </c>
      <c r="E13" s="8"/>
      <c r="F13" s="7">
        <v>0</v>
      </c>
      <c r="G13" s="8"/>
      <c r="H13" s="3"/>
      <c r="I13" s="34"/>
      <c r="O13" s="15"/>
      <c r="P13" s="16"/>
    </row>
    <row r="14" spans="1:16">
      <c r="A14" t="s">
        <v>67</v>
      </c>
      <c r="D14" s="21">
        <v>0</v>
      </c>
      <c r="E14" s="31"/>
      <c r="F14" s="21">
        <v>0</v>
      </c>
      <c r="G14" s="34"/>
      <c r="H14" s="3"/>
      <c r="I14" s="34"/>
      <c r="J14" t="s">
        <v>157</v>
      </c>
      <c r="K14" s="13">
        <v>1</v>
      </c>
      <c r="L14" s="5" t="s">
        <v>156</v>
      </c>
      <c r="M14" s="3">
        <f>N14+F22-O15+O17-F30+F23-O18</f>
        <v>35750.708400000061</v>
      </c>
      <c r="N14" s="1">
        <f>F9*(K14/100)</f>
        <v>33646.146400000005</v>
      </c>
      <c r="O14" s="18">
        <f>(F5*(K14/100))+F5</f>
        <v>8333591.7191000003</v>
      </c>
      <c r="P14" s="16" t="s">
        <v>91</v>
      </c>
    </row>
    <row r="15" spans="1:16" ht="17.100000000000001" thickBot="1">
      <c r="B15" t="s">
        <v>70</v>
      </c>
      <c r="D15" s="22">
        <v>372506.09</v>
      </c>
      <c r="E15" s="23"/>
      <c r="F15" s="22">
        <v>640525.21</v>
      </c>
      <c r="G15" s="34"/>
      <c r="H15" s="3"/>
      <c r="I15" s="34"/>
      <c r="L15" s="5"/>
      <c r="M15" s="3"/>
      <c r="N15" s="1"/>
      <c r="O15" s="18">
        <f>(O14/365*M4)</f>
        <v>143141.1188</v>
      </c>
      <c r="P15" s="16" t="s">
        <v>96</v>
      </c>
    </row>
    <row r="16" spans="1:16" ht="17.100000000000001" thickTop="1">
      <c r="A16" t="s">
        <v>73</v>
      </c>
      <c r="D16" s="7">
        <v>-47853.29</v>
      </c>
      <c r="E16" s="8"/>
      <c r="F16" s="7">
        <v>-35000</v>
      </c>
      <c r="G16" s="8"/>
      <c r="H16" s="3"/>
      <c r="I16" s="33"/>
      <c r="L16" s="5"/>
      <c r="M16" s="3"/>
      <c r="N16" s="1"/>
      <c r="O16" s="18">
        <f>F6+(F6*(K14/100))</f>
        <v>1400330.9327</v>
      </c>
      <c r="P16" s="16" t="s">
        <v>107</v>
      </c>
    </row>
    <row r="17" spans="1:16">
      <c r="D17" s="3"/>
      <c r="E17" s="3"/>
      <c r="F17" s="3"/>
      <c r="G17" s="3"/>
      <c r="H17" s="3"/>
      <c r="I17" s="33"/>
      <c r="L17" s="5"/>
      <c r="M17" s="3"/>
      <c r="N17" s="1"/>
      <c r="O17" s="18">
        <f>O16/365*M5</f>
        <v>355701.88080000004</v>
      </c>
      <c r="P17" s="16" t="s">
        <v>113</v>
      </c>
    </row>
    <row r="18" spans="1:16">
      <c r="D18" s="3"/>
      <c r="E18" s="3"/>
      <c r="F18" s="3"/>
      <c r="G18" s="3"/>
      <c r="H18" s="3"/>
      <c r="I18" s="33"/>
      <c r="L18" s="5"/>
      <c r="M18" s="3"/>
      <c r="N18" s="1"/>
      <c r="O18" s="18">
        <f>O16/365*M6</f>
        <v>0</v>
      </c>
      <c r="P18" s="16" t="s">
        <v>119</v>
      </c>
    </row>
    <row r="19" spans="1:16" ht="18.95">
      <c r="A19" s="11" t="s">
        <v>76</v>
      </c>
      <c r="D19" s="3"/>
      <c r="E19" s="3"/>
      <c r="F19" s="3"/>
      <c r="G19" s="3"/>
      <c r="H19" s="3"/>
      <c r="I19" s="33"/>
      <c r="O19" s="15"/>
      <c r="P19" s="16"/>
    </row>
    <row r="20" spans="1:16">
      <c r="D20" s="10">
        <v>2012</v>
      </c>
      <c r="E20" s="10"/>
      <c r="F20" s="10">
        <v>2013</v>
      </c>
      <c r="G20" s="10"/>
      <c r="H20" s="25" t="s">
        <v>147</v>
      </c>
      <c r="I20" s="25"/>
      <c r="J20" t="s">
        <v>158</v>
      </c>
      <c r="K20" s="13">
        <v>1</v>
      </c>
      <c r="L20" s="5" t="s">
        <v>156</v>
      </c>
      <c r="M20" s="4">
        <f>N20-F30+O21+F23-O22</f>
        <v>10342.861900000018</v>
      </c>
      <c r="N20" s="1">
        <f>F6*(K20/100)</f>
        <v>13864.662700000001</v>
      </c>
      <c r="O20" s="19">
        <f>F6-N20</f>
        <v>1372601.6073</v>
      </c>
      <c r="P20" s="16" t="s">
        <v>107</v>
      </c>
    </row>
    <row r="21" spans="1:16">
      <c r="A21" t="s">
        <v>78</v>
      </c>
      <c r="D21" s="7">
        <v>362441.55</v>
      </c>
      <c r="E21" s="8"/>
      <c r="F21" s="7">
        <v>387948.34</v>
      </c>
      <c r="G21" s="8"/>
      <c r="H21" s="3"/>
      <c r="I21" s="34"/>
      <c r="M21" s="4"/>
      <c r="O21" s="18">
        <f>O20/365*M5</f>
        <v>348658.27920000005</v>
      </c>
      <c r="P21" s="16" t="s">
        <v>113</v>
      </c>
    </row>
    <row r="22" spans="1:16">
      <c r="A22" t="s">
        <v>80</v>
      </c>
      <c r="D22" s="7">
        <v>138699.18</v>
      </c>
      <c r="E22" s="8"/>
      <c r="F22" s="7">
        <v>141723.88</v>
      </c>
      <c r="G22" s="8"/>
      <c r="H22" s="3">
        <f>D22-F22</f>
        <v>-3024.7000000000116</v>
      </c>
      <c r="I22" s="34"/>
      <c r="M22" s="4"/>
      <c r="O22" s="35">
        <f>O20/365*M6</f>
        <v>0</v>
      </c>
      <c r="P22" s="20" t="s">
        <v>119</v>
      </c>
    </row>
    <row r="23" spans="1:16">
      <c r="A23" t="s">
        <v>85</v>
      </c>
      <c r="D23" s="7">
        <v>0</v>
      </c>
      <c r="E23" s="8"/>
      <c r="F23" s="7">
        <v>0</v>
      </c>
      <c r="G23" s="8"/>
      <c r="H23" s="3">
        <f>D23-F23</f>
        <v>0</v>
      </c>
      <c r="I23" s="34"/>
      <c r="J23" t="s">
        <v>159</v>
      </c>
      <c r="K23" s="13">
        <v>1</v>
      </c>
      <c r="L23" s="5" t="s">
        <v>156</v>
      </c>
      <c r="M23" s="4">
        <f>+N23</f>
        <v>68646.146400000333</v>
      </c>
      <c r="N23" s="4">
        <f>F8*(O23-G8)</f>
        <v>68646.146400000333</v>
      </c>
      <c r="O23" s="2">
        <f>G8*(1+(K23/100))</f>
        <v>1.980931653257143</v>
      </c>
      <c r="P23" s="36"/>
    </row>
    <row r="24" spans="1:16">
      <c r="A24" t="s">
        <v>89</v>
      </c>
      <c r="D24" s="21">
        <v>140096.84</v>
      </c>
      <c r="E24" s="31"/>
      <c r="F24" s="21">
        <v>232266.08</v>
      </c>
      <c r="G24" s="34"/>
      <c r="H24" s="3"/>
      <c r="I24" s="34"/>
      <c r="M24" s="4"/>
    </row>
    <row r="25" spans="1:16">
      <c r="B25" t="s">
        <v>93</v>
      </c>
      <c r="D25" s="8">
        <f>SUM(D21:D24)</f>
        <v>641237.56999999995</v>
      </c>
      <c r="E25" s="8"/>
      <c r="F25" s="8">
        <f>SUM(F21:F24)</f>
        <v>761938.29999999993</v>
      </c>
      <c r="G25" s="8"/>
      <c r="H25" s="3"/>
      <c r="I25" s="34"/>
      <c r="J25" t="s">
        <v>160</v>
      </c>
      <c r="K25" s="13">
        <v>1</v>
      </c>
      <c r="L25" s="5" t="s">
        <v>156</v>
      </c>
      <c r="M25" s="4">
        <f>+N25</f>
        <v>33646.146400000012</v>
      </c>
      <c r="N25" s="4">
        <f>F10*(O25-G10)</f>
        <v>33646.146400000012</v>
      </c>
      <c r="O25" s="2">
        <f>G10*(1+(K25/100))</f>
        <v>5.2280935175384622</v>
      </c>
    </row>
    <row r="26" spans="1:16">
      <c r="A26" t="s">
        <v>98</v>
      </c>
      <c r="D26" s="7">
        <v>17183.21</v>
      </c>
      <c r="E26" s="8"/>
      <c r="F26" s="7">
        <v>672459.85</v>
      </c>
      <c r="G26" s="8"/>
      <c r="H26" s="3">
        <f>D26-F26</f>
        <v>-655276.64</v>
      </c>
      <c r="I26" s="34"/>
      <c r="M26" s="4"/>
    </row>
    <row r="27" spans="1:16">
      <c r="A27" t="s">
        <v>101</v>
      </c>
      <c r="D27" s="21">
        <v>93103.05</v>
      </c>
      <c r="E27" s="31"/>
      <c r="F27" s="21">
        <v>275624.69</v>
      </c>
      <c r="G27" s="34"/>
      <c r="H27" s="3"/>
      <c r="I27" s="34"/>
      <c r="J27" t="s">
        <v>161</v>
      </c>
      <c r="K27" s="13">
        <v>1</v>
      </c>
      <c r="L27" s="5" t="s">
        <v>156</v>
      </c>
      <c r="M27" s="2">
        <f>N27</f>
        <v>20740.894300000007</v>
      </c>
      <c r="N27" s="1">
        <f>F11*(K27/100)</f>
        <v>20740.894300000007</v>
      </c>
    </row>
    <row r="28" spans="1:16" ht="17.100000000000001" thickBot="1">
      <c r="B28" t="s">
        <v>104</v>
      </c>
      <c r="D28" s="23">
        <f>SUM(D25:D27)</f>
        <v>751523.83</v>
      </c>
      <c r="E28" s="23"/>
      <c r="F28" s="23">
        <f>SUM(F25:F27)</f>
        <v>1710022.8399999999</v>
      </c>
      <c r="G28" s="34"/>
      <c r="H28" s="3"/>
      <c r="I28" s="34"/>
    </row>
    <row r="29" spans="1:16" ht="17.100000000000001" thickTop="1">
      <c r="D29" s="8"/>
      <c r="E29" s="8"/>
      <c r="F29" s="8"/>
      <c r="G29" s="8"/>
      <c r="H29" s="3"/>
      <c r="I29" s="34"/>
      <c r="J29" t="s">
        <v>162</v>
      </c>
      <c r="K29" s="13">
        <v>1</v>
      </c>
      <c r="L29" t="s">
        <v>163</v>
      </c>
      <c r="M29" s="4">
        <f>F5/365*K29</f>
        <v>22605.701123287672</v>
      </c>
    </row>
    <row r="30" spans="1:16">
      <c r="A30" t="s">
        <v>109</v>
      </c>
      <c r="D30" s="7">
        <v>266528.3</v>
      </c>
      <c r="E30" s="8"/>
      <c r="F30" s="7">
        <v>352180.08</v>
      </c>
      <c r="G30" s="8"/>
      <c r="H30" s="3">
        <f>F30-D30</f>
        <v>85651.780000000028</v>
      </c>
      <c r="I30" s="34"/>
    </row>
    <row r="31" spans="1:16">
      <c r="A31" t="s">
        <v>115</v>
      </c>
      <c r="D31" s="7">
        <v>0</v>
      </c>
      <c r="E31" s="8"/>
      <c r="F31" s="7">
        <v>0</v>
      </c>
      <c r="G31" s="8"/>
      <c r="H31" s="3">
        <f>F31-D31</f>
        <v>0</v>
      </c>
      <c r="I31" s="34"/>
      <c r="J31" t="s">
        <v>164</v>
      </c>
      <c r="K31" s="13">
        <v>1</v>
      </c>
      <c r="L31" t="s">
        <v>163</v>
      </c>
      <c r="M31" s="4">
        <f>IF(F23&gt;0,F6/365*K31,0)</f>
        <v>0</v>
      </c>
    </row>
    <row r="32" spans="1:16">
      <c r="A32" t="s">
        <v>121</v>
      </c>
      <c r="D32" s="21">
        <f>8949.93+79831.42</f>
        <v>88781.35</v>
      </c>
      <c r="E32" s="31"/>
      <c r="F32" s="21">
        <f>10363.37-1199.42+88630.12</f>
        <v>97794.069999999992</v>
      </c>
      <c r="G32" s="34"/>
      <c r="H32" s="3"/>
      <c r="I32" s="34"/>
    </row>
    <row r="33" spans="1:14">
      <c r="B33" t="s">
        <v>124</v>
      </c>
      <c r="D33" s="8">
        <f>SUM(D30:D32)</f>
        <v>355309.65</v>
      </c>
      <c r="E33" s="8"/>
      <c r="F33" s="8">
        <f>SUM(F30:F32)</f>
        <v>449974.15</v>
      </c>
      <c r="G33" s="8"/>
      <c r="H33" s="3"/>
      <c r="I33" s="34"/>
      <c r="J33" t="s">
        <v>165</v>
      </c>
      <c r="K33" s="13">
        <v>1</v>
      </c>
      <c r="L33" t="s">
        <v>163</v>
      </c>
      <c r="M33" s="29">
        <f>F6/365*K33</f>
        <v>3798.5377260273972</v>
      </c>
      <c r="N33" s="30"/>
    </row>
    <row r="34" spans="1:14">
      <c r="A34" t="s">
        <v>128</v>
      </c>
      <c r="D34" s="7">
        <v>72018.64</v>
      </c>
      <c r="E34" s="8"/>
      <c r="F34" s="7">
        <v>381453.85</v>
      </c>
      <c r="G34" s="8"/>
      <c r="H34" s="3">
        <f>F34-D34</f>
        <v>309435.20999999996</v>
      </c>
      <c r="I34" s="34"/>
    </row>
    <row r="35" spans="1:14" ht="18.95">
      <c r="A35" t="s">
        <v>131</v>
      </c>
      <c r="D35" s="21">
        <v>-10768.15</v>
      </c>
      <c r="E35" s="31"/>
      <c r="F35" s="21">
        <v>191159.48</v>
      </c>
      <c r="G35" s="34"/>
      <c r="H35" s="3"/>
      <c r="I35" s="34"/>
      <c r="J35" s="27" t="s">
        <v>166</v>
      </c>
      <c r="M35" s="28">
        <f>SUM(M10:M34)</f>
        <v>276624.56654931558</v>
      </c>
      <c r="N35" s="28">
        <f>SUM(N10:N34)</f>
        <v>253054.80530000039</v>
      </c>
    </row>
    <row r="36" spans="1:14">
      <c r="B36" t="s">
        <v>133</v>
      </c>
      <c r="D36" s="8">
        <f>SUM(D33:D35)</f>
        <v>416560.14</v>
      </c>
      <c r="E36" s="8"/>
      <c r="F36" s="8">
        <f>SUM(F33:F35)</f>
        <v>1022587.48</v>
      </c>
      <c r="G36" s="8"/>
      <c r="H36" s="3"/>
      <c r="I36" s="34"/>
    </row>
    <row r="37" spans="1:14">
      <c r="A37" t="s">
        <v>135</v>
      </c>
      <c r="D37" s="7">
        <v>-7302.4</v>
      </c>
      <c r="E37" s="8"/>
      <c r="F37" s="7">
        <f>159364.26</f>
        <v>159364.26</v>
      </c>
      <c r="G37" s="8"/>
      <c r="H37" s="3">
        <f t="shared" ref="H37:H38" si="0">F37-D37</f>
        <v>166666.66</v>
      </c>
      <c r="I37" s="34"/>
      <c r="N37" s="4">
        <f>+N35+F15</f>
        <v>893580.01530000032</v>
      </c>
    </row>
    <row r="38" spans="1:14">
      <c r="A38" t="s">
        <v>139</v>
      </c>
      <c r="D38" s="21">
        <f>372050.09-29784</f>
        <v>342266.09</v>
      </c>
      <c r="E38" s="31"/>
      <c r="F38" s="21">
        <f>640069.21-454264.2+342266.09</f>
        <v>528071.1</v>
      </c>
      <c r="G38" s="34"/>
      <c r="H38" s="3">
        <f t="shared" si="0"/>
        <v>185805.00999999995</v>
      </c>
      <c r="I38" s="34"/>
    </row>
    <row r="39" spans="1:14" ht="17.100000000000001" thickBot="1">
      <c r="B39" t="s">
        <v>142</v>
      </c>
      <c r="D39" s="23">
        <f>SUM(D36:D38)</f>
        <v>751523.83000000007</v>
      </c>
      <c r="E39" s="23"/>
      <c r="F39" s="23">
        <f>SUM(F36:F38)</f>
        <v>1710022.8399999999</v>
      </c>
      <c r="G39" s="34"/>
      <c r="H39" s="3"/>
      <c r="I39" s="34"/>
      <c r="N39" s="4"/>
    </row>
    <row r="40" spans="1:14" ht="17.100000000000001" thickTop="1">
      <c r="C40" t="s">
        <v>292</v>
      </c>
      <c r="D40" s="3">
        <f>D28-D39</f>
        <v>0</v>
      </c>
      <c r="E40" s="8"/>
      <c r="F40" s="3">
        <f>F28-F39</f>
        <v>0</v>
      </c>
      <c r="G40" s="3"/>
      <c r="H40" s="3"/>
      <c r="I40" s="33"/>
    </row>
  </sheetData>
  <mergeCells count="2">
    <mergeCell ref="D4:E4"/>
    <mergeCell ref="F4:G4"/>
  </mergeCells>
  <phoneticPr fontId="11" type="noConversion"/>
  <pageMargins left="0.75" right="0.75" top="1" bottom="1" header="0.5" footer="0.5"/>
  <pageSetup scale="80" fitToWidth="2" orientation="portrait" horizontalDpi="4294967292" verticalDpi="4294967292"/>
  <colBreaks count="1" manualBreakCount="1">
    <brk id="9" max="1048575" man="1"/>
  </colBreaks>
  <extLst>
    <ext xmlns:mx="http://schemas.microsoft.com/office/mac/excel/2008/main" uri="{64002731-A6B0-56B0-2670-7721B7C09600}">
      <mx:PLV Mode="0" OnePage="0" WScale="88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CRBCPA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Gregory Crabtree</dc:creator>
  <cp:keywords/>
  <dc:description/>
  <cp:lastModifiedBy>Guest User</cp:lastModifiedBy>
  <cp:revision/>
  <dcterms:created xsi:type="dcterms:W3CDTF">2015-02-05T23:09:47Z</dcterms:created>
  <dcterms:modified xsi:type="dcterms:W3CDTF">2024-11-01T07:00:52Z</dcterms:modified>
  <cp:category/>
  <cp:contentStatus/>
</cp:coreProperties>
</file>