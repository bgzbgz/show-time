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1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7" documentId="13_ncr:1_{F911F54F-B56B-0D49-B3C3-8585E2D35D44}" xr6:coauthVersionLast="47" xr6:coauthVersionMax="47" xr10:uidLastSave="{C5FE9017-0745-45FD-933E-221C460C3835}"/>
  <bookViews>
    <workbookView xWindow="0" yWindow="740" windowWidth="29400" windowHeight="16820" tabRatio="695" firstSheet="4" activeTab="3" xr2:uid="{00000000-000D-0000-FFFF-FFFF00000000}"/>
  </bookViews>
  <sheets>
    <sheet name="IMPROVE LIQUIDITY" sheetId="8" r:id="rId1"/>
    <sheet name="IMPROVE PROFITABILITY" sheetId="9" r:id="rId2"/>
    <sheet name="Data Input" sheetId="7" r:id="rId3"/>
    <sheet name="EXAMPLE" sheetId="5" r:id="rId4"/>
    <sheet name="Power of One" sheetId="6" r:id="rId5"/>
    <sheet name="THE POWER OF ONE - WWW" sheetId="10" r:id="rId6"/>
    <sheet name="LER" sheetId="11" r:id="rId7"/>
    <sheet name="LER Example" sheetId="12" r:id="rId8"/>
    <sheet name="Gary's Furniture with LER" sheetId="3" state="hidden" r:id="rId9"/>
    <sheet name="Power of One Template with LER" sheetId="2" state="hidden" r:id="rId10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12" l="1"/>
  <c r="F11" i="12"/>
  <c r="G11" i="12"/>
  <c r="G12" i="12" s="1"/>
  <c r="H11" i="12"/>
  <c r="H16" i="12" s="1"/>
  <c r="E12" i="12"/>
  <c r="F12" i="12"/>
  <c r="H12" i="12"/>
  <c r="E16" i="12"/>
  <c r="E27" i="12" s="1"/>
  <c r="F16" i="12"/>
  <c r="E17" i="12"/>
  <c r="F17" i="12"/>
  <c r="H17" i="12"/>
  <c r="E26" i="12"/>
  <c r="F26" i="12"/>
  <c r="F29" i="12" s="1"/>
  <c r="F37" i="12" s="1"/>
  <c r="G26" i="12"/>
  <c r="H26" i="12"/>
  <c r="F27" i="12"/>
  <c r="E11" i="11"/>
  <c r="E16" i="11" s="1"/>
  <c r="F11" i="11"/>
  <c r="F17" i="11" s="1"/>
  <c r="G11" i="11"/>
  <c r="G16" i="11" s="1"/>
  <c r="H11" i="11"/>
  <c r="H12" i="11" s="1"/>
  <c r="F12" i="11"/>
  <c r="F16" i="11"/>
  <c r="F29" i="11" s="1"/>
  <c r="F37" i="11" s="1"/>
  <c r="E26" i="11"/>
  <c r="F26" i="11"/>
  <c r="G26" i="11"/>
  <c r="H26" i="11"/>
  <c r="F38" i="12" l="1"/>
  <c r="F39" i="12"/>
  <c r="H29" i="12"/>
  <c r="H37" i="12" s="1"/>
  <c r="H27" i="12"/>
  <c r="E29" i="12"/>
  <c r="E37" i="12" s="1"/>
  <c r="H38" i="12"/>
  <c r="H39" i="12"/>
  <c r="G16" i="12"/>
  <c r="G17" i="12"/>
  <c r="F27" i="11"/>
  <c r="G12" i="11"/>
  <c r="G17" i="11"/>
  <c r="H17" i="11"/>
  <c r="E27" i="11"/>
  <c r="E29" i="11"/>
  <c r="E37" i="11" s="1"/>
  <c r="E38" i="11" s="1"/>
  <c r="E12" i="11"/>
  <c r="E17" i="11"/>
  <c r="H16" i="11"/>
  <c r="G29" i="11"/>
  <c r="G37" i="11" s="1"/>
  <c r="G27" i="11"/>
  <c r="F38" i="11"/>
  <c r="F39" i="11"/>
  <c r="E39" i="11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N29" i="7"/>
  <c r="N32" i="7"/>
  <c r="N34" i="7"/>
  <c r="H52" i="5"/>
  <c r="E38" i="12" l="1"/>
  <c r="E39" i="12"/>
  <c r="G29" i="12"/>
  <c r="G37" i="12" s="1"/>
  <c r="G27" i="12"/>
  <c r="H29" i="11"/>
  <c r="H37" i="11" s="1"/>
  <c r="H27" i="11"/>
  <c r="G38" i="11"/>
  <c r="G39" i="11"/>
  <c r="N36" i="7"/>
  <c r="N33" i="7"/>
  <c r="N35" i="7"/>
  <c r="N30" i="7"/>
  <c r="G38" i="12" l="1"/>
  <c r="G39" i="12"/>
  <c r="H39" i="11"/>
  <c r="H38" i="11"/>
  <c r="J19" i="6"/>
  <c r="J15" i="6"/>
  <c r="H31" i="6"/>
  <c r="H29" i="6"/>
  <c r="N38" i="7" l="1"/>
  <c r="O56" i="5"/>
  <c r="J43" i="7"/>
  <c r="J42" i="7"/>
  <c r="J39" i="7"/>
  <c r="H38" i="7"/>
  <c r="H41" i="7" s="1"/>
  <c r="H44" i="7" s="1"/>
  <c r="F38" i="7"/>
  <c r="F41" i="7" s="1"/>
  <c r="F44" i="7" s="1"/>
  <c r="J36" i="7"/>
  <c r="J35" i="7"/>
  <c r="J31" i="7"/>
  <c r="H30" i="7"/>
  <c r="H33" i="7" s="1"/>
  <c r="F30" i="7"/>
  <c r="J28" i="7"/>
  <c r="J27" i="7"/>
  <c r="H16" i="7"/>
  <c r="G16" i="7"/>
  <c r="H11" i="7"/>
  <c r="I11" i="7" s="1"/>
  <c r="F11" i="7"/>
  <c r="F13" i="7" s="1"/>
  <c r="J8" i="6" l="1"/>
  <c r="J16" i="7"/>
  <c r="N39" i="7"/>
  <c r="N40" i="7"/>
  <c r="H45" i="7"/>
  <c r="H15" i="6"/>
  <c r="H13" i="7"/>
  <c r="I13" i="7" s="1"/>
  <c r="F15" i="7"/>
  <c r="G14" i="7"/>
  <c r="G13" i="7"/>
  <c r="F45" i="7"/>
  <c r="I16" i="7"/>
  <c r="I12" i="7"/>
  <c r="N41" i="7" s="1"/>
  <c r="G11" i="7"/>
  <c r="G12" i="7"/>
  <c r="H19" i="6" l="1"/>
  <c r="H15" i="7"/>
  <c r="J25" i="6" s="1"/>
  <c r="H25" i="6" s="1"/>
  <c r="J17" i="6"/>
  <c r="H17" i="6" s="1"/>
  <c r="J21" i="6"/>
  <c r="H21" i="6" s="1"/>
  <c r="I14" i="7"/>
  <c r="N43" i="7" s="1"/>
  <c r="O58" i="5"/>
  <c r="O53" i="5"/>
  <c r="O54" i="5" s="1"/>
  <c r="O57" i="5"/>
  <c r="J58" i="5"/>
  <c r="H58" i="5" s="1"/>
  <c r="H74" i="5"/>
  <c r="H72" i="5"/>
  <c r="H70" i="5"/>
  <c r="J62" i="5"/>
  <c r="H54" i="5"/>
  <c r="H53" i="5"/>
  <c r="J42" i="5"/>
  <c r="J41" i="5"/>
  <c r="J38" i="5"/>
  <c r="H37" i="5"/>
  <c r="H40" i="5" s="1"/>
  <c r="H43" i="5" s="1"/>
  <c r="F37" i="5"/>
  <c r="F40" i="5" s="1"/>
  <c r="F43" i="5" s="1"/>
  <c r="J35" i="5"/>
  <c r="J34" i="5"/>
  <c r="J30" i="5"/>
  <c r="H29" i="5"/>
  <c r="H32" i="5" s="1"/>
  <c r="F29" i="5"/>
  <c r="F32" i="5" s="1"/>
  <c r="J27" i="5"/>
  <c r="J26" i="5"/>
  <c r="H16" i="5"/>
  <c r="I16" i="5" s="1"/>
  <c r="F16" i="5"/>
  <c r="G16" i="5" s="1"/>
  <c r="H11" i="5"/>
  <c r="I12" i="5" s="1"/>
  <c r="O65" i="5" s="1"/>
  <c r="F11" i="5"/>
  <c r="G11" i="5" s="1"/>
  <c r="O59" i="5" l="1"/>
  <c r="H51" i="5"/>
  <c r="F44" i="5"/>
  <c r="O62" i="5"/>
  <c r="O64" i="5" s="1"/>
  <c r="J23" i="6"/>
  <c r="H23" i="6" s="1"/>
  <c r="J64" i="5"/>
  <c r="H64" i="5" s="1"/>
  <c r="J51" i="5"/>
  <c r="F13" i="5"/>
  <c r="F15" i="5" s="1"/>
  <c r="G12" i="5"/>
  <c r="J16" i="5"/>
  <c r="H44" i="5"/>
  <c r="O60" i="5"/>
  <c r="H13" i="5"/>
  <c r="J60" i="5" s="1"/>
  <c r="I11" i="5"/>
  <c r="D12" i="3"/>
  <c r="E12" i="3" s="1"/>
  <c r="F25" i="3"/>
  <c r="F28" i="3" s="1"/>
  <c r="F33" i="3"/>
  <c r="F36" i="3" s="1"/>
  <c r="F39" i="3" s="1"/>
  <c r="D25" i="3"/>
  <c r="D28" i="3" s="1"/>
  <c r="D33" i="3"/>
  <c r="D36" i="3" s="1"/>
  <c r="D39" i="3" s="1"/>
  <c r="H38" i="3"/>
  <c r="N10" i="3"/>
  <c r="O10" i="3" s="1"/>
  <c r="O11" i="3" s="1"/>
  <c r="M10" i="3" s="1"/>
  <c r="F7" i="3"/>
  <c r="F9" i="3" s="1"/>
  <c r="N20" i="3"/>
  <c r="O20" i="3" s="1"/>
  <c r="F12" i="3"/>
  <c r="H12" i="3" s="1"/>
  <c r="H37" i="3"/>
  <c r="M4" i="3"/>
  <c r="O14" i="3"/>
  <c r="O16" i="3"/>
  <c r="M5" i="3"/>
  <c r="M6" i="3"/>
  <c r="M29" i="3"/>
  <c r="M31" i="3"/>
  <c r="M33" i="3"/>
  <c r="H34" i="3"/>
  <c r="H31" i="3"/>
  <c r="H30" i="3"/>
  <c r="H26" i="3"/>
  <c r="H23" i="3"/>
  <c r="H22" i="3"/>
  <c r="G12" i="3"/>
  <c r="D7" i="3"/>
  <c r="D9" i="3" s="1"/>
  <c r="F7" i="2"/>
  <c r="G8" i="2" s="1"/>
  <c r="O23" i="2" s="1"/>
  <c r="N23" i="2" s="1"/>
  <c r="O16" i="2"/>
  <c r="F12" i="2"/>
  <c r="G12" i="2" s="1"/>
  <c r="H12" i="2"/>
  <c r="H22" i="2"/>
  <c r="H23" i="2"/>
  <c r="H26" i="2"/>
  <c r="H30" i="2"/>
  <c r="H31" i="2"/>
  <c r="H34" i="2"/>
  <c r="F37" i="2"/>
  <c r="H37" i="2" s="1"/>
  <c r="F38" i="2"/>
  <c r="D38" i="2"/>
  <c r="D7" i="2"/>
  <c r="D9" i="2" s="1"/>
  <c r="D12" i="2"/>
  <c r="E12" i="2" s="1"/>
  <c r="N10" i="2"/>
  <c r="O10" i="2" s="1"/>
  <c r="M4" i="2"/>
  <c r="O14" i="2"/>
  <c r="M5" i="2"/>
  <c r="M6" i="2"/>
  <c r="N20" i="2"/>
  <c r="O20" i="2" s="1"/>
  <c r="M29" i="2"/>
  <c r="M31" i="2"/>
  <c r="M33" i="2"/>
  <c r="F32" i="2"/>
  <c r="F33" i="2" s="1"/>
  <c r="F36" i="2" s="1"/>
  <c r="D32" i="2"/>
  <c r="D33" i="2" s="1"/>
  <c r="D36" i="2" s="1"/>
  <c r="D39" i="2" s="1"/>
  <c r="F25" i="2"/>
  <c r="F28" i="2" s="1"/>
  <c r="D25" i="2"/>
  <c r="D28" i="2" s="1"/>
  <c r="H38" i="2" l="1"/>
  <c r="O17" i="2"/>
  <c r="O15" i="3"/>
  <c r="N3" i="2"/>
  <c r="M3" i="2"/>
  <c r="M3" i="3"/>
  <c r="D18" i="3"/>
  <c r="G7" i="2"/>
  <c r="O17" i="3"/>
  <c r="G7" i="3"/>
  <c r="F39" i="2"/>
  <c r="F40" i="2" s="1"/>
  <c r="G8" i="3"/>
  <c r="O23" i="3" s="1"/>
  <c r="N23" i="3" s="1"/>
  <c r="M23" i="3" s="1"/>
  <c r="O15" i="2"/>
  <c r="O11" i="2"/>
  <c r="M10" i="2" s="1"/>
  <c r="F9" i="2"/>
  <c r="D40" i="3"/>
  <c r="E7" i="2"/>
  <c r="O18" i="3"/>
  <c r="F40" i="3"/>
  <c r="E8" i="2"/>
  <c r="N3" i="3"/>
  <c r="O63" i="5"/>
  <c r="H62" i="5" s="1"/>
  <c r="O18" i="2"/>
  <c r="E7" i="3"/>
  <c r="G13" i="5"/>
  <c r="G14" i="5"/>
  <c r="H60" i="5"/>
  <c r="H33" i="6"/>
  <c r="J33" i="6"/>
  <c r="J35" i="6" s="1"/>
  <c r="E9" i="3"/>
  <c r="D11" i="3"/>
  <c r="E10" i="3"/>
  <c r="M23" i="2"/>
  <c r="O21" i="2"/>
  <c r="O22" i="2"/>
  <c r="O21" i="3"/>
  <c r="O22" i="3"/>
  <c r="D40" i="2"/>
  <c r="E10" i="2"/>
  <c r="D11" i="2"/>
  <c r="E9" i="2"/>
  <c r="G10" i="3"/>
  <c r="O25" i="3" s="1"/>
  <c r="N25" i="3" s="1"/>
  <c r="M25" i="3" s="1"/>
  <c r="G9" i="3"/>
  <c r="F11" i="3"/>
  <c r="N27" i="3" s="1"/>
  <c r="M27" i="3" s="1"/>
  <c r="N14" i="3"/>
  <c r="F11" i="2"/>
  <c r="N27" i="2" s="1"/>
  <c r="M27" i="2" s="1"/>
  <c r="E8" i="3"/>
  <c r="H15" i="5"/>
  <c r="J68" i="5" s="1"/>
  <c r="H68" i="5" s="1"/>
  <c r="I13" i="5"/>
  <c r="I14" i="5"/>
  <c r="M20" i="2" l="1"/>
  <c r="N35" i="3"/>
  <c r="N37" i="3" s="1"/>
  <c r="G10" i="2"/>
  <c r="O25" i="2" s="1"/>
  <c r="N25" i="2" s="1"/>
  <c r="M25" i="2" s="1"/>
  <c r="G9" i="2"/>
  <c r="N14" i="2"/>
  <c r="M14" i="2" s="1"/>
  <c r="M14" i="3"/>
  <c r="M20" i="3"/>
  <c r="O67" i="5"/>
  <c r="J66" i="5" s="1"/>
  <c r="M35" i="3" l="1"/>
  <c r="M35" i="2"/>
  <c r="N35" i="2"/>
  <c r="N37" i="2" s="1"/>
  <c r="H66" i="5"/>
  <c r="H76" i="5" s="1"/>
  <c r="J76" i="5"/>
  <c r="J78" i="5" s="1"/>
</calcChain>
</file>

<file path=xl/sharedStrings.xml><?xml version="1.0" encoding="utf-8"?>
<sst xmlns="http://schemas.openxmlformats.org/spreadsheetml/2006/main" count="398" uniqueCount="120">
  <si>
    <t>ACTIONS TO IMPROVE LIQUIDITY</t>
  </si>
  <si>
    <t>IDEAS</t>
  </si>
  <si>
    <t>IMPACT</t>
  </si>
  <si>
    <t>EASY</t>
  </si>
  <si>
    <t>SCORE</t>
  </si>
  <si>
    <t>INSTRUCTIONS</t>
  </si>
  <si>
    <t>IMPACT:</t>
  </si>
  <si>
    <t>A score of 3 means it has the biggest impact</t>
  </si>
  <si>
    <t>A score of 1 means it has the least impact.</t>
  </si>
  <si>
    <t>EASY:</t>
  </si>
  <si>
    <t xml:space="preserve">A score of 3 means it's very easy                                                                                                        </t>
  </si>
  <si>
    <t>A score of 1 means it's very difficult.</t>
  </si>
  <si>
    <t>ACTIONS TO IMPROVE PROFITABILITY</t>
  </si>
  <si>
    <t>POWER OF ONE DATA INPUT</t>
  </si>
  <si>
    <t>Denotes input field</t>
  </si>
  <si>
    <t>Profit and Loss</t>
  </si>
  <si>
    <t>[PERIOD]</t>
  </si>
  <si>
    <t>YEAR 1</t>
  </si>
  <si>
    <t>YEAR 2</t>
  </si>
  <si>
    <t>Revenue</t>
  </si>
  <si>
    <t>Cost of Goods Sold</t>
  </si>
  <si>
    <t>Gross Margin</t>
  </si>
  <si>
    <t>Direct Labor/LER</t>
  </si>
  <si>
    <t>Contribution Margin</t>
  </si>
  <si>
    <t>Management Labor</t>
  </si>
  <si>
    <t>Overheads</t>
  </si>
  <si>
    <t>EBIT</t>
  </si>
  <si>
    <t>Interest</t>
  </si>
  <si>
    <t>Tax</t>
  </si>
  <si>
    <t>Net Profit</t>
  </si>
  <si>
    <t>Depreciation (included in OH above)</t>
  </si>
  <si>
    <t>Balance Sheet</t>
  </si>
  <si>
    <t>Change</t>
  </si>
  <si>
    <t>Cash</t>
  </si>
  <si>
    <t>Accounts Receivable</t>
  </si>
  <si>
    <t>For calculation information only</t>
  </si>
  <si>
    <t>Inventory</t>
  </si>
  <si>
    <t>Other Current Assets</t>
  </si>
  <si>
    <t>Revised Revenue</t>
  </si>
  <si>
    <t>Total Current Assets</t>
  </si>
  <si>
    <t>Revised A/R</t>
  </si>
  <si>
    <t>Fixed Assets (net book value)</t>
  </si>
  <si>
    <t>Other Assets</t>
  </si>
  <si>
    <t>Total Assets</t>
  </si>
  <si>
    <t>Revised COGS</t>
  </si>
  <si>
    <t>Accounts Payable</t>
  </si>
  <si>
    <t>Revised AP</t>
  </si>
  <si>
    <t>Short-term Debt</t>
  </si>
  <si>
    <t>Revised Inv</t>
  </si>
  <si>
    <t>Other Current Liabilities</t>
  </si>
  <si>
    <t>Total Current Liabilities</t>
  </si>
  <si>
    <t>Long-term Debt</t>
  </si>
  <si>
    <t>Other Long-term Liabilities</t>
  </si>
  <si>
    <t>Total Liabilities</t>
  </si>
  <si>
    <t>Capital</t>
  </si>
  <si>
    <t>Retained Earnings</t>
  </si>
  <si>
    <t>Total Liabilities and Equity</t>
  </si>
  <si>
    <t>POWER OF ONE TEMPLATE</t>
  </si>
  <si>
    <t>denotes input field</t>
  </si>
  <si>
    <t>Your Power of One</t>
  </si>
  <si>
    <t>NET CASH FLOW</t>
  </si>
  <si>
    <t>EBIT$</t>
  </si>
  <si>
    <t>Your current position</t>
  </si>
  <si>
    <t>Days in A/R</t>
  </si>
  <si>
    <t>Days in A/P</t>
  </si>
  <si>
    <t>Days of Inventory</t>
  </si>
  <si>
    <t>Price Increase</t>
  </si>
  <si>
    <t>%</t>
  </si>
  <si>
    <t>Volume increase (Contribution Margin)</t>
  </si>
  <si>
    <t>COGS Reduction</t>
  </si>
  <si>
    <t>Direct Labor Efficiency increase</t>
  </si>
  <si>
    <t>Management Labor Efficiency increase</t>
  </si>
  <si>
    <t>Overhead Reduction</t>
  </si>
  <si>
    <t>Reduction in debtor days</t>
  </si>
  <si>
    <t>days</t>
  </si>
  <si>
    <t>Reduction on stock days</t>
  </si>
  <si>
    <t>Increase in creditor days</t>
  </si>
  <si>
    <t>Your Power of One Impact</t>
  </si>
  <si>
    <t xml:space="preserve">POWER OF ONE </t>
  </si>
  <si>
    <t>Reset</t>
  </si>
  <si>
    <t>d</t>
  </si>
  <si>
    <t xml:space="preserve">POWER OF ONE WWW - WHO, WHAT, WHEN </t>
  </si>
  <si>
    <t>WHAT</t>
  </si>
  <si>
    <t xml:space="preserve">WHO </t>
  </si>
  <si>
    <t>WHEN</t>
  </si>
  <si>
    <t>LER - LABOUR EFFICIENCY RATIO</t>
  </si>
  <si>
    <t>Business Engine</t>
  </si>
  <si>
    <t>Gross Profit</t>
  </si>
  <si>
    <t>GP as % of Revenue</t>
  </si>
  <si>
    <t>Direct Labor</t>
  </si>
  <si>
    <t>Direct LER</t>
  </si>
  <si>
    <t>Business Chasis</t>
  </si>
  <si>
    <t>Operating expenses:</t>
  </si>
  <si>
    <t>Facilities</t>
  </si>
  <si>
    <t>Marketing</t>
  </si>
  <si>
    <t>Salaries (management and admin)</t>
  </si>
  <si>
    <t>Payroll taxes and benefits</t>
  </si>
  <si>
    <t>Other operating expenses</t>
  </si>
  <si>
    <t>Total operating expenses</t>
  </si>
  <si>
    <t>Management LER</t>
  </si>
  <si>
    <t>Income margins</t>
  </si>
  <si>
    <t>Net operating Income</t>
  </si>
  <si>
    <t>Other expenses:</t>
  </si>
  <si>
    <t>Depreciation</t>
  </si>
  <si>
    <t>Interest Expense</t>
  </si>
  <si>
    <t>Total other expenses</t>
  </si>
  <si>
    <t>Pre-tax Net Income</t>
  </si>
  <si>
    <t>as a % of Revenue</t>
  </si>
  <si>
    <t>as a % of Gross Profit</t>
  </si>
  <si>
    <t>LER Dynamics</t>
  </si>
  <si>
    <t>LER - LABOUR EFFICIENCY RATIO [EXAMPLE]</t>
  </si>
  <si>
    <t>Year 1</t>
  </si>
  <si>
    <t>Year 2</t>
  </si>
  <si>
    <t>Year 3</t>
  </si>
  <si>
    <t>Year 4</t>
  </si>
  <si>
    <t>Power of One Template</t>
  </si>
  <si>
    <t>Gary's Furniture</t>
  </si>
  <si>
    <t>Net Cash Flow</t>
  </si>
  <si>
    <t>Variance</t>
  </si>
  <si>
    <t>Sample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</si>
</sst>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л_в_._-;\-* #,##0.00\ _л_в_._-;_-* &quot;-&quot;??\ _л_в_._-;_-@_-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  <numFmt numFmtId="168" formatCode="_(&quot;$&quot;* #,##0.00_);_(&quot;$&quot;* \(#,##0.00\);_(&quot;$&quot;* &quot;-&quot;??_);_(@_)"/>
    <numFmt numFmtId="169" formatCode="_(&quot;$&quot;* #,##0_);_(&quot;$&quot;* \(#,##0\);_(&quot;$&quot;* &quot;-&quot;??_);_(@_)"/>
    <numFmt numFmtId="170" formatCode="0_);\(0\)"/>
  </numFmts>
  <fonts count="74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0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color theme="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0"/>
      <color theme="0"/>
      <name val="Century Gothic"/>
      <family val="2"/>
      <charset val="204"/>
    </font>
    <font>
      <b/>
      <sz val="10"/>
      <color theme="0" tint="-0.499984740745262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i/>
      <sz val="12"/>
      <name val="Century Gothic"/>
      <family val="2"/>
      <charset val="204"/>
    </font>
    <font>
      <b/>
      <sz val="14"/>
      <name val="Century Gothic"/>
      <family val="2"/>
      <charset val="204"/>
    </font>
    <font>
      <i/>
      <sz val="10"/>
      <name val="Century Gothic"/>
      <family val="2"/>
      <charset val="204"/>
    </font>
    <font>
      <sz val="11"/>
      <color theme="0"/>
      <name val="Calibri"/>
      <family val="2"/>
      <charset val="204"/>
    </font>
    <font>
      <sz val="26"/>
      <name val="Arial Black"/>
      <family val="2"/>
      <charset val="204"/>
    </font>
    <font>
      <sz val="18"/>
      <name val="Arial Black"/>
      <family val="2"/>
      <charset val="204"/>
    </font>
    <font>
      <sz val="14"/>
      <color rgb="FF000000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20"/>
      <name val="Arial BLACK"/>
      <family val="2"/>
    </font>
    <font>
      <b/>
      <sz val="22"/>
      <name val="Arial BLACK"/>
      <family val="2"/>
    </font>
    <font>
      <sz val="10"/>
      <name val="Arial BLACK"/>
      <family val="2"/>
    </font>
    <font>
      <sz val="10"/>
      <color theme="1"/>
      <name val="Century Gothic"/>
      <family val="1"/>
      <charset val="204"/>
    </font>
    <font>
      <sz val="22"/>
      <color theme="1"/>
      <name val="Arial Black"/>
      <family val="1"/>
    </font>
    <font>
      <b/>
      <sz val="20"/>
      <color theme="1"/>
      <name val="Century Gothic"/>
      <family val="1"/>
      <charset val="204"/>
    </font>
    <font>
      <b/>
      <i/>
      <sz val="10"/>
      <color theme="1"/>
      <name val="Century Gothic"/>
      <family val="1"/>
      <charset val="204"/>
    </font>
    <font>
      <b/>
      <i/>
      <sz val="12"/>
      <color theme="1"/>
      <name val="Century Gothic"/>
      <family val="1"/>
      <charset val="204"/>
    </font>
    <font>
      <b/>
      <sz val="10"/>
      <color theme="1"/>
      <name val="Century Gothic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b/>
      <sz val="22"/>
      <color theme="1"/>
      <name val="Arial BLACK"/>
      <family val="2"/>
    </font>
    <font>
      <b/>
      <sz val="14"/>
      <color theme="1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22"/>
      <color theme="1"/>
      <name val="Arial BLACK"/>
      <family val="1"/>
    </font>
    <font>
      <sz val="10"/>
      <color theme="1"/>
      <name val="Arial BLACK"/>
      <family val="1"/>
    </font>
    <font>
      <sz val="10"/>
      <color theme="1"/>
      <name val="Century Gothic"/>
      <family val="1"/>
    </font>
    <font>
      <b/>
      <i/>
      <sz val="12"/>
      <color theme="1"/>
      <name val="Century Gothic"/>
      <family val="2"/>
      <charset val="204"/>
    </font>
    <font>
      <b/>
      <i/>
      <sz val="10"/>
      <color theme="1"/>
      <name val="Century Gothic"/>
      <family val="2"/>
      <charset val="204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4"/>
      <color theme="0"/>
      <name val="Arial"/>
      <family val="2"/>
    </font>
    <font>
      <sz val="14"/>
      <color theme="1"/>
      <name val="Arial"/>
      <family val="2"/>
    </font>
    <font>
      <i/>
      <sz val="10"/>
      <name val="Riforma LL"/>
      <family val="2"/>
    </font>
    <font>
      <u val="doubleAccounting"/>
      <sz val="10"/>
      <name val="Riforma LL"/>
      <family val="2"/>
    </font>
    <font>
      <b/>
      <i/>
      <sz val="10"/>
      <name val="Riforma LL"/>
      <family val="2"/>
    </font>
    <font>
      <sz val="11"/>
      <color theme="1"/>
      <name val="Riforma LL"/>
      <family val="2"/>
    </font>
    <font>
      <sz val="10"/>
      <name val="Arial"/>
      <family val="2"/>
    </font>
    <font>
      <sz val="10"/>
      <name val="Riforma LL"/>
      <family val="2"/>
    </font>
    <font>
      <u val="singleAccounting"/>
      <sz val="10"/>
      <name val="Riforma LL"/>
      <family val="2"/>
    </font>
    <font>
      <b/>
      <i/>
      <u val="singleAccounting"/>
      <sz val="11"/>
      <name val="Riforma LL"/>
      <family val="2"/>
    </font>
    <font>
      <i/>
      <u val="singleAccounting"/>
      <sz val="11"/>
      <name val="Riforma LL"/>
      <family val="2"/>
    </font>
    <font>
      <b/>
      <sz val="10"/>
      <color theme="1"/>
      <name val="Riforma LL"/>
      <family val="2"/>
    </font>
    <font>
      <sz val="10"/>
      <color theme="1"/>
      <name val="Riforma LL"/>
      <family val="2"/>
    </font>
    <font>
      <u val="singleAccounting"/>
      <sz val="10"/>
      <name val="Arial"/>
      <family val="2"/>
    </font>
    <font>
      <i/>
      <sz val="10"/>
      <color theme="1"/>
      <name val="Riforma LL"/>
      <family val="2"/>
    </font>
    <font>
      <b/>
      <i/>
      <sz val="10"/>
      <color theme="1"/>
      <name val="Riforma LL"/>
      <family val="2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0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D3272"/>
        <bgColor indexed="64"/>
      </patternFill>
    </fill>
    <fill>
      <patternFill patternType="solid">
        <fgColor rgb="FF067FCB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46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slantDashDot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theme="0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28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69" fillId="12" borderId="33" applyNumberFormat="0" applyAlignment="0" applyProtection="0"/>
  </cellStyleXfs>
  <cellXfs count="356">
    <xf numFmtId="0" fontId="0" fillId="0" borderId="0" xfId="0"/>
    <xf numFmtId="43" fontId="0" fillId="0" borderId="0" xfId="1" applyFont="1"/>
    <xf numFmtId="43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0" fontId="0" fillId="0" borderId="0" xfId="0" quotePrefix="1"/>
    <xf numFmtId="0" fontId="0" fillId="0" borderId="1" xfId="0" applyBorder="1"/>
    <xf numFmtId="165" fontId="0" fillId="2" borderId="0" xfId="1" applyNumberFormat="1" applyFont="1" applyFill="1"/>
    <xf numFmtId="165" fontId="0" fillId="0" borderId="0" xfId="1" applyNumberFormat="1" applyFont="1" applyFill="1"/>
    <xf numFmtId="165" fontId="0" fillId="0" borderId="2" xfId="1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43" fontId="0" fillId="0" borderId="6" xfId="0" applyNumberFormat="1" applyBorder="1"/>
    <xf numFmtId="43" fontId="0" fillId="0" borderId="6" xfId="1" applyFont="1" applyBorder="1"/>
    <xf numFmtId="165" fontId="0" fillId="0" borderId="6" xfId="0" applyNumberFormat="1" applyBorder="1"/>
    <xf numFmtId="0" fontId="0" fillId="0" borderId="9" xfId="0" applyBorder="1"/>
    <xf numFmtId="165" fontId="0" fillId="2" borderId="2" xfId="1" applyNumberFormat="1" applyFont="1" applyFill="1" applyBorder="1"/>
    <xf numFmtId="165" fontId="0" fillId="2" borderId="3" xfId="1" applyNumberFormat="1" applyFont="1" applyFill="1" applyBorder="1"/>
    <xf numFmtId="165" fontId="0" fillId="0" borderId="3" xfId="1" applyNumberFormat="1" applyFont="1" applyFill="1" applyBorder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4" xfId="0" applyFont="1" applyBorder="1"/>
    <xf numFmtId="0" fontId="10" fillId="0" borderId="0" xfId="0" applyFont="1"/>
    <xf numFmtId="43" fontId="6" fillId="0" borderId="0" xfId="0" applyNumberFormat="1" applyFont="1"/>
    <xf numFmtId="165" fontId="0" fillId="0" borderId="2" xfId="0" applyNumberFormat="1" applyBorder="1"/>
    <xf numFmtId="0" fontId="0" fillId="0" borderId="2" xfId="0" applyBorder="1"/>
    <xf numFmtId="165" fontId="0" fillId="0" borderId="2" xfId="1" applyNumberFormat="1" applyFont="1" applyFill="1" applyBorder="1"/>
    <xf numFmtId="9" fontId="0" fillId="0" borderId="0" xfId="54" applyFont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165" fontId="0" fillId="0" borderId="8" xfId="0" applyNumberFormat="1" applyBorder="1"/>
    <xf numFmtId="43" fontId="0" fillId="0" borderId="0" xfId="1" applyFont="1" applyBorder="1"/>
    <xf numFmtId="0" fontId="9" fillId="0" borderId="0" xfId="0" applyFont="1"/>
    <xf numFmtId="0" fontId="12" fillId="0" borderId="0" xfId="0" applyFont="1"/>
    <xf numFmtId="0" fontId="1" fillId="0" borderId="0" xfId="0" applyFont="1"/>
    <xf numFmtId="0" fontId="13" fillId="0" borderId="0" xfId="0" applyFont="1"/>
    <xf numFmtId="0" fontId="1" fillId="2" borderId="0" xfId="0" applyFont="1" applyFill="1"/>
    <xf numFmtId="0" fontId="12" fillId="0" borderId="0" xfId="0" applyFont="1" applyAlignment="1">
      <alignment horizontal="right"/>
    </xf>
    <xf numFmtId="165" fontId="1" fillId="0" borderId="0" xfId="1" applyNumberFormat="1" applyFont="1"/>
    <xf numFmtId="165" fontId="1" fillId="0" borderId="0" xfId="0" applyNumberFormat="1" applyFont="1"/>
    <xf numFmtId="0" fontId="12" fillId="0" borderId="0" xfId="0" applyFont="1" applyAlignment="1">
      <alignment horizontal="center"/>
    </xf>
    <xf numFmtId="165" fontId="1" fillId="2" borderId="0" xfId="1" applyNumberFormat="1" applyFont="1" applyFill="1"/>
    <xf numFmtId="165" fontId="1" fillId="0" borderId="0" xfId="1" applyNumberFormat="1" applyFont="1" applyFill="1"/>
    <xf numFmtId="165" fontId="1" fillId="0" borderId="0" xfId="1" applyNumberFormat="1" applyFont="1" applyFill="1" applyBorder="1"/>
    <xf numFmtId="165" fontId="1" fillId="2" borderId="2" xfId="1" applyNumberFormat="1" applyFont="1" applyFill="1" applyBorder="1"/>
    <xf numFmtId="165" fontId="1" fillId="0" borderId="2" xfId="1" applyNumberFormat="1" applyFont="1" applyFill="1" applyBorder="1"/>
    <xf numFmtId="9" fontId="1" fillId="0" borderId="0" xfId="54" applyFont="1"/>
    <xf numFmtId="165" fontId="1" fillId="0" borderId="0" xfId="1" applyNumberFormat="1" applyFont="1" applyBorder="1"/>
    <xf numFmtId="0" fontId="1" fillId="0" borderId="1" xfId="0" applyFont="1" applyBorder="1"/>
    <xf numFmtId="0" fontId="13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quotePrefix="1" applyFont="1"/>
    <xf numFmtId="43" fontId="1" fillId="0" borderId="0" xfId="1" applyFont="1"/>
    <xf numFmtId="43" fontId="1" fillId="0" borderId="6" xfId="0" applyNumberFormat="1" applyFont="1" applyBorder="1"/>
    <xf numFmtId="165" fontId="1" fillId="0" borderId="2" xfId="1" applyNumberFormat="1" applyFont="1" applyBorder="1"/>
    <xf numFmtId="43" fontId="1" fillId="0" borderId="6" xfId="1" applyFont="1" applyBorder="1"/>
    <xf numFmtId="165" fontId="1" fillId="2" borderId="3" xfId="1" applyNumberFormat="1" applyFont="1" applyFill="1" applyBorder="1"/>
    <xf numFmtId="165" fontId="1" fillId="0" borderId="3" xfId="1" applyNumberFormat="1" applyFont="1" applyFill="1" applyBorder="1"/>
    <xf numFmtId="165" fontId="1" fillId="0" borderId="6" xfId="0" applyNumberFormat="1" applyFont="1" applyBorder="1"/>
    <xf numFmtId="165" fontId="1" fillId="0" borderId="8" xfId="0" applyNumberFormat="1" applyFont="1" applyBorder="1"/>
    <xf numFmtId="0" fontId="1" fillId="0" borderId="9" xfId="0" applyFont="1" applyBorder="1"/>
    <xf numFmtId="43" fontId="1" fillId="0" borderId="0" xfId="0" applyNumberFormat="1" applyFont="1"/>
    <xf numFmtId="43" fontId="1" fillId="0" borderId="0" xfId="1" applyFont="1" applyBorder="1"/>
    <xf numFmtId="165" fontId="1" fillId="0" borderId="2" xfId="0" applyNumberFormat="1" applyFont="1" applyBorder="1"/>
    <xf numFmtId="0" fontId="1" fillId="0" borderId="2" xfId="0" applyFont="1" applyBorder="1"/>
    <xf numFmtId="43" fontId="12" fillId="0" borderId="0" xfId="0" applyNumberFormat="1" applyFont="1"/>
    <xf numFmtId="166" fontId="15" fillId="5" borderId="18" xfId="1" applyNumberFormat="1" applyFont="1" applyFill="1" applyBorder="1" applyProtection="1">
      <protection locked="0"/>
    </xf>
    <xf numFmtId="166" fontId="15" fillId="5" borderId="12" xfId="1" applyNumberFormat="1" applyFont="1" applyFill="1" applyBorder="1" applyProtection="1">
      <protection locked="0"/>
    </xf>
    <xf numFmtId="166" fontId="15" fillId="5" borderId="14" xfId="1" applyNumberFormat="1" applyFont="1" applyFill="1" applyBorder="1" applyProtection="1">
      <protection locked="0"/>
    </xf>
    <xf numFmtId="166" fontId="15" fillId="5" borderId="19" xfId="1" applyNumberFormat="1" applyFont="1" applyFill="1" applyBorder="1" applyProtection="1">
      <protection locked="0"/>
    </xf>
    <xf numFmtId="166" fontId="15" fillId="5" borderId="15" xfId="1" applyNumberFormat="1" applyFont="1" applyFill="1" applyBorder="1" applyProtection="1">
      <protection locked="0"/>
    </xf>
    <xf numFmtId="166" fontId="14" fillId="7" borderId="0" xfId="1" applyNumberFormat="1" applyFont="1" applyFill="1" applyProtection="1"/>
    <xf numFmtId="166" fontId="15" fillId="5" borderId="17" xfId="1" applyNumberFormat="1" applyFont="1" applyFill="1" applyBorder="1" applyProtection="1">
      <protection locked="0"/>
    </xf>
    <xf numFmtId="166" fontId="14" fillId="4" borderId="0" xfId="1" applyNumberFormat="1" applyFont="1" applyFill="1"/>
    <xf numFmtId="166" fontId="14" fillId="4" borderId="2" xfId="1" applyNumberFormat="1" applyFont="1" applyFill="1" applyBorder="1"/>
    <xf numFmtId="166" fontId="14" fillId="4" borderId="3" xfId="1" applyNumberFormat="1" applyFont="1" applyFill="1" applyBorder="1"/>
    <xf numFmtId="166" fontId="14" fillId="4" borderId="13" xfId="1" applyNumberFormat="1" applyFont="1" applyFill="1" applyBorder="1"/>
    <xf numFmtId="165" fontId="14" fillId="4" borderId="0" xfId="1" applyNumberFormat="1" applyFont="1" applyFill="1"/>
    <xf numFmtId="166" fontId="18" fillId="3" borderId="16" xfId="1" applyNumberFormat="1" applyFont="1" applyFill="1" applyBorder="1" applyAlignment="1">
      <alignment horizontal="center" vertical="center"/>
    </xf>
    <xf numFmtId="166" fontId="14" fillId="4" borderId="16" xfId="1" applyNumberFormat="1" applyFont="1" applyFill="1" applyBorder="1"/>
    <xf numFmtId="0" fontId="15" fillId="6" borderId="4" xfId="0" applyFont="1" applyFill="1" applyBorder="1"/>
    <xf numFmtId="0" fontId="17" fillId="6" borderId="28" xfId="0" applyFont="1" applyFill="1" applyBorder="1"/>
    <xf numFmtId="0" fontId="15" fillId="6" borderId="28" xfId="0" applyFont="1" applyFill="1" applyBorder="1"/>
    <xf numFmtId="0" fontId="15" fillId="6" borderId="5" xfId="0" applyFont="1" applyFill="1" applyBorder="1"/>
    <xf numFmtId="164" fontId="14" fillId="4" borderId="16" xfId="1" applyNumberFormat="1" applyFont="1" applyFill="1" applyBorder="1"/>
    <xf numFmtId="0" fontId="15" fillId="6" borderId="6" xfId="0" applyFont="1" applyFill="1" applyBorder="1"/>
    <xf numFmtId="0" fontId="15" fillId="6" borderId="0" xfId="0" applyFont="1" applyFill="1"/>
    <xf numFmtId="0" fontId="15" fillId="6" borderId="7" xfId="0" applyFont="1" applyFill="1" applyBorder="1"/>
    <xf numFmtId="166" fontId="15" fillId="6" borderId="0" xfId="1" applyNumberFormat="1" applyFont="1" applyFill="1" applyBorder="1"/>
    <xf numFmtId="43" fontId="15" fillId="6" borderId="0" xfId="1" applyFont="1" applyFill="1" applyBorder="1"/>
    <xf numFmtId="0" fontId="15" fillId="6" borderId="8" xfId="0" applyFont="1" applyFill="1" applyBorder="1"/>
    <xf numFmtId="0" fontId="15" fillId="6" borderId="2" xfId="0" applyFont="1" applyFill="1" applyBorder="1"/>
    <xf numFmtId="0" fontId="15" fillId="6" borderId="9" xfId="0" applyFont="1" applyFill="1" applyBorder="1"/>
    <xf numFmtId="166" fontId="18" fillId="4" borderId="26" xfId="1" applyNumberFormat="1" applyFont="1" applyFill="1" applyBorder="1"/>
    <xf numFmtId="166" fontId="14" fillId="4" borderId="27" xfId="1" applyNumberFormat="1" applyFont="1" applyFill="1" applyBorder="1"/>
    <xf numFmtId="0" fontId="15" fillId="6" borderId="22" xfId="0" applyFont="1" applyFill="1" applyBorder="1"/>
    <xf numFmtId="0" fontId="15" fillId="6" borderId="24" xfId="0" applyFont="1" applyFill="1" applyBorder="1"/>
    <xf numFmtId="0" fontId="22" fillId="6" borderId="0" xfId="0" applyFont="1" applyFill="1"/>
    <xf numFmtId="0" fontId="17" fillId="6" borderId="0" xfId="0" applyFont="1" applyFill="1" applyAlignment="1">
      <alignment horizontal="left" indent="2"/>
    </xf>
    <xf numFmtId="0" fontId="23" fillId="6" borderId="0" xfId="0" applyFont="1" applyFill="1"/>
    <xf numFmtId="0" fontId="17" fillId="6" borderId="0" xfId="0" applyFont="1" applyFill="1"/>
    <xf numFmtId="0" fontId="20" fillId="6" borderId="0" xfId="0" applyFont="1" applyFill="1"/>
    <xf numFmtId="166" fontId="15" fillId="6" borderId="0" xfId="1" applyNumberFormat="1" applyFont="1" applyFill="1"/>
    <xf numFmtId="0" fontId="21" fillId="6" borderId="0" xfId="0" applyFont="1" applyFill="1"/>
    <xf numFmtId="166" fontId="15" fillId="6" borderId="24" xfId="1" applyNumberFormat="1" applyFont="1" applyFill="1" applyBorder="1"/>
    <xf numFmtId="0" fontId="15" fillId="6" borderId="25" xfId="0" applyFont="1" applyFill="1" applyBorder="1"/>
    <xf numFmtId="0" fontId="15" fillId="6" borderId="21" xfId="0" applyFont="1" applyFill="1" applyBorder="1"/>
    <xf numFmtId="0" fontId="21" fillId="6" borderId="0" xfId="0" applyFont="1" applyFill="1" applyProtection="1">
      <protection locked="0"/>
    </xf>
    <xf numFmtId="0" fontId="17" fillId="6" borderId="0" xfId="0" applyFont="1" applyFill="1" applyAlignment="1">
      <alignment horizontal="right"/>
    </xf>
    <xf numFmtId="165" fontId="15" fillId="6" borderId="0" xfId="0" applyNumberFormat="1" applyFont="1" applyFill="1"/>
    <xf numFmtId="166" fontId="15" fillId="6" borderId="22" xfId="1" applyNumberFormat="1" applyFont="1" applyFill="1" applyBorder="1"/>
    <xf numFmtId="0" fontId="15" fillId="6" borderId="23" xfId="0" applyFont="1" applyFill="1" applyBorder="1"/>
    <xf numFmtId="165" fontId="15" fillId="6" borderId="0" xfId="1" applyNumberFormat="1" applyFont="1" applyFill="1"/>
    <xf numFmtId="165" fontId="15" fillId="6" borderId="2" xfId="1" applyNumberFormat="1" applyFont="1" applyFill="1" applyBorder="1"/>
    <xf numFmtId="9" fontId="15" fillId="6" borderId="0" xfId="54" applyFont="1" applyFill="1"/>
    <xf numFmtId="165" fontId="15" fillId="6" borderId="0" xfId="1" applyNumberFormat="1" applyFont="1" applyFill="1" applyBorder="1"/>
    <xf numFmtId="165" fontId="15" fillId="6" borderId="3" xfId="1" applyNumberFormat="1" applyFont="1" applyFill="1" applyBorder="1"/>
    <xf numFmtId="166" fontId="19" fillId="6" borderId="0" xfId="1" applyNumberFormat="1" applyFont="1" applyFill="1"/>
    <xf numFmtId="165" fontId="15" fillId="6" borderId="13" xfId="1" applyNumberFormat="1" applyFont="1" applyFill="1" applyBorder="1"/>
    <xf numFmtId="43" fontId="17" fillId="6" borderId="0" xfId="0" applyNumberFormat="1" applyFont="1" applyFill="1"/>
    <xf numFmtId="166" fontId="17" fillId="6" borderId="0" xfId="1" applyNumberFormat="1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164" fontId="15" fillId="6" borderId="0" xfId="0" applyNumberFormat="1" applyFont="1" applyFill="1"/>
    <xf numFmtId="166" fontId="15" fillId="6" borderId="2" xfId="1" applyNumberFormat="1" applyFont="1" applyFill="1" applyBorder="1"/>
    <xf numFmtId="0" fontId="15" fillId="6" borderId="0" xfId="0" quotePrefix="1" applyFont="1" applyFill="1"/>
    <xf numFmtId="166" fontId="15" fillId="8" borderId="0" xfId="1" applyNumberFormat="1" applyFont="1" applyFill="1" applyBorder="1" applyProtection="1"/>
    <xf numFmtId="0" fontId="22" fillId="8" borderId="0" xfId="0" applyFont="1" applyFill="1"/>
    <xf numFmtId="0" fontId="15" fillId="8" borderId="0" xfId="0" applyFont="1" applyFill="1"/>
    <xf numFmtId="0" fontId="15" fillId="8" borderId="0" xfId="0" applyFont="1" applyFill="1" applyProtection="1">
      <protection locked="0"/>
    </xf>
    <xf numFmtId="0" fontId="21" fillId="8" borderId="0" xfId="0" applyFont="1" applyFill="1" applyProtection="1">
      <protection locked="0"/>
    </xf>
    <xf numFmtId="166" fontId="15" fillId="8" borderId="0" xfId="1" applyNumberFormat="1" applyFont="1" applyFill="1" applyBorder="1" applyProtection="1">
      <protection locked="0"/>
    </xf>
    <xf numFmtId="166" fontId="15" fillId="8" borderId="0" xfId="1" applyNumberFormat="1" applyFont="1" applyFill="1" applyProtection="1"/>
    <xf numFmtId="0" fontId="24" fillId="8" borderId="29" xfId="95" applyFont="1" applyFill="1" applyBorder="1"/>
    <xf numFmtId="0" fontId="25" fillId="8" borderId="2" xfId="95" applyFont="1" applyFill="1" applyBorder="1" applyAlignment="1">
      <alignment horizontal="left" vertical="center"/>
    </xf>
    <xf numFmtId="0" fontId="26" fillId="8" borderId="2" xfId="95" applyFont="1" applyFill="1" applyBorder="1" applyAlignment="1">
      <alignment horizontal="left" vertical="center"/>
    </xf>
    <xf numFmtId="0" fontId="24" fillId="8" borderId="2" xfId="95" applyFont="1" applyFill="1" applyBorder="1"/>
    <xf numFmtId="0" fontId="24" fillId="8" borderId="2" xfId="95" applyFont="1" applyFill="1" applyBorder="1" applyAlignment="1">
      <alignment vertical="center"/>
    </xf>
    <xf numFmtId="0" fontId="27" fillId="8" borderId="30" xfId="95" applyFont="1" applyFill="1" applyBorder="1" applyAlignment="1">
      <alignment horizontal="right" vertical="center"/>
    </xf>
    <xf numFmtId="0" fontId="2" fillId="8" borderId="31" xfId="95" applyFill="1" applyBorder="1" applyAlignment="1">
      <alignment horizontal="center" vertical="center"/>
    </xf>
    <xf numFmtId="0" fontId="28" fillId="8" borderId="0" xfId="96" applyFill="1"/>
    <xf numFmtId="0" fontId="29" fillId="9" borderId="16" xfId="96" applyFont="1" applyFill="1" applyBorder="1"/>
    <xf numFmtId="0" fontId="30" fillId="9" borderId="16" xfId="96" applyFont="1" applyFill="1" applyBorder="1"/>
    <xf numFmtId="0" fontId="30" fillId="9" borderId="16" xfId="96" applyFont="1" applyFill="1" applyBorder="1" applyAlignment="1">
      <alignment horizontal="center" vertical="center"/>
    </xf>
    <xf numFmtId="0" fontId="28" fillId="8" borderId="16" xfId="96" applyFill="1" applyBorder="1"/>
    <xf numFmtId="0" fontId="31" fillId="6" borderId="24" xfId="0" applyFont="1" applyFill="1" applyBorder="1" applyAlignment="1">
      <alignment horizontal="left" vertical="top"/>
    </xf>
    <xf numFmtId="0" fontId="32" fillId="6" borderId="24" xfId="0" applyFont="1" applyFill="1" applyBorder="1" applyAlignment="1">
      <alignment horizontal="left" vertical="top"/>
    </xf>
    <xf numFmtId="0" fontId="33" fillId="6" borderId="24" xfId="0" applyFont="1" applyFill="1" applyBorder="1" applyAlignment="1">
      <alignment horizontal="left" vertical="top"/>
    </xf>
    <xf numFmtId="166" fontId="33" fillId="6" borderId="24" xfId="1" applyNumberFormat="1" applyFont="1" applyFill="1" applyBorder="1" applyAlignment="1">
      <alignment horizontal="left" vertical="top"/>
    </xf>
    <xf numFmtId="0" fontId="24" fillId="6" borderId="0" xfId="95" applyFont="1" applyFill="1"/>
    <xf numFmtId="0" fontId="2" fillId="6" borderId="31" xfId="95" applyFill="1" applyBorder="1" applyAlignment="1">
      <alignment horizontal="center" vertical="center"/>
    </xf>
    <xf numFmtId="0" fontId="2" fillId="6" borderId="0" xfId="95" applyFill="1" applyAlignment="1">
      <alignment horizontal="center" vertical="center"/>
    </xf>
    <xf numFmtId="0" fontId="28" fillId="0" borderId="16" xfId="96" applyBorder="1"/>
    <xf numFmtId="0" fontId="28" fillId="0" borderId="16" xfId="96" applyBorder="1" applyAlignment="1">
      <alignment wrapText="1"/>
    </xf>
    <xf numFmtId="14" fontId="28" fillId="8" borderId="16" xfId="96" applyNumberFormat="1" applyFill="1" applyBorder="1"/>
    <xf numFmtId="0" fontId="28" fillId="0" borderId="16" xfId="96" applyBorder="1" applyAlignment="1">
      <alignment horizontal="center"/>
    </xf>
    <xf numFmtId="0" fontId="14" fillId="8" borderId="0" xfId="0" applyFont="1" applyFill="1" applyProtection="1">
      <protection locked="0"/>
    </xf>
    <xf numFmtId="166" fontId="14" fillId="8" borderId="0" xfId="1" applyNumberFormat="1" applyFont="1" applyFill="1" applyProtection="1">
      <protection locked="0"/>
    </xf>
    <xf numFmtId="166" fontId="15" fillId="8" borderId="0" xfId="1" applyNumberFormat="1" applyFont="1" applyFill="1" applyProtection="1">
      <protection locked="0"/>
    </xf>
    <xf numFmtId="166" fontId="15" fillId="8" borderId="0" xfId="1" applyNumberFormat="1" applyFont="1" applyFill="1" applyBorder="1" applyAlignment="1" applyProtection="1">
      <protection locked="0"/>
    </xf>
    <xf numFmtId="0" fontId="16" fillId="8" borderId="0" xfId="0" applyFont="1" applyFill="1" applyProtection="1">
      <protection locked="0"/>
    </xf>
    <xf numFmtId="0" fontId="14" fillId="8" borderId="0" xfId="0" applyFont="1" applyFill="1"/>
    <xf numFmtId="166" fontId="14" fillId="8" borderId="0" xfId="1" applyNumberFormat="1" applyFont="1" applyFill="1" applyBorder="1" applyProtection="1">
      <protection locked="0"/>
    </xf>
    <xf numFmtId="166" fontId="14" fillId="8" borderId="0" xfId="1" applyNumberFormat="1" applyFont="1" applyFill="1" applyBorder="1" applyProtection="1"/>
    <xf numFmtId="164" fontId="15" fillId="8" borderId="0" xfId="0" applyNumberFormat="1" applyFont="1" applyFill="1"/>
    <xf numFmtId="166" fontId="14" fillId="8" borderId="0" xfId="1" applyNumberFormat="1" applyFont="1" applyFill="1" applyProtection="1"/>
    <xf numFmtId="0" fontId="34" fillId="8" borderId="0" xfId="0" applyFont="1" applyFill="1"/>
    <xf numFmtId="0" fontId="37" fillId="8" borderId="0" xfId="0" applyFont="1" applyFill="1"/>
    <xf numFmtId="166" fontId="34" fillId="8" borderId="0" xfId="1" applyNumberFormat="1" applyFont="1" applyFill="1" applyProtection="1"/>
    <xf numFmtId="0" fontId="28" fillId="10" borderId="16" xfId="96" applyFill="1" applyBorder="1"/>
    <xf numFmtId="166" fontId="15" fillId="10" borderId="12" xfId="1" applyNumberFormat="1" applyFont="1" applyFill="1" applyBorder="1" applyProtection="1">
      <protection locked="0"/>
    </xf>
    <xf numFmtId="166" fontId="15" fillId="10" borderId="18" xfId="1" applyNumberFormat="1" applyFont="1" applyFill="1" applyBorder="1" applyProtection="1">
      <protection locked="0"/>
    </xf>
    <xf numFmtId="166" fontId="15" fillId="10" borderId="14" xfId="1" applyNumberFormat="1" applyFont="1" applyFill="1" applyBorder="1" applyProtection="1">
      <protection locked="0"/>
    </xf>
    <xf numFmtId="0" fontId="15" fillId="8" borderId="2" xfId="0" applyFont="1" applyFill="1" applyBorder="1"/>
    <xf numFmtId="0" fontId="40" fillId="8" borderId="0" xfId="0" applyFont="1" applyFill="1"/>
    <xf numFmtId="166" fontId="40" fillId="8" borderId="0" xfId="1" applyNumberFormat="1" applyFont="1" applyFill="1" applyProtection="1"/>
    <xf numFmtId="165" fontId="40" fillId="8" borderId="0" xfId="0" applyNumberFormat="1" applyFont="1" applyFill="1"/>
    <xf numFmtId="0" fontId="41" fillId="8" borderId="0" xfId="0" applyFont="1" applyFill="1" applyAlignment="1">
      <alignment horizontal="center"/>
    </xf>
    <xf numFmtId="0" fontId="41" fillId="8" borderId="0" xfId="0" applyFont="1" applyFill="1"/>
    <xf numFmtId="165" fontId="40" fillId="8" borderId="0" xfId="1" applyNumberFormat="1" applyFont="1" applyFill="1" applyBorder="1" applyProtection="1"/>
    <xf numFmtId="166" fontId="40" fillId="8" borderId="0" xfId="1" applyNumberFormat="1" applyFont="1" applyFill="1" applyBorder="1" applyProtection="1"/>
    <xf numFmtId="0" fontId="40" fillId="8" borderId="0" xfId="1" applyNumberFormat="1" applyFont="1" applyFill="1" applyBorder="1" applyProtection="1"/>
    <xf numFmtId="43" fontId="40" fillId="8" borderId="0" xfId="1" applyFont="1" applyFill="1" applyBorder="1" applyProtection="1"/>
    <xf numFmtId="166" fontId="41" fillId="8" borderId="0" xfId="1" applyNumberFormat="1" applyFont="1" applyFill="1" applyProtection="1"/>
    <xf numFmtId="166" fontId="41" fillId="8" borderId="0" xfId="1" applyNumberFormat="1" applyFont="1" applyFill="1" applyAlignment="1" applyProtection="1">
      <alignment horizontal="center"/>
    </xf>
    <xf numFmtId="0" fontId="40" fillId="8" borderId="4" xfId="0" applyFont="1" applyFill="1" applyBorder="1"/>
    <xf numFmtId="0" fontId="41" fillId="8" borderId="28" xfId="0" applyFont="1" applyFill="1" applyBorder="1"/>
    <xf numFmtId="0" fontId="40" fillId="8" borderId="28" xfId="0" applyFont="1" applyFill="1" applyBorder="1"/>
    <xf numFmtId="0" fontId="40" fillId="8" borderId="5" xfId="0" applyFont="1" applyFill="1" applyBorder="1"/>
    <xf numFmtId="0" fontId="40" fillId="8" borderId="6" xfId="0" applyFont="1" applyFill="1" applyBorder="1"/>
    <xf numFmtId="0" fontId="40" fillId="8" borderId="7" xfId="0" applyFont="1" applyFill="1" applyBorder="1"/>
    <xf numFmtId="166" fontId="40" fillId="8" borderId="16" xfId="1" applyNumberFormat="1" applyFont="1" applyFill="1" applyBorder="1" applyProtection="1"/>
    <xf numFmtId="43" fontId="41" fillId="8" borderId="0" xfId="0" applyNumberFormat="1" applyFont="1" applyFill="1"/>
    <xf numFmtId="0" fontId="40" fillId="8" borderId="16" xfId="1" applyNumberFormat="1" applyFont="1" applyFill="1" applyBorder="1" applyProtection="1"/>
    <xf numFmtId="0" fontId="40" fillId="8" borderId="8" xfId="0" applyFont="1" applyFill="1" applyBorder="1"/>
    <xf numFmtId="0" fontId="40" fillId="8" borderId="2" xfId="0" applyFont="1" applyFill="1" applyBorder="1"/>
    <xf numFmtId="0" fontId="40" fillId="8" borderId="9" xfId="0" applyFont="1" applyFill="1" applyBorder="1"/>
    <xf numFmtId="0" fontId="38" fillId="8" borderId="0" xfId="0" applyFont="1" applyFill="1"/>
    <xf numFmtId="0" fontId="39" fillId="8" borderId="0" xfId="0" applyFont="1" applyFill="1" applyAlignment="1">
      <alignment horizontal="right"/>
    </xf>
    <xf numFmtId="0" fontId="33" fillId="8" borderId="2" xfId="0" applyFont="1" applyFill="1" applyBorder="1" applyAlignment="1">
      <alignment horizontal="left" vertical="top"/>
    </xf>
    <xf numFmtId="166" fontId="15" fillId="8" borderId="2" xfId="1" applyNumberFormat="1" applyFont="1" applyFill="1" applyBorder="1"/>
    <xf numFmtId="0" fontId="15" fillId="8" borderId="32" xfId="0" applyFont="1" applyFill="1" applyBorder="1"/>
    <xf numFmtId="0" fontId="2" fillId="8" borderId="2" xfId="95" applyFill="1" applyBorder="1" applyAlignment="1">
      <alignment horizontal="center" vertical="center"/>
    </xf>
    <xf numFmtId="0" fontId="34" fillId="8" borderId="7" xfId="0" applyFont="1" applyFill="1" applyBorder="1"/>
    <xf numFmtId="0" fontId="14" fillId="8" borderId="7" xfId="0" applyFont="1" applyFill="1" applyBorder="1"/>
    <xf numFmtId="0" fontId="43" fillId="8" borderId="0" xfId="0" applyFont="1" applyFill="1"/>
    <xf numFmtId="0" fontId="41" fillId="8" borderId="0" xfId="0" applyFont="1" applyFill="1" applyAlignment="1">
      <alignment horizontal="left" indent="2"/>
    </xf>
    <xf numFmtId="0" fontId="44" fillId="8" borderId="0" xfId="0" applyFont="1" applyFill="1"/>
    <xf numFmtId="165" fontId="34" fillId="8" borderId="0" xfId="1" applyNumberFormat="1" applyFont="1" applyFill="1" applyProtection="1"/>
    <xf numFmtId="165" fontId="34" fillId="8" borderId="2" xfId="1" applyNumberFormat="1" applyFont="1" applyFill="1" applyBorder="1" applyProtection="1"/>
    <xf numFmtId="9" fontId="34" fillId="8" borderId="0" xfId="54" applyFont="1" applyFill="1" applyProtection="1"/>
    <xf numFmtId="165" fontId="34" fillId="8" borderId="0" xfId="1" applyNumberFormat="1" applyFont="1" applyFill="1" applyBorder="1" applyProtection="1"/>
    <xf numFmtId="166" fontId="46" fillId="8" borderId="2" xfId="1" applyNumberFormat="1" applyFont="1" applyFill="1" applyBorder="1" applyAlignment="1">
      <alignment horizontal="left" vertical="top"/>
    </xf>
    <xf numFmtId="166" fontId="40" fillId="8" borderId="2" xfId="1" applyNumberFormat="1" applyFont="1" applyFill="1" applyBorder="1" applyProtection="1"/>
    <xf numFmtId="165" fontId="47" fillId="8" borderId="0" xfId="1" applyNumberFormat="1" applyFont="1" applyFill="1" applyProtection="1"/>
    <xf numFmtId="166" fontId="47" fillId="10" borderId="12" xfId="1" applyNumberFormat="1" applyFont="1" applyFill="1" applyBorder="1" applyProtection="1">
      <protection locked="0"/>
    </xf>
    <xf numFmtId="166" fontId="47" fillId="10" borderId="18" xfId="1" applyNumberFormat="1" applyFont="1" applyFill="1" applyBorder="1" applyProtection="1">
      <protection locked="0"/>
    </xf>
    <xf numFmtId="165" fontId="47" fillId="8" borderId="2" xfId="1" applyNumberFormat="1" applyFont="1" applyFill="1" applyBorder="1" applyProtection="1"/>
    <xf numFmtId="166" fontId="47" fillId="8" borderId="0" xfId="1" applyNumberFormat="1" applyFont="1" applyFill="1" applyProtection="1"/>
    <xf numFmtId="9" fontId="47" fillId="8" borderId="0" xfId="54" applyFont="1" applyFill="1" applyProtection="1"/>
    <xf numFmtId="166" fontId="47" fillId="10" borderId="14" xfId="1" applyNumberFormat="1" applyFont="1" applyFill="1" applyBorder="1" applyProtection="1">
      <protection locked="0"/>
    </xf>
    <xf numFmtId="166" fontId="47" fillId="8" borderId="2" xfId="1" applyNumberFormat="1" applyFont="1" applyFill="1" applyBorder="1" applyProtection="1"/>
    <xf numFmtId="165" fontId="47" fillId="8" borderId="0" xfId="1" applyNumberFormat="1" applyFont="1" applyFill="1" applyBorder="1" applyProtection="1"/>
    <xf numFmtId="166" fontId="47" fillId="10" borderId="19" xfId="1" applyNumberFormat="1" applyFont="1" applyFill="1" applyBorder="1" applyProtection="1">
      <protection locked="0"/>
    </xf>
    <xf numFmtId="165" fontId="47" fillId="8" borderId="3" xfId="1" applyNumberFormat="1" applyFont="1" applyFill="1" applyBorder="1" applyProtection="1"/>
    <xf numFmtId="166" fontId="47" fillId="10" borderId="15" xfId="1" applyNumberFormat="1" applyFont="1" applyFill="1" applyBorder="1" applyProtection="1">
      <protection locked="0"/>
    </xf>
    <xf numFmtId="166" fontId="47" fillId="7" borderId="0" xfId="1" applyNumberFormat="1" applyFont="1" applyFill="1" applyProtection="1"/>
    <xf numFmtId="166" fontId="40" fillId="11" borderId="18" xfId="1" applyNumberFormat="1" applyFont="1" applyFill="1" applyBorder="1" applyProtection="1"/>
    <xf numFmtId="166" fontId="47" fillId="8" borderId="3" xfId="1" applyNumberFormat="1" applyFont="1" applyFill="1" applyBorder="1" applyProtection="1"/>
    <xf numFmtId="166" fontId="47" fillId="8" borderId="13" xfId="1" applyNumberFormat="1" applyFont="1" applyFill="1" applyBorder="1" applyProtection="1"/>
    <xf numFmtId="165" fontId="47" fillId="8" borderId="13" xfId="1" applyNumberFormat="1" applyFont="1" applyFill="1" applyBorder="1" applyProtection="1"/>
    <xf numFmtId="0" fontId="47" fillId="8" borderId="0" xfId="0" applyFont="1" applyFill="1" applyProtection="1">
      <protection locked="0"/>
    </xf>
    <xf numFmtId="0" fontId="47" fillId="8" borderId="0" xfId="0" applyFont="1" applyFill="1"/>
    <xf numFmtId="166" fontId="47" fillId="8" borderId="0" xfId="1" applyNumberFormat="1" applyFont="1" applyFill="1" applyBorder="1" applyProtection="1">
      <protection locked="0"/>
    </xf>
    <xf numFmtId="166" fontId="47" fillId="8" borderId="0" xfId="1" applyNumberFormat="1" applyFont="1" applyFill="1" applyProtection="1">
      <protection locked="0"/>
    </xf>
    <xf numFmtId="166" fontId="15" fillId="11" borderId="0" xfId="1" applyNumberFormat="1" applyFont="1" applyFill="1" applyBorder="1" applyAlignment="1" applyProtection="1">
      <protection locked="0"/>
    </xf>
    <xf numFmtId="0" fontId="35" fillId="8" borderId="2" xfId="0" applyFont="1" applyFill="1" applyBorder="1" applyAlignment="1" applyProtection="1">
      <alignment horizontal="left"/>
      <protection locked="0"/>
    </xf>
    <xf numFmtId="0" fontId="34" fillId="8" borderId="2" xfId="0" applyFont="1" applyFill="1" applyBorder="1" applyProtection="1">
      <protection locked="0"/>
    </xf>
    <xf numFmtId="0" fontId="36" fillId="8" borderId="2" xfId="0" applyFont="1" applyFill="1" applyBorder="1" applyAlignment="1" applyProtection="1">
      <alignment horizontal="left"/>
      <protection locked="0"/>
    </xf>
    <xf numFmtId="166" fontId="34" fillId="8" borderId="2" xfId="1" applyNumberFormat="1" applyFont="1" applyFill="1" applyBorder="1" applyProtection="1">
      <protection locked="0"/>
    </xf>
    <xf numFmtId="0" fontId="34" fillId="8" borderId="32" xfId="0" applyFont="1" applyFill="1" applyBorder="1" applyProtection="1">
      <protection locked="0"/>
    </xf>
    <xf numFmtId="0" fontId="47" fillId="8" borderId="7" xfId="0" applyFont="1" applyFill="1" applyBorder="1" applyProtection="1">
      <protection locked="0"/>
    </xf>
    <xf numFmtId="166" fontId="40" fillId="11" borderId="18" xfId="1" applyNumberFormat="1" applyFont="1" applyFill="1" applyBorder="1" applyProtection="1">
      <protection locked="0"/>
    </xf>
    <xf numFmtId="0" fontId="40" fillId="8" borderId="0" xfId="0" applyFont="1" applyFill="1" applyProtection="1">
      <protection locked="0"/>
    </xf>
    <xf numFmtId="0" fontId="48" fillId="8" borderId="0" xfId="0" applyFont="1" applyFill="1" applyProtection="1">
      <protection locked="0"/>
    </xf>
    <xf numFmtId="0" fontId="49" fillId="8" borderId="0" xfId="0" applyFont="1" applyFill="1"/>
    <xf numFmtId="0" fontId="40" fillId="8" borderId="0" xfId="0" quotePrefix="1" applyFont="1" applyFill="1"/>
    <xf numFmtId="0" fontId="41" fillId="8" borderId="0" xfId="0" applyFont="1" applyFill="1" applyProtection="1">
      <protection locked="0"/>
    </xf>
    <xf numFmtId="0" fontId="40" fillId="8" borderId="20" xfId="0" applyFont="1" applyFill="1" applyBorder="1" applyProtection="1">
      <protection locked="0"/>
    </xf>
    <xf numFmtId="166" fontId="40" fillId="8" borderId="0" xfId="1" applyNumberFormat="1" applyFont="1" applyFill="1" applyBorder="1" applyProtection="1">
      <protection locked="0"/>
    </xf>
    <xf numFmtId="166" fontId="41" fillId="8" borderId="26" xfId="1" applyNumberFormat="1" applyFont="1" applyFill="1" applyBorder="1" applyProtection="1"/>
    <xf numFmtId="166" fontId="40" fillId="8" borderId="27" xfId="1" applyNumberFormat="1" applyFont="1" applyFill="1" applyBorder="1" applyProtection="1"/>
    <xf numFmtId="166" fontId="40" fillId="11" borderId="16" xfId="1" applyNumberFormat="1" applyFont="1" applyFill="1" applyBorder="1" applyProtection="1"/>
    <xf numFmtId="166" fontId="18" fillId="9" borderId="16" xfId="1" applyNumberFormat="1" applyFont="1" applyFill="1" applyBorder="1" applyAlignment="1" applyProtection="1">
      <alignment horizontal="center" vertical="center"/>
    </xf>
    <xf numFmtId="0" fontId="42" fillId="8" borderId="2" xfId="0" applyFont="1" applyFill="1" applyBorder="1" applyAlignment="1">
      <alignment horizontal="left"/>
    </xf>
    <xf numFmtId="0" fontId="31" fillId="8" borderId="2" xfId="0" applyFont="1" applyFill="1" applyBorder="1" applyAlignment="1">
      <alignment horizontal="left"/>
    </xf>
    <xf numFmtId="0" fontId="45" fillId="8" borderId="2" xfId="0" applyFont="1" applyFill="1" applyBorder="1" applyAlignment="1">
      <alignment horizontal="left"/>
    </xf>
    <xf numFmtId="0" fontId="51" fillId="8" borderId="0" xfId="96" applyFont="1" applyFill="1"/>
    <xf numFmtId="0" fontId="52" fillId="8" borderId="0" xfId="0" applyFont="1" applyFill="1"/>
    <xf numFmtId="0" fontId="50" fillId="8" borderId="0" xfId="0" applyFont="1" applyFill="1"/>
    <xf numFmtId="0" fontId="1" fillId="0" borderId="0" xfId="97"/>
    <xf numFmtId="0" fontId="28" fillId="0" borderId="0" xfId="96"/>
    <xf numFmtId="167" fontId="0" fillId="0" borderId="0" xfId="98" applyNumberFormat="1" applyFont="1"/>
    <xf numFmtId="167" fontId="0" fillId="0" borderId="34" xfId="98" applyNumberFormat="1" applyFont="1" applyBorder="1"/>
    <xf numFmtId="167" fontId="0" fillId="0" borderId="1" xfId="98" applyNumberFormat="1" applyFont="1" applyBorder="1"/>
    <xf numFmtId="0" fontId="1" fillId="0" borderId="1" xfId="97" applyBorder="1"/>
    <xf numFmtId="167" fontId="0" fillId="0" borderId="36" xfId="98" applyNumberFormat="1" applyFont="1" applyBorder="1"/>
    <xf numFmtId="167" fontId="0" fillId="0" borderId="0" xfId="98" applyNumberFormat="1" applyFont="1" applyBorder="1"/>
    <xf numFmtId="0" fontId="54" fillId="0" borderId="37" xfId="97" applyFont="1" applyBorder="1"/>
    <xf numFmtId="10" fontId="55" fillId="0" borderId="34" xfId="99" applyNumberFormat="1" applyFont="1" applyFill="1" applyBorder="1"/>
    <xf numFmtId="10" fontId="55" fillId="0" borderId="1" xfId="99" applyNumberFormat="1" applyFont="1" applyFill="1" applyBorder="1"/>
    <xf numFmtId="0" fontId="55" fillId="0" borderId="1" xfId="97" applyFont="1" applyBorder="1" applyAlignment="1">
      <alignment horizontal="right"/>
    </xf>
    <xf numFmtId="10" fontId="55" fillId="0" borderId="36" xfId="99" applyNumberFormat="1" applyFont="1" applyFill="1" applyBorder="1"/>
    <xf numFmtId="10" fontId="55" fillId="0" borderId="0" xfId="99" applyNumberFormat="1" applyFont="1" applyFill="1" applyBorder="1"/>
    <xf numFmtId="0" fontId="55" fillId="0" borderId="0" xfId="97" applyFont="1" applyAlignment="1">
      <alignment horizontal="right"/>
    </xf>
    <xf numFmtId="169" fontId="56" fillId="0" borderId="36" xfId="100" applyNumberFormat="1" applyFont="1" applyFill="1" applyBorder="1"/>
    <xf numFmtId="169" fontId="56" fillId="0" borderId="0" xfId="100" applyNumberFormat="1" applyFont="1" applyFill="1" applyBorder="1"/>
    <xf numFmtId="0" fontId="57" fillId="0" borderId="0" xfId="97" applyFont="1" applyAlignment="1">
      <alignment horizontal="left" indent="2"/>
    </xf>
    <xf numFmtId="167" fontId="58" fillId="0" borderId="36" xfId="98" applyNumberFormat="1" applyFont="1" applyFill="1" applyBorder="1"/>
    <xf numFmtId="167" fontId="58" fillId="0" borderId="0" xfId="98" applyNumberFormat="1" applyFont="1" applyFill="1" applyBorder="1"/>
    <xf numFmtId="0" fontId="58" fillId="0" borderId="0" xfId="97" applyFont="1"/>
    <xf numFmtId="167" fontId="59" fillId="11" borderId="38" xfId="98" applyNumberFormat="1" applyFont="1" applyFill="1" applyBorder="1"/>
    <xf numFmtId="167" fontId="59" fillId="11" borderId="16" xfId="98" applyNumberFormat="1" applyFont="1" applyFill="1" applyBorder="1"/>
    <xf numFmtId="0" fontId="58" fillId="0" borderId="0" xfId="97" applyFont="1" applyAlignment="1">
      <alignment horizontal="left" indent="1"/>
    </xf>
    <xf numFmtId="0" fontId="60" fillId="0" borderId="0" xfId="97" applyFont="1"/>
    <xf numFmtId="167" fontId="61" fillId="0" borderId="36" xfId="98" applyNumberFormat="1" applyFont="1" applyFill="1" applyBorder="1"/>
    <xf numFmtId="167" fontId="61" fillId="0" borderId="0" xfId="98" applyNumberFormat="1" applyFont="1" applyFill="1" applyBorder="1"/>
    <xf numFmtId="167" fontId="61" fillId="0" borderId="36" xfId="98" applyNumberFormat="1" applyFont="1" applyBorder="1"/>
    <xf numFmtId="167" fontId="61" fillId="0" borderId="0" xfId="98" applyNumberFormat="1" applyFont="1" applyBorder="1"/>
    <xf numFmtId="167" fontId="58" fillId="0" borderId="36" xfId="98" applyNumberFormat="1" applyFont="1" applyBorder="1"/>
    <xf numFmtId="167" fontId="58" fillId="0" borderId="0" xfId="98" applyNumberFormat="1" applyFont="1" applyBorder="1"/>
    <xf numFmtId="165" fontId="62" fillId="13" borderId="2" xfId="98" applyFont="1" applyFill="1" applyBorder="1"/>
    <xf numFmtId="165" fontId="62" fillId="13" borderId="8" xfId="98" applyFont="1" applyFill="1" applyBorder="1" applyAlignment="1">
      <alignment horizontal="right"/>
    </xf>
    <xf numFmtId="167" fontId="63" fillId="0" borderId="36" xfId="98" applyNumberFormat="1" applyFont="1" applyFill="1" applyBorder="1"/>
    <xf numFmtId="167" fontId="63" fillId="0" borderId="0" xfId="98" applyNumberFormat="1" applyFont="1" applyFill="1" applyBorder="1"/>
    <xf numFmtId="0" fontId="64" fillId="0" borderId="0" xfId="97" applyFont="1" applyAlignment="1">
      <alignment horizontal="left" indent="2"/>
    </xf>
    <xf numFmtId="167" fontId="28" fillId="0" borderId="0" xfId="96" applyNumberFormat="1"/>
    <xf numFmtId="0" fontId="65" fillId="0" borderId="0" xfId="97" applyFont="1"/>
    <xf numFmtId="167" fontId="66" fillId="11" borderId="38" xfId="98" applyNumberFormat="1" applyFont="1" applyFill="1" applyBorder="1"/>
    <xf numFmtId="167" fontId="66" fillId="11" borderId="16" xfId="98" applyNumberFormat="1" applyFont="1" applyFill="1" applyBorder="1"/>
    <xf numFmtId="0" fontId="67" fillId="0" borderId="0" xfId="97" applyFont="1" applyAlignment="1">
      <alignment horizontal="left" indent="3"/>
    </xf>
    <xf numFmtId="43" fontId="0" fillId="0" borderId="0" xfId="101" applyFont="1"/>
    <xf numFmtId="9" fontId="55" fillId="0" borderId="0" xfId="99" applyFont="1" applyFill="1" applyBorder="1"/>
    <xf numFmtId="0" fontId="55" fillId="0" borderId="0" xfId="97" applyFont="1" applyAlignment="1">
      <alignment horizontal="right" indent="2"/>
    </xf>
    <xf numFmtId="167" fontId="0" fillId="0" borderId="0" xfId="98" applyNumberFormat="1" applyFont="1" applyFill="1"/>
    <xf numFmtId="10" fontId="0" fillId="0" borderId="0" xfId="102" applyNumberFormat="1" applyFont="1"/>
    <xf numFmtId="0" fontId="68" fillId="0" borderId="0" xfId="97" applyFont="1"/>
    <xf numFmtId="0" fontId="70" fillId="0" borderId="0" xfId="97" applyFont="1"/>
    <xf numFmtId="0" fontId="28" fillId="0" borderId="37" xfId="96" applyBorder="1"/>
    <xf numFmtId="0" fontId="72" fillId="0" borderId="37" xfId="97" applyFont="1" applyBorder="1"/>
    <xf numFmtId="167" fontId="0" fillId="0" borderId="37" xfId="98" applyNumberFormat="1" applyFont="1" applyBorder="1"/>
    <xf numFmtId="167" fontId="66" fillId="11" borderId="36" xfId="98" applyNumberFormat="1" applyFont="1" applyFill="1" applyBorder="1"/>
    <xf numFmtId="167" fontId="66" fillId="11" borderId="0" xfId="98" applyNumberFormat="1" applyFont="1" applyFill="1" applyBorder="1"/>
    <xf numFmtId="167" fontId="59" fillId="11" borderId="36" xfId="98" applyNumberFormat="1" applyFont="1" applyFill="1" applyBorder="1"/>
    <xf numFmtId="167" fontId="59" fillId="11" borderId="0" xfId="98" applyNumberFormat="1" applyFont="1" applyFill="1" applyBorder="1"/>
    <xf numFmtId="167" fontId="0" fillId="0" borderId="2" xfId="98" applyNumberFormat="1" applyFont="1" applyBorder="1"/>
    <xf numFmtId="0" fontId="73" fillId="11" borderId="0" xfId="0" applyFont="1" applyFill="1"/>
    <xf numFmtId="0" fontId="1" fillId="0" borderId="7" xfId="97" applyBorder="1"/>
    <xf numFmtId="167" fontId="0" fillId="0" borderId="7" xfId="98" applyNumberFormat="1" applyFont="1" applyBorder="1"/>
    <xf numFmtId="0" fontId="28" fillId="0" borderId="2" xfId="96" applyBorder="1"/>
    <xf numFmtId="0" fontId="1" fillId="0" borderId="2" xfId="97" applyBorder="1"/>
    <xf numFmtId="170" fontId="69" fillId="12" borderId="16" xfId="103" applyNumberFormat="1" applyBorder="1" applyAlignment="1">
      <alignment horizontal="center"/>
    </xf>
    <xf numFmtId="0" fontId="68" fillId="0" borderId="28" xfId="97" applyFont="1" applyBorder="1"/>
    <xf numFmtId="167" fontId="58" fillId="0" borderId="7" xfId="98" applyNumberFormat="1" applyFont="1" applyFill="1" applyBorder="1"/>
    <xf numFmtId="9" fontId="55" fillId="0" borderId="7" xfId="99" applyFont="1" applyFill="1" applyBorder="1"/>
    <xf numFmtId="167" fontId="63" fillId="0" borderId="7" xfId="98" applyNumberFormat="1" applyFont="1" applyFill="1" applyBorder="1"/>
    <xf numFmtId="165" fontId="62" fillId="13" borderId="9" xfId="98" applyFont="1" applyFill="1" applyBorder="1"/>
    <xf numFmtId="0" fontId="18" fillId="9" borderId="10" xfId="0" applyFont="1" applyFill="1" applyBorder="1" applyAlignment="1">
      <alignment horizontal="center"/>
    </xf>
    <xf numFmtId="0" fontId="18" fillId="9" borderId="11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167" fontId="53" fillId="9" borderId="29" xfId="98" applyNumberFormat="1" applyFont="1" applyFill="1" applyBorder="1" applyAlignment="1">
      <alignment horizontal="center" vertical="center" textRotation="90" wrapText="1"/>
    </xf>
    <xf numFmtId="167" fontId="53" fillId="9" borderId="31" xfId="98" applyNumberFormat="1" applyFont="1" applyFill="1" applyBorder="1" applyAlignment="1">
      <alignment horizontal="center" vertical="center" textRotation="90" wrapText="1"/>
    </xf>
    <xf numFmtId="167" fontId="53" fillId="9" borderId="43" xfId="98" applyNumberFormat="1" applyFont="1" applyFill="1" applyBorder="1" applyAlignment="1">
      <alignment horizontal="center" vertical="center" textRotation="90" wrapText="1"/>
    </xf>
    <xf numFmtId="167" fontId="53" fillId="9" borderId="42" xfId="98" applyNumberFormat="1" applyFont="1" applyFill="1" applyBorder="1" applyAlignment="1">
      <alignment horizontal="center" vertical="center" textRotation="90" wrapText="1"/>
    </xf>
    <xf numFmtId="167" fontId="53" fillId="9" borderId="41" xfId="98" applyNumberFormat="1" applyFont="1" applyFill="1" applyBorder="1" applyAlignment="1">
      <alignment horizontal="center" vertical="center" textRotation="90" wrapText="1"/>
    </xf>
    <xf numFmtId="167" fontId="53" fillId="9" borderId="40" xfId="98" applyNumberFormat="1" applyFont="1" applyFill="1" applyBorder="1" applyAlignment="1">
      <alignment horizontal="center" vertical="center" textRotation="90" wrapText="1"/>
    </xf>
    <xf numFmtId="167" fontId="53" fillId="9" borderId="37" xfId="98" applyNumberFormat="1" applyFont="1" applyFill="1" applyBorder="1" applyAlignment="1">
      <alignment horizontal="center" vertical="center" textRotation="90" wrapText="1"/>
    </xf>
    <xf numFmtId="167" fontId="53" fillId="9" borderId="35" xfId="98" applyNumberFormat="1" applyFont="1" applyFill="1" applyBorder="1" applyAlignment="1">
      <alignment horizontal="center" vertical="center" textRotation="90" wrapText="1"/>
    </xf>
    <xf numFmtId="167" fontId="53" fillId="9" borderId="39" xfId="98" applyNumberFormat="1" applyFont="1" applyFill="1" applyBorder="1" applyAlignment="1">
      <alignment horizontal="center" vertical="center" textRotation="90" wrapText="1"/>
    </xf>
    <xf numFmtId="167" fontId="71" fillId="9" borderId="42" xfId="98" applyNumberFormat="1" applyFont="1" applyFill="1" applyBorder="1" applyAlignment="1">
      <alignment horizontal="center" vertical="center" textRotation="90" wrapText="1"/>
    </xf>
    <xf numFmtId="167" fontId="71" fillId="9" borderId="41" xfId="98" applyNumberFormat="1" applyFont="1" applyFill="1" applyBorder="1" applyAlignment="1">
      <alignment horizontal="center" vertical="center" textRotation="90" wrapText="1"/>
    </xf>
    <xf numFmtId="167" fontId="71" fillId="9" borderId="40" xfId="98" applyNumberFormat="1" applyFont="1" applyFill="1" applyBorder="1" applyAlignment="1">
      <alignment horizontal="center" vertical="center" textRotation="90" wrapText="1"/>
    </xf>
    <xf numFmtId="167" fontId="71" fillId="9" borderId="39" xfId="98" applyNumberFormat="1" applyFont="1" applyFill="1" applyBorder="1" applyAlignment="1">
      <alignment horizontal="center" vertical="center" textRotation="90" wrapText="1"/>
    </xf>
    <xf numFmtId="167" fontId="71" fillId="9" borderId="37" xfId="98" applyNumberFormat="1" applyFont="1" applyFill="1" applyBorder="1" applyAlignment="1">
      <alignment horizontal="center" vertical="center" textRotation="90" wrapText="1"/>
    </xf>
    <xf numFmtId="167" fontId="71" fillId="9" borderId="35" xfId="98" applyNumberFormat="1" applyFont="1" applyFill="1" applyBorder="1" applyAlignment="1">
      <alignment horizontal="center" vertical="center" textRotation="90" wrapText="1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104">
    <cellStyle name="Check Cell 2" xfId="103" xr:uid="{03FD216C-1377-AC47-9279-CE6219E85637}"/>
    <cellStyle name="Comma" xfId="1" builtinId="3"/>
    <cellStyle name="Comma 2" xfId="98" xr:uid="{4D0378E7-CF9C-8447-8EBC-CE740C2E1F34}"/>
    <cellStyle name="Comma 3" xfId="101" xr:uid="{10CAEA40-39AE-0E48-8CEF-B541079D46CB}"/>
    <cellStyle name="Currency 2" xfId="100" xr:uid="{F9D21416-4F67-E348-924C-754472D6D03C}"/>
    <cellStyle name="Followed Hyperlink" xfId="15" builtinId="9" hidden="1"/>
    <cellStyle name="Followed Hyperlink" xfId="23" builtinId="9" hidden="1"/>
    <cellStyle name="Followed Hyperlink" xfId="25" builtinId="9" hidden="1"/>
    <cellStyle name="Followed Hyperlink" xfId="84" builtinId="9" hidden="1"/>
    <cellStyle name="Followed Hyperlink" xfId="72" builtinId="9" hidden="1"/>
    <cellStyle name="Followed Hyperlink" xfId="94" builtinId="9" hidden="1"/>
    <cellStyle name="Followed Hyperlink" xfId="56" builtinId="9" hidden="1"/>
    <cellStyle name="Followed Hyperlink" xfId="53" builtinId="9" hidden="1"/>
    <cellStyle name="Followed Hyperlink" xfId="76" builtinId="9" hidden="1"/>
    <cellStyle name="Followed Hyperlink" xfId="31" builtinId="9" hidden="1"/>
    <cellStyle name="Followed Hyperlink" xfId="37" builtinId="9" hidden="1"/>
    <cellStyle name="Followed Hyperlink" xfId="35" builtinId="9" hidden="1"/>
    <cellStyle name="Followed Hyperlink" xfId="68" builtinId="9" hidden="1"/>
    <cellStyle name="Followed Hyperlink" xfId="29" builtinId="9" hidden="1"/>
    <cellStyle name="Followed Hyperlink" xfId="60" builtinId="9" hidden="1"/>
    <cellStyle name="Followed Hyperlink" xfId="62" builtinId="9" hidden="1"/>
    <cellStyle name="Followed Hyperlink" xfId="33" builtinId="9" hidden="1"/>
    <cellStyle name="Followed Hyperlink" xfId="9" builtinId="9" hidden="1"/>
    <cellStyle name="Followed Hyperlink" xfId="58" builtinId="9" hidden="1"/>
    <cellStyle name="Followed Hyperlink" xfId="88" builtinId="9" hidden="1"/>
    <cellStyle name="Followed Hyperlink" xfId="86" builtinId="9" hidden="1"/>
    <cellStyle name="Followed Hyperlink" xfId="41" builtinId="9" hidden="1"/>
    <cellStyle name="Followed Hyperlink" xfId="19" builtinId="9" hidden="1"/>
    <cellStyle name="Followed Hyperlink" xfId="3" builtinId="9" hidden="1"/>
    <cellStyle name="Followed Hyperlink" xfId="13" builtinId="9" hidden="1"/>
    <cellStyle name="Followed Hyperlink" xfId="80" builtinId="9" hidden="1"/>
    <cellStyle name="Followed Hyperlink" xfId="47" builtinId="9" hidden="1"/>
    <cellStyle name="Followed Hyperlink" xfId="66" builtinId="9" hidden="1"/>
    <cellStyle name="Followed Hyperlink" xfId="90" builtinId="9" hidden="1"/>
    <cellStyle name="Followed Hyperlink" xfId="70" builtinId="9" hidden="1"/>
    <cellStyle name="Followed Hyperlink" xfId="64" builtinId="9" hidden="1"/>
    <cellStyle name="Followed Hyperlink" xfId="17" builtinId="9" hidden="1"/>
    <cellStyle name="Followed Hyperlink" xfId="43" builtinId="9" hidden="1"/>
    <cellStyle name="Followed Hyperlink" xfId="27" builtinId="9" hidden="1"/>
    <cellStyle name="Followed Hyperlink" xfId="7" builtinId="9" hidden="1"/>
    <cellStyle name="Followed Hyperlink" xfId="11" builtinId="9" hidden="1"/>
    <cellStyle name="Followed Hyperlink" xfId="78" builtinId="9" hidden="1"/>
    <cellStyle name="Followed Hyperlink" xfId="51" builtinId="9" hidden="1"/>
    <cellStyle name="Followed Hyperlink" xfId="74" builtinId="9" hidden="1"/>
    <cellStyle name="Followed Hyperlink" xfId="5" builtinId="9" hidden="1"/>
    <cellStyle name="Followed Hyperlink" xfId="39" builtinId="9" hidden="1"/>
    <cellStyle name="Followed Hyperlink" xfId="21" builtinId="9" hidden="1"/>
    <cellStyle name="Followed Hyperlink" xfId="92" builtinId="9" hidden="1"/>
    <cellStyle name="Followed Hyperlink" xfId="49" builtinId="9" hidden="1"/>
    <cellStyle name="Followed Hyperlink" xfId="82" builtinId="9" hidden="1"/>
    <cellStyle name="Followed Hyperlink" xfId="45" builtinId="9" hidden="1"/>
    <cellStyle name="Hyperlink" xfId="18" builtinId="8" hidden="1"/>
    <cellStyle name="Hyperlink" xfId="26" builtinId="8" hidden="1"/>
    <cellStyle name="Hyperlink" xfId="57" builtinId="8" hidden="1"/>
    <cellStyle name="Hyperlink" xfId="24" builtinId="8" hidden="1"/>
    <cellStyle name="Hyperlink" xfId="52" builtinId="8" hidden="1"/>
    <cellStyle name="Hyperlink" xfId="22" builtinId="8" hidden="1"/>
    <cellStyle name="Hyperlink" xfId="79" builtinId="8" hidden="1"/>
    <cellStyle name="Hyperlink" xfId="28" builtinId="8" hidden="1"/>
    <cellStyle name="Hyperlink" xfId="91" builtinId="8" hidden="1"/>
    <cellStyle name="Hyperlink" xfId="34" builtinId="8" hidden="1"/>
    <cellStyle name="Hyperlink" xfId="42" builtinId="8" hidden="1"/>
    <cellStyle name="Hyperlink" xfId="73" builtinId="8" hidden="1"/>
    <cellStyle name="Hyperlink" xfId="65" builtinId="8" hidden="1"/>
    <cellStyle name="Hyperlink" xfId="93" builtinId="8" hidden="1"/>
    <cellStyle name="Hyperlink" xfId="71" builtinId="8" hidden="1"/>
    <cellStyle name="Hyperlink" xfId="69" builtinId="8" hidden="1"/>
    <cellStyle name="Hyperlink" xfId="38" builtinId="8" hidden="1"/>
    <cellStyle name="Hyperlink" xfId="44" builtinId="8" hidden="1"/>
    <cellStyle name="Hyperlink" xfId="20" builtinId="8" hidden="1"/>
    <cellStyle name="Hyperlink" xfId="63" builtinId="8" hidden="1"/>
    <cellStyle name="Hyperlink" xfId="2" builtinId="8" hidden="1"/>
    <cellStyle name="Hyperlink" xfId="14" builtinId="8" hidden="1"/>
    <cellStyle name="Hyperlink" xfId="89" builtinId="8" hidden="1"/>
    <cellStyle name="Hyperlink" xfId="12" builtinId="8" hidden="1"/>
    <cellStyle name="Hyperlink" xfId="81" builtinId="8" hidden="1"/>
    <cellStyle name="Hyperlink" xfId="46" builtinId="8" hidden="1"/>
    <cellStyle name="Hyperlink" xfId="32" builtinId="8" hidden="1"/>
    <cellStyle name="Hyperlink" xfId="77" builtinId="8" hidden="1"/>
    <cellStyle name="Hyperlink" xfId="4" builtinId="8" hidden="1"/>
    <cellStyle name="Hyperlink" xfId="59" builtinId="8" hidden="1"/>
    <cellStyle name="Hyperlink" xfId="16" builtinId="8" hidden="1"/>
    <cellStyle name="Hyperlink" xfId="48" builtinId="8" hidden="1"/>
    <cellStyle name="Hyperlink" xfId="75" builtinId="8" hidden="1"/>
    <cellStyle name="Hyperlink" xfId="36" builtinId="8" hidden="1"/>
    <cellStyle name="Hyperlink" xfId="83" builtinId="8" hidden="1"/>
    <cellStyle name="Hyperlink" xfId="40" builtinId="8" hidden="1"/>
    <cellStyle name="Hyperlink" xfId="55" builtinId="8" hidden="1"/>
    <cellStyle name="Hyperlink" xfId="6" builtinId="8" hidden="1"/>
    <cellStyle name="Hyperlink" xfId="87" builtinId="8" hidden="1"/>
    <cellStyle name="Hyperlink" xfId="8" builtinId="8" hidden="1"/>
    <cellStyle name="Hyperlink" xfId="85" builtinId="8" hidden="1"/>
    <cellStyle name="Hyperlink" xfId="50" builtinId="8" hidden="1"/>
    <cellStyle name="Hyperlink" xfId="30" builtinId="8" hidden="1"/>
    <cellStyle name="Hyperlink" xfId="10" builtinId="8" hidden="1"/>
    <cellStyle name="Hyperlink" xfId="61" builtinId="8" hidden="1"/>
    <cellStyle name="Hyperlink" xfId="67" builtinId="8" hidden="1"/>
    <cellStyle name="Normal" xfId="0" builtinId="0"/>
    <cellStyle name="Normal 2" xfId="96" xr:uid="{17961FC6-E226-F54D-8546-669ADCB2CD1F}"/>
    <cellStyle name="Normal 2 2" xfId="97" xr:uid="{2A403897-EDBE-A944-9F6C-23C893420BDF}"/>
    <cellStyle name="Normal 5" xfId="95" xr:uid="{9285BD1B-FAB1-A143-8DCC-5189FC8EB0EE}"/>
    <cellStyle name="Per cent 2" xfId="102" xr:uid="{72646D89-D774-1B40-8B76-1D92E37EB3DE}"/>
    <cellStyle name="Percent" xfId="54" builtinId="5"/>
    <cellStyle name="Percent 2" xfId="99" xr:uid="{534C98F4-2FAA-5446-BED2-D56059D41DC5}"/>
  </cellStyles>
  <dxfs count="0"/>
  <tableStyles count="0" defaultTableStyle="TableStyleMedium9" defaultPivotStyle="PivotStyleMedium4"/>
  <colors>
    <mruColors>
      <color rgb="FF0D3272"/>
      <color rgb="FF067FCB"/>
      <color rgb="FFDDDDDD"/>
      <color rgb="FF25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A-584F-B821-DA75C1432C07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3A-584F-B821-DA75C1432C07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C-3C45-9C65-52349D662536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6C-3C45-9C65-52349D662536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5-3F4C-A4D1-F19A13981C07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15-3F4C-A4D1-F19A13981C07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4-1048-BAEA-05AC14BA78E9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4-1048-BAEA-05AC14BA78E9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3</xdr:row>
          <xdr:rowOff>50800</xdr:rowOff>
        </xdr:from>
        <xdr:to>
          <xdr:col>7</xdr:col>
          <xdr:colOff>279400</xdr:colOff>
          <xdr:row>4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175358</xdr:colOff>
      <xdr:row>0</xdr:row>
      <xdr:rowOff>157217</xdr:rowOff>
    </xdr:from>
    <xdr:to>
      <xdr:col>0</xdr:col>
      <xdr:colOff>433896</xdr:colOff>
      <xdr:row>0</xdr:row>
      <xdr:rowOff>454109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8A016-21C2-5140-89F3-2C30E4FE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57217"/>
          <a:ext cx="258538" cy="29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175358</xdr:colOff>
      <xdr:row>1</xdr:row>
      <xdr:rowOff>68869</xdr:rowOff>
    </xdr:from>
    <xdr:to>
      <xdr:col>0</xdr:col>
      <xdr:colOff>433896</xdr:colOff>
      <xdr:row>1</xdr:row>
      <xdr:rowOff>365761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83169"/>
          <a:ext cx="258538" cy="29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1765300</xdr:colOff>
          <xdr:row>11</xdr:row>
          <xdr:rowOff>152400</xdr:rowOff>
        </xdr:from>
        <xdr:to>
          <xdr:col>6</xdr:col>
          <xdr:colOff>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142240</xdr:colOff>
      <xdr:row>0</xdr:row>
      <xdr:rowOff>91440</xdr:rowOff>
    </xdr:from>
    <xdr:to>
      <xdr:col>0</xdr:col>
      <xdr:colOff>400778</xdr:colOff>
      <xdr:row>0</xdr:row>
      <xdr:rowOff>388332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7DE647-E29C-374B-B731-BA2A0B261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" y="274320"/>
          <a:ext cx="258538" cy="2968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A261E7-FA10-ED4C-8880-468C57A14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5557</xdr:colOff>
      <xdr:row>40</xdr:row>
      <xdr:rowOff>1983</xdr:rowOff>
    </xdr:from>
    <xdr:to>
      <xdr:col>7</xdr:col>
      <xdr:colOff>812800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FDCA44-7210-254B-84A4-A494041DD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C626548A-618D-E243-B5DF-17480A88DAC9}"/>
            </a:ext>
          </a:extLst>
        </xdr:cNvPr>
        <xdr:cNvSpPr/>
      </xdr:nvSpPr>
      <xdr:spPr>
        <a:xfrm>
          <a:off x="9185786" y="1711762"/>
          <a:ext cx="234030" cy="1652952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EC0B4D85-A7AA-4C4F-A77A-57BD716A980D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AD1A8FD3-9D41-F04D-A485-41114C57A4E7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69B9A457-8E0A-9942-A082-4DCC9CCCC75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177800</xdr:colOff>
      <xdr:row>0</xdr:row>
      <xdr:rowOff>114300</xdr:rowOff>
    </xdr:from>
    <xdr:to>
      <xdr:col>0</xdr:col>
      <xdr:colOff>436338</xdr:colOff>
      <xdr:row>0</xdr:row>
      <xdr:rowOff>411192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409BA9-63B3-F644-AB66-68EBCEA80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14300"/>
          <a:ext cx="258538" cy="2968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350EAE-07FB-8C43-9FBF-C61A43C1B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53817</xdr:colOff>
      <xdr:row>40</xdr:row>
      <xdr:rowOff>4523</xdr:rowOff>
    </xdr:from>
    <xdr:to>
      <xdr:col>7</xdr:col>
      <xdr:colOff>863600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446674-7020-714F-838A-4CE0A45A3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F5FC7336-341E-8D48-8682-89C2E50B0E9C}"/>
            </a:ext>
          </a:extLst>
        </xdr:cNvPr>
        <xdr:cNvSpPr/>
      </xdr:nvSpPr>
      <xdr:spPr>
        <a:xfrm>
          <a:off x="4759325" y="809624"/>
          <a:ext cx="234030" cy="19522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3FD3C49C-D782-DE42-A195-0E3BEB61201F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E21098B8-38FC-2A4C-99E9-E6734A6D5095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547C1CAF-E6E2-5C4B-BEA0-A5569080AAD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162559</xdr:colOff>
      <xdr:row>0</xdr:row>
      <xdr:rowOff>111760</xdr:rowOff>
    </xdr:from>
    <xdr:to>
      <xdr:col>0</xdr:col>
      <xdr:colOff>518160</xdr:colOff>
      <xdr:row>0</xdr:row>
      <xdr:rowOff>520114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9DABFD-A35A-404F-A85C-2AE5DCCC5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59" y="111760"/>
          <a:ext cx="355601" cy="40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7A26-45A9-B64D-98C8-292A77313440}">
  <dimension ref="A1:O32"/>
  <sheetViews>
    <sheetView zoomScale="96" workbookViewId="0">
      <selection activeCell="K24" sqref="K24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67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0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/>
      <c r="E4" s="175"/>
      <c r="F4" s="175"/>
      <c r="G4" s="150">
        <f t="shared" ref="G4:G32" si="0">E4*2+F4</f>
        <v>0</v>
      </c>
      <c r="J4" s="264" t="s">
        <v>6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65" t="s">
        <v>7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64" t="s">
        <v>9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65" t="s">
        <v>10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11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9</v>
      </c>
      <c r="D11" s="175"/>
      <c r="E11" s="175"/>
      <c r="F11" s="175"/>
      <c r="G11" s="150">
        <f t="shared" si="0"/>
        <v>0</v>
      </c>
    </row>
    <row r="12" spans="1:15">
      <c r="C12" s="147">
        <v>11</v>
      </c>
      <c r="D12" s="175"/>
      <c r="E12" s="175"/>
      <c r="F12" s="175"/>
      <c r="G12" s="150">
        <f t="shared" si="0"/>
        <v>0</v>
      </c>
    </row>
    <row r="13" spans="1:15">
      <c r="C13" s="147">
        <v>12</v>
      </c>
      <c r="D13" s="175"/>
      <c r="E13" s="175"/>
      <c r="F13" s="175"/>
      <c r="G13" s="150">
        <f t="shared" si="0"/>
        <v>0</v>
      </c>
    </row>
    <row r="14" spans="1:15">
      <c r="C14" s="147">
        <v>13</v>
      </c>
      <c r="D14" s="175"/>
      <c r="E14" s="175"/>
      <c r="F14" s="175"/>
      <c r="G14" s="150">
        <f t="shared" si="0"/>
        <v>0</v>
      </c>
    </row>
    <row r="15" spans="1:15">
      <c r="C15" s="147">
        <v>14</v>
      </c>
      <c r="D15" s="175"/>
      <c r="E15" s="175"/>
      <c r="F15" s="175"/>
      <c r="G15" s="150">
        <f t="shared" si="0"/>
        <v>0</v>
      </c>
    </row>
    <row r="16" spans="1:15">
      <c r="C16" s="147">
        <v>15</v>
      </c>
      <c r="D16" s="175"/>
      <c r="E16" s="175"/>
      <c r="F16" s="175"/>
      <c r="G16" s="150">
        <f t="shared" si="0"/>
        <v>0</v>
      </c>
    </row>
    <row r="17" spans="3:7">
      <c r="C17" s="147">
        <v>16</v>
      </c>
      <c r="D17" s="175"/>
      <c r="E17" s="175"/>
      <c r="F17" s="175"/>
      <c r="G17" s="150">
        <f t="shared" si="0"/>
        <v>0</v>
      </c>
    </row>
    <row r="18" spans="3:7">
      <c r="C18" s="147">
        <v>17</v>
      </c>
      <c r="D18" s="175"/>
      <c r="E18" s="175"/>
      <c r="F18" s="175"/>
      <c r="G18" s="150">
        <f t="shared" si="0"/>
        <v>0</v>
      </c>
    </row>
    <row r="19" spans="3:7">
      <c r="C19" s="147">
        <v>18</v>
      </c>
      <c r="D19" s="175"/>
      <c r="E19" s="175"/>
      <c r="F19" s="175"/>
      <c r="G19" s="150">
        <f t="shared" si="0"/>
        <v>0</v>
      </c>
    </row>
    <row r="20" spans="3:7">
      <c r="C20" s="147">
        <v>19</v>
      </c>
      <c r="D20" s="175"/>
      <c r="E20" s="175"/>
      <c r="F20" s="175"/>
      <c r="G20" s="150">
        <f t="shared" si="0"/>
        <v>0</v>
      </c>
    </row>
    <row r="21" spans="3:7">
      <c r="C21" s="147">
        <v>20</v>
      </c>
      <c r="D21" s="175"/>
      <c r="E21" s="175"/>
      <c r="F21" s="175"/>
      <c r="G21" s="150">
        <f t="shared" si="0"/>
        <v>0</v>
      </c>
    </row>
    <row r="22" spans="3:7">
      <c r="C22" s="147">
        <v>20</v>
      </c>
      <c r="D22" s="175"/>
      <c r="E22" s="175"/>
      <c r="F22" s="175"/>
      <c r="G22" s="150">
        <f t="shared" si="0"/>
        <v>0</v>
      </c>
    </row>
    <row r="23" spans="3:7">
      <c r="C23" s="147">
        <v>21</v>
      </c>
      <c r="D23" s="175"/>
      <c r="E23" s="175"/>
      <c r="F23" s="175"/>
      <c r="G23" s="150">
        <f t="shared" si="0"/>
        <v>0</v>
      </c>
    </row>
    <row r="24" spans="3:7">
      <c r="C24" s="147">
        <v>22</v>
      </c>
      <c r="D24" s="175"/>
      <c r="E24" s="175"/>
      <c r="F24" s="175"/>
      <c r="G24" s="150">
        <f t="shared" si="0"/>
        <v>0</v>
      </c>
    </row>
    <row r="25" spans="3:7">
      <c r="C25" s="147">
        <v>23</v>
      </c>
      <c r="D25" s="175"/>
      <c r="E25" s="175"/>
      <c r="F25" s="175"/>
      <c r="G25" s="150">
        <f t="shared" si="0"/>
        <v>0</v>
      </c>
    </row>
    <row r="26" spans="3:7">
      <c r="C26" s="147">
        <v>24</v>
      </c>
      <c r="D26" s="175"/>
      <c r="E26" s="175"/>
      <c r="F26" s="175"/>
      <c r="G26" s="150">
        <f t="shared" si="0"/>
        <v>0</v>
      </c>
    </row>
    <row r="27" spans="3:7">
      <c r="C27" s="147">
        <v>25</v>
      </c>
      <c r="D27" s="175"/>
      <c r="E27" s="175"/>
      <c r="F27" s="175"/>
      <c r="G27" s="150">
        <f t="shared" si="0"/>
        <v>0</v>
      </c>
    </row>
    <row r="28" spans="3:7">
      <c r="C28" s="147">
        <v>26</v>
      </c>
      <c r="D28" s="175"/>
      <c r="E28" s="175"/>
      <c r="F28" s="175"/>
      <c r="G28" s="150">
        <f t="shared" si="0"/>
        <v>0</v>
      </c>
    </row>
    <row r="29" spans="3:7">
      <c r="C29" s="147">
        <v>27</v>
      </c>
      <c r="D29" s="175"/>
      <c r="E29" s="175"/>
      <c r="F29" s="175"/>
      <c r="G29" s="150">
        <f t="shared" si="0"/>
        <v>0</v>
      </c>
    </row>
    <row r="30" spans="3:7">
      <c r="C30" s="147">
        <v>28</v>
      </c>
      <c r="D30" s="175"/>
      <c r="E30" s="175"/>
      <c r="F30" s="175"/>
      <c r="G30" s="150">
        <f t="shared" si="0"/>
        <v>0</v>
      </c>
    </row>
    <row r="31" spans="3:7">
      <c r="C31" s="147">
        <v>29</v>
      </c>
      <c r="D31" s="175"/>
      <c r="E31" s="175"/>
      <c r="F31" s="175"/>
      <c r="G31" s="150">
        <f t="shared" si="0"/>
        <v>0</v>
      </c>
    </row>
    <row r="32" spans="3:7">
      <c r="C32" s="147">
        <v>30</v>
      </c>
      <c r="D32" s="175"/>
      <c r="E32" s="175"/>
      <c r="F32" s="175"/>
      <c r="G32" s="150">
        <f t="shared" si="0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6F05-66D9-1A44-97E9-26FFA2BFBD18}">
  <dimension ref="A1:O33"/>
  <sheetViews>
    <sheetView zoomScale="94" workbookViewId="0">
      <selection activeCell="E48" sqref="E48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62.37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12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/>
      <c r="E4" s="175"/>
      <c r="F4" s="175"/>
      <c r="G4" s="150">
        <f t="shared" ref="G4:G33" si="0">E4*2+F4</f>
        <v>0</v>
      </c>
      <c r="J4" s="264" t="s">
        <v>6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65" t="s">
        <v>7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64" t="s">
        <v>9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65" t="s">
        <v>10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11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8</v>
      </c>
      <c r="D11" s="175"/>
      <c r="E11" s="175"/>
      <c r="F11" s="175"/>
      <c r="G11" s="150">
        <f t="shared" si="0"/>
        <v>0</v>
      </c>
    </row>
    <row r="12" spans="1:15">
      <c r="C12" s="147">
        <v>9</v>
      </c>
      <c r="D12" s="175"/>
      <c r="E12" s="175"/>
      <c r="F12" s="175"/>
      <c r="G12" s="150">
        <f t="shared" si="0"/>
        <v>0</v>
      </c>
    </row>
    <row r="13" spans="1:15">
      <c r="C13" s="147">
        <v>10</v>
      </c>
      <c r="D13" s="175"/>
      <c r="E13" s="175"/>
      <c r="F13" s="175"/>
      <c r="G13" s="150">
        <f t="shared" si="0"/>
        <v>0</v>
      </c>
    </row>
    <row r="14" spans="1:15">
      <c r="C14" s="147">
        <v>11</v>
      </c>
      <c r="D14" s="175"/>
      <c r="E14" s="175"/>
      <c r="F14" s="175"/>
      <c r="G14" s="150">
        <f t="shared" si="0"/>
        <v>0</v>
      </c>
    </row>
    <row r="15" spans="1:15">
      <c r="C15" s="147">
        <v>12</v>
      </c>
      <c r="D15" s="175"/>
      <c r="E15" s="175"/>
      <c r="F15" s="175"/>
      <c r="G15" s="150">
        <f t="shared" si="0"/>
        <v>0</v>
      </c>
    </row>
    <row r="16" spans="1:15">
      <c r="C16" s="147">
        <v>13</v>
      </c>
      <c r="D16" s="175"/>
      <c r="E16" s="175"/>
      <c r="F16" s="175"/>
      <c r="G16" s="150">
        <f t="shared" si="0"/>
        <v>0</v>
      </c>
    </row>
    <row r="17" spans="3:7">
      <c r="C17" s="147">
        <v>14</v>
      </c>
      <c r="D17" s="175"/>
      <c r="E17" s="175"/>
      <c r="F17" s="175"/>
      <c r="G17" s="150">
        <f t="shared" si="0"/>
        <v>0</v>
      </c>
    </row>
    <row r="18" spans="3:7">
      <c r="C18" s="147">
        <v>15</v>
      </c>
      <c r="D18" s="175"/>
      <c r="E18" s="175"/>
      <c r="F18" s="175"/>
      <c r="G18" s="150">
        <f t="shared" si="0"/>
        <v>0</v>
      </c>
    </row>
    <row r="19" spans="3:7">
      <c r="C19" s="147">
        <v>16</v>
      </c>
      <c r="D19" s="175"/>
      <c r="E19" s="175"/>
      <c r="F19" s="175"/>
      <c r="G19" s="150">
        <f t="shared" si="0"/>
        <v>0</v>
      </c>
    </row>
    <row r="20" spans="3:7">
      <c r="C20" s="147">
        <v>17</v>
      </c>
      <c r="D20" s="175"/>
      <c r="E20" s="175"/>
      <c r="F20" s="175"/>
      <c r="G20" s="150">
        <f t="shared" si="0"/>
        <v>0</v>
      </c>
    </row>
    <row r="21" spans="3:7">
      <c r="C21" s="147">
        <v>18</v>
      </c>
      <c r="D21" s="175"/>
      <c r="E21" s="175"/>
      <c r="F21" s="175"/>
      <c r="G21" s="150">
        <f t="shared" si="0"/>
        <v>0</v>
      </c>
    </row>
    <row r="22" spans="3:7">
      <c r="C22" s="147">
        <v>19</v>
      </c>
      <c r="D22" s="175"/>
      <c r="E22" s="175"/>
      <c r="F22" s="175"/>
      <c r="G22" s="150">
        <f t="shared" si="0"/>
        <v>0</v>
      </c>
    </row>
    <row r="23" spans="3:7">
      <c r="C23" s="147">
        <v>20</v>
      </c>
      <c r="D23" s="175"/>
      <c r="E23" s="175"/>
      <c r="F23" s="175"/>
      <c r="G23" s="150">
        <f t="shared" si="0"/>
        <v>0</v>
      </c>
    </row>
    <row r="24" spans="3:7">
      <c r="C24" s="147">
        <v>21</v>
      </c>
      <c r="D24" s="175"/>
      <c r="E24" s="175"/>
      <c r="F24" s="175"/>
      <c r="G24" s="150">
        <f t="shared" si="0"/>
        <v>0</v>
      </c>
    </row>
    <row r="25" spans="3:7">
      <c r="C25" s="147">
        <v>22</v>
      </c>
      <c r="D25" s="175"/>
      <c r="E25" s="175"/>
      <c r="F25" s="175"/>
      <c r="G25" s="150">
        <f t="shared" si="0"/>
        <v>0</v>
      </c>
    </row>
    <row r="26" spans="3:7">
      <c r="C26" s="147">
        <v>23</v>
      </c>
      <c r="D26" s="175"/>
      <c r="E26" s="175"/>
      <c r="F26" s="175"/>
      <c r="G26" s="150">
        <f t="shared" si="0"/>
        <v>0</v>
      </c>
    </row>
    <row r="27" spans="3:7">
      <c r="C27" s="147">
        <v>24</v>
      </c>
      <c r="D27" s="175"/>
      <c r="E27" s="175"/>
      <c r="F27" s="175"/>
      <c r="G27" s="150">
        <f t="shared" si="0"/>
        <v>0</v>
      </c>
    </row>
    <row r="28" spans="3:7">
      <c r="C28" s="147">
        <v>25</v>
      </c>
      <c r="D28" s="175"/>
      <c r="E28" s="175"/>
      <c r="F28" s="175"/>
      <c r="G28" s="150">
        <f t="shared" si="0"/>
        <v>0</v>
      </c>
    </row>
    <row r="29" spans="3:7">
      <c r="C29" s="147">
        <v>26</v>
      </c>
      <c r="D29" s="175"/>
      <c r="E29" s="175"/>
      <c r="F29" s="175"/>
      <c r="G29" s="150">
        <f t="shared" si="0"/>
        <v>0</v>
      </c>
    </row>
    <row r="30" spans="3:7">
      <c r="C30" s="147">
        <v>27</v>
      </c>
      <c r="D30" s="175"/>
      <c r="E30" s="175"/>
      <c r="F30" s="175"/>
      <c r="G30" s="150">
        <f t="shared" si="0"/>
        <v>0</v>
      </c>
    </row>
    <row r="31" spans="3:7">
      <c r="C31" s="147">
        <v>28</v>
      </c>
      <c r="D31" s="175"/>
      <c r="E31" s="175"/>
      <c r="F31" s="175"/>
      <c r="G31" s="150">
        <f t="shared" si="0"/>
        <v>0</v>
      </c>
    </row>
    <row r="32" spans="3:7">
      <c r="C32" s="147">
        <v>29</v>
      </c>
      <c r="D32" s="175"/>
      <c r="E32" s="175"/>
      <c r="F32" s="175"/>
      <c r="G32" s="150">
        <f t="shared" si="0"/>
        <v>0</v>
      </c>
    </row>
    <row r="33" spans="3:7">
      <c r="C33" s="147">
        <v>30</v>
      </c>
      <c r="D33" s="175"/>
      <c r="E33" s="175"/>
      <c r="F33" s="175"/>
      <c r="G33" s="150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1F70A-A63D-4857-A782-0A2BF4EBE026}">
  <sheetPr codeName="Sheet3">
    <tabColor rgb="FF0D3272"/>
  </sheetPr>
  <dimension ref="A1:EX51"/>
  <sheetViews>
    <sheetView zoomScale="115" workbookViewId="0">
      <selection activeCell="R14" sqref="R14"/>
    </sheetView>
  </sheetViews>
  <sheetFormatPr defaultColWidth="11" defaultRowHeight="12.95"/>
  <cols>
    <col min="1" max="1" width="8.375" style="210" customWidth="1"/>
    <col min="2" max="2" width="2.625" style="167" customWidth="1"/>
    <col min="3" max="4" width="4.125" style="180" customWidth="1"/>
    <col min="5" max="5" width="23.375" style="180" customWidth="1"/>
    <col min="6" max="6" width="14.125" style="167" customWidth="1"/>
    <col min="7" max="7" width="27.625" style="172" customWidth="1"/>
    <col min="8" max="8" width="14.375" style="171" customWidth="1"/>
    <col min="9" max="9" width="7.125" style="172" customWidth="1"/>
    <col min="10" max="10" width="10.125" style="181" customWidth="1"/>
    <col min="11" max="11" width="13.875" style="180" customWidth="1"/>
    <col min="12" max="12" width="6.375" style="180" hidden="1" customWidth="1"/>
    <col min="13" max="13" width="20.875" style="180" hidden="1" customWidth="1"/>
    <col min="14" max="14" width="10.5" style="180" hidden="1" customWidth="1"/>
    <col min="15" max="15" width="3.875" style="180" hidden="1" customWidth="1"/>
    <col min="16" max="16" width="1.625" style="180" customWidth="1"/>
    <col min="17" max="17" width="3.5" style="180" customWidth="1"/>
    <col min="18" max="18" width="15.125" style="180" bestFit="1" customWidth="1"/>
    <col min="19" max="19" width="4.5" style="180" customWidth="1"/>
    <col min="20" max="20" width="14.125" style="180" bestFit="1" customWidth="1"/>
    <col min="21" max="21" width="15.5" style="180" customWidth="1"/>
    <col min="22" max="16384" width="11" style="180"/>
  </cols>
  <sheetData>
    <row r="1" spans="1:154" s="179" customFormat="1" ht="41.1" customHeight="1">
      <c r="A1" s="145"/>
      <c r="B1" s="208"/>
      <c r="C1" s="260" t="s">
        <v>13</v>
      </c>
      <c r="E1" s="201"/>
      <c r="F1" s="261"/>
      <c r="G1" s="262"/>
      <c r="H1" s="205"/>
      <c r="I1" s="218"/>
      <c r="K1" s="206"/>
      <c r="EX1" s="207"/>
    </row>
    <row r="2" spans="1:154" s="172" customFormat="1" ht="8.4499999999999993" customHeight="1">
      <c r="A2" s="209"/>
      <c r="H2" s="174"/>
      <c r="J2" s="174"/>
    </row>
    <row r="3" spans="1:154" s="172" customFormat="1">
      <c r="A3" s="209"/>
      <c r="E3" s="233" t="s">
        <v>14</v>
      </c>
      <c r="H3" s="174"/>
      <c r="J3" s="174"/>
    </row>
    <row r="4" spans="1:154" s="172" customFormat="1">
      <c r="A4" s="209"/>
      <c r="F4" s="173"/>
      <c r="H4" s="174"/>
      <c r="J4" s="174"/>
    </row>
    <row r="5" spans="1:154" s="172" customFormat="1" ht="15.95">
      <c r="A5" s="209"/>
      <c r="F5" s="203"/>
      <c r="H5" s="174"/>
      <c r="J5" s="174"/>
      <c r="S5" s="204"/>
    </row>
    <row r="6" spans="1:154" ht="18">
      <c r="C6" s="211" t="s">
        <v>15</v>
      </c>
      <c r="F6" s="322" t="s">
        <v>16</v>
      </c>
      <c r="H6" s="322" t="s">
        <v>16</v>
      </c>
      <c r="S6" s="182"/>
    </row>
    <row r="7" spans="1:154" ht="5.0999999999999996" customHeight="1">
      <c r="C7" s="211"/>
      <c r="F7" s="134"/>
      <c r="H7" s="138"/>
      <c r="S7" s="182"/>
    </row>
    <row r="8" spans="1:154">
      <c r="F8" s="333" t="s">
        <v>17</v>
      </c>
      <c r="G8" s="334"/>
      <c r="H8" s="333" t="s">
        <v>18</v>
      </c>
      <c r="I8" s="334"/>
      <c r="K8" s="183"/>
      <c r="L8" s="183"/>
      <c r="N8" s="184"/>
      <c r="S8" s="182"/>
    </row>
    <row r="9" spans="1:154">
      <c r="C9" s="180" t="s">
        <v>19</v>
      </c>
      <c r="F9" s="221"/>
      <c r="G9" s="220"/>
      <c r="H9" s="221"/>
      <c r="I9" s="214"/>
      <c r="K9" s="185"/>
      <c r="L9" s="185"/>
      <c r="S9" s="182"/>
    </row>
    <row r="10" spans="1:154">
      <c r="C10" s="180" t="s">
        <v>20</v>
      </c>
      <c r="F10" s="222"/>
      <c r="G10" s="223"/>
      <c r="H10" s="222">
        <v>0</v>
      </c>
      <c r="I10" s="217"/>
      <c r="K10" s="185"/>
      <c r="L10" s="185"/>
      <c r="O10" s="186"/>
    </row>
    <row r="11" spans="1:154">
      <c r="D11" s="180" t="s">
        <v>21</v>
      </c>
      <c r="F11" s="224">
        <f>F9-F10</f>
        <v>0</v>
      </c>
      <c r="G11" s="225" t="e">
        <f>F11/F9</f>
        <v>#DIV/0!</v>
      </c>
      <c r="H11" s="224">
        <f>H9-H10</f>
        <v>0</v>
      </c>
      <c r="I11" s="216" t="e">
        <f>H11/H9</f>
        <v>#DIV/0!</v>
      </c>
      <c r="K11" s="185"/>
      <c r="L11" s="185"/>
      <c r="O11" s="187"/>
    </row>
    <row r="12" spans="1:154">
      <c r="C12" s="180" t="s">
        <v>22</v>
      </c>
      <c r="F12" s="226">
        <v>0</v>
      </c>
      <c r="G12" s="220" t="e">
        <f>F11/F12</f>
        <v>#DIV/0!</v>
      </c>
      <c r="H12" s="226">
        <v>0</v>
      </c>
      <c r="I12" s="214" t="e">
        <f>H11/H12</f>
        <v>#DIV/0!</v>
      </c>
      <c r="K12" s="185"/>
      <c r="L12" s="185"/>
      <c r="O12" s="186"/>
    </row>
    <row r="13" spans="1:154">
      <c r="D13" s="180" t="s">
        <v>23</v>
      </c>
      <c r="F13" s="224">
        <f>F11-F12</f>
        <v>0</v>
      </c>
      <c r="G13" s="225" t="e">
        <f>F13/F9</f>
        <v>#DIV/0!</v>
      </c>
      <c r="H13" s="224">
        <f>H11-H12</f>
        <v>0</v>
      </c>
      <c r="I13" s="216" t="e">
        <f>H13/H9</f>
        <v>#DIV/0!</v>
      </c>
      <c r="K13" s="185"/>
      <c r="L13" s="185"/>
      <c r="O13" s="186"/>
    </row>
    <row r="14" spans="1:154">
      <c r="C14" s="180" t="s">
        <v>24</v>
      </c>
      <c r="F14" s="221">
        <v>0</v>
      </c>
      <c r="G14" s="220" t="e">
        <f>F13/F14</f>
        <v>#DIV/0!</v>
      </c>
      <c r="H14" s="221">
        <v>0</v>
      </c>
      <c r="I14" s="214" t="e">
        <f>H13/H14</f>
        <v>#DIV/0!</v>
      </c>
      <c r="K14" s="185"/>
      <c r="L14" s="185"/>
      <c r="O14" s="186"/>
      <c r="S14" s="188"/>
    </row>
    <row r="15" spans="1:154">
      <c r="C15" s="180" t="s">
        <v>25</v>
      </c>
      <c r="F15" s="227">
        <f>F13-F16-F14</f>
        <v>0</v>
      </c>
      <c r="G15" s="223"/>
      <c r="H15" s="227">
        <f>H13-H16-H14</f>
        <v>0</v>
      </c>
      <c r="I15" s="215"/>
      <c r="K15" s="185"/>
      <c r="L15" s="185"/>
      <c r="O15" s="186"/>
      <c r="S15" s="188"/>
    </row>
    <row r="16" spans="1:154">
      <c r="D16" s="180" t="s">
        <v>26</v>
      </c>
      <c r="F16" s="224">
        <v>0</v>
      </c>
      <c r="G16" s="225" t="e">
        <f>F16/F9</f>
        <v>#DIV/0!</v>
      </c>
      <c r="H16" s="224">
        <f>H19+H17+H18</f>
        <v>0</v>
      </c>
      <c r="I16" s="216" t="e">
        <f>H16/H9</f>
        <v>#DIV/0!</v>
      </c>
      <c r="J16" s="189">
        <f>H16-H20</f>
        <v>0</v>
      </c>
      <c r="K16" s="185"/>
      <c r="L16" s="185"/>
      <c r="O16" s="187"/>
      <c r="S16" s="188"/>
    </row>
    <row r="17" spans="3:19">
      <c r="C17" s="180" t="s">
        <v>27</v>
      </c>
      <c r="F17" s="226">
        <v>0</v>
      </c>
      <c r="G17" s="220"/>
      <c r="H17" s="226">
        <v>0</v>
      </c>
      <c r="I17" s="214"/>
      <c r="K17" s="185"/>
      <c r="L17" s="185"/>
      <c r="O17" s="187"/>
    </row>
    <row r="18" spans="3:19">
      <c r="C18" s="180" t="s">
        <v>28</v>
      </c>
      <c r="F18" s="226">
        <v>0</v>
      </c>
      <c r="G18" s="228"/>
      <c r="H18" s="226">
        <v>0</v>
      </c>
      <c r="I18" s="217"/>
      <c r="K18" s="185"/>
      <c r="L18" s="185"/>
      <c r="O18" s="186"/>
      <c r="S18" s="188"/>
    </row>
    <row r="19" spans="3:19" ht="14.1" thickBot="1">
      <c r="D19" s="180" t="s">
        <v>29</v>
      </c>
      <c r="F19" s="229">
        <v>0</v>
      </c>
      <c r="G19" s="230"/>
      <c r="H19" s="229">
        <v>0</v>
      </c>
      <c r="I19" s="217"/>
      <c r="K19" s="185"/>
      <c r="L19" s="185"/>
      <c r="O19" s="186"/>
      <c r="S19" s="188"/>
    </row>
    <row r="20" spans="3:19" ht="14.1" thickTop="1">
      <c r="C20" s="180" t="s">
        <v>30</v>
      </c>
      <c r="F20" s="231">
        <v>0</v>
      </c>
      <c r="G20" s="220"/>
      <c r="H20" s="231">
        <v>0</v>
      </c>
      <c r="I20" s="214"/>
      <c r="K20" s="185"/>
      <c r="L20" s="185"/>
      <c r="O20" s="187"/>
      <c r="S20" s="188"/>
    </row>
    <row r="21" spans="3:19" ht="3.6" customHeight="1">
      <c r="F21" s="232"/>
      <c r="G21" s="220"/>
      <c r="H21" s="232"/>
      <c r="I21" s="214"/>
      <c r="K21" s="185"/>
      <c r="L21" s="185"/>
      <c r="O21" s="187"/>
      <c r="S21" s="188"/>
    </row>
    <row r="22" spans="3:19">
      <c r="F22" s="78">
        <v>0</v>
      </c>
      <c r="G22" s="220"/>
      <c r="H22" s="78"/>
      <c r="I22" s="214"/>
      <c r="K22" s="185"/>
      <c r="L22" s="185"/>
      <c r="N22" s="188"/>
      <c r="O22" s="186"/>
      <c r="S22" s="188"/>
    </row>
    <row r="23" spans="3:19" ht="18">
      <c r="C23" s="211" t="s">
        <v>31</v>
      </c>
      <c r="F23" s="134"/>
      <c r="H23" s="138"/>
      <c r="K23" s="185"/>
      <c r="L23" s="185"/>
      <c r="O23" s="186"/>
    </row>
    <row r="24" spans="3:19" ht="5.45" customHeight="1">
      <c r="C24" s="211"/>
      <c r="F24" s="134"/>
      <c r="H24" s="138"/>
      <c r="I24" s="214"/>
      <c r="K24" s="185"/>
      <c r="L24" s="185"/>
      <c r="O24" s="186"/>
    </row>
    <row r="25" spans="3:19">
      <c r="F25" s="333" t="s">
        <v>17</v>
      </c>
      <c r="G25" s="334"/>
      <c r="H25" s="333" t="s">
        <v>18</v>
      </c>
      <c r="I25" s="334"/>
      <c r="J25" s="190" t="s">
        <v>32</v>
      </c>
      <c r="K25" s="183"/>
      <c r="L25" s="183"/>
      <c r="O25" s="186"/>
      <c r="S25" s="188"/>
    </row>
    <row r="26" spans="3:19">
      <c r="C26" s="180" t="s">
        <v>33</v>
      </c>
      <c r="F26" s="176"/>
      <c r="G26" s="214"/>
      <c r="H26" s="176"/>
      <c r="I26" s="214"/>
      <c r="J26" s="189"/>
      <c r="K26" s="185"/>
      <c r="L26" s="185"/>
    </row>
    <row r="27" spans="3:19">
      <c r="C27" s="180" t="s">
        <v>34</v>
      </c>
      <c r="F27" s="176">
        <v>0</v>
      </c>
      <c r="G27" s="214"/>
      <c r="H27" s="176">
        <v>0</v>
      </c>
      <c r="I27" s="214"/>
      <c r="J27" s="189">
        <f>F27-H27</f>
        <v>0</v>
      </c>
      <c r="K27" s="185"/>
      <c r="L27" s="191"/>
      <c r="M27" s="192" t="s">
        <v>35</v>
      </c>
      <c r="N27" s="193"/>
      <c r="O27" s="194"/>
    </row>
    <row r="28" spans="3:19">
      <c r="C28" s="180" t="s">
        <v>36</v>
      </c>
      <c r="F28" s="176">
        <v>0</v>
      </c>
      <c r="G28" s="214"/>
      <c r="H28" s="176">
        <v>0</v>
      </c>
      <c r="I28" s="214"/>
      <c r="J28" s="189">
        <f>F28-H28</f>
        <v>0</v>
      </c>
      <c r="K28" s="185"/>
      <c r="L28" s="195"/>
      <c r="O28" s="196"/>
      <c r="S28" s="182"/>
    </row>
    <row r="29" spans="3:19">
      <c r="C29" s="180" t="s">
        <v>37</v>
      </c>
      <c r="F29" s="177">
        <v>0</v>
      </c>
      <c r="G29" s="215"/>
      <c r="H29" s="177">
        <v>0</v>
      </c>
      <c r="I29" s="217"/>
      <c r="J29" s="189"/>
      <c r="K29" s="185"/>
      <c r="L29" s="195"/>
      <c r="M29" s="180" t="s">
        <v>38</v>
      </c>
      <c r="N29" s="197">
        <f>((100+'Power of One'!F15)/100)*'Data Input'!H9</f>
        <v>0</v>
      </c>
      <c r="O29" s="196"/>
    </row>
    <row r="30" spans="3:19">
      <c r="C30" s="212" t="s">
        <v>39</v>
      </c>
      <c r="F30" s="224">
        <f>SUM(F26:F29)</f>
        <v>0</v>
      </c>
      <c r="G30" s="220"/>
      <c r="H30" s="224">
        <f>SUM(H26:H29)</f>
        <v>0</v>
      </c>
      <c r="I30" s="214"/>
      <c r="J30" s="189"/>
      <c r="K30" s="185"/>
      <c r="L30" s="195"/>
      <c r="M30" s="180" t="s">
        <v>40</v>
      </c>
      <c r="N30" s="197">
        <f>N29/365*'Power of One'!H9</f>
        <v>0</v>
      </c>
      <c r="O30" s="196"/>
      <c r="S30" s="182"/>
    </row>
    <row r="31" spans="3:19">
      <c r="C31" s="180" t="s">
        <v>41</v>
      </c>
      <c r="F31" s="176">
        <v>0</v>
      </c>
      <c r="G31" s="217"/>
      <c r="H31" s="176">
        <v>0</v>
      </c>
      <c r="I31" s="214"/>
      <c r="J31" s="189">
        <f>F31-H31</f>
        <v>0</v>
      </c>
      <c r="K31" s="185"/>
      <c r="L31" s="195"/>
      <c r="N31" s="186"/>
      <c r="O31" s="196"/>
    </row>
    <row r="32" spans="3:19">
      <c r="C32" s="180" t="s">
        <v>42</v>
      </c>
      <c r="F32" s="177">
        <v>0</v>
      </c>
      <c r="G32" s="215"/>
      <c r="H32" s="177">
        <v>0</v>
      </c>
      <c r="I32" s="217"/>
      <c r="J32" s="189"/>
      <c r="K32" s="185"/>
      <c r="L32" s="195"/>
      <c r="M32" s="180" t="s">
        <v>38</v>
      </c>
      <c r="N32" s="197">
        <f>('Data Input'!H9*('Power of One'!F17/100))+'Data Input'!H9</f>
        <v>0</v>
      </c>
      <c r="O32" s="196"/>
      <c r="S32" s="188"/>
    </row>
    <row r="33" spans="3:19" ht="14.1" thickBot="1">
      <c r="C33" s="212" t="s">
        <v>43</v>
      </c>
      <c r="F33" s="234">
        <v>0</v>
      </c>
      <c r="G33" s="230"/>
      <c r="H33" s="234">
        <f>SUM(H30:H32)</f>
        <v>0</v>
      </c>
      <c r="I33" s="217"/>
      <c r="J33" s="189"/>
      <c r="K33" s="185"/>
      <c r="L33" s="195"/>
      <c r="M33" s="180" t="s">
        <v>40</v>
      </c>
      <c r="N33" s="197">
        <f>(N32/365*'Power of One'!H9)</f>
        <v>0</v>
      </c>
      <c r="O33" s="196"/>
    </row>
    <row r="34" spans="3:19" ht="6.6" customHeight="1" thickTop="1">
      <c r="H34" s="167"/>
      <c r="I34" s="214"/>
      <c r="J34" s="189"/>
      <c r="K34" s="185"/>
      <c r="L34" s="195"/>
      <c r="M34" s="180" t="s">
        <v>44</v>
      </c>
      <c r="N34" s="197">
        <f>'Data Input'!H10+('Data Input'!H10*('Power of One'!F17/100))</f>
        <v>0</v>
      </c>
      <c r="O34" s="196"/>
    </row>
    <row r="35" spans="3:19">
      <c r="C35" s="180" t="s">
        <v>45</v>
      </c>
      <c r="F35" s="178">
        <v>0</v>
      </c>
      <c r="G35" s="214"/>
      <c r="H35" s="178">
        <v>0</v>
      </c>
      <c r="I35" s="214"/>
      <c r="J35" s="189">
        <f>H35-F35</f>
        <v>0</v>
      </c>
      <c r="K35" s="185"/>
      <c r="L35" s="195"/>
      <c r="M35" s="180" t="s">
        <v>46</v>
      </c>
      <c r="N35" s="197">
        <f>N34/365*'Power of One'!H10</f>
        <v>0</v>
      </c>
      <c r="O35" s="196"/>
    </row>
    <row r="36" spans="3:19">
      <c r="C36" s="180" t="s">
        <v>47</v>
      </c>
      <c r="F36" s="176">
        <v>0</v>
      </c>
      <c r="G36" s="214"/>
      <c r="H36" s="176">
        <v>0</v>
      </c>
      <c r="I36" s="214"/>
      <c r="J36" s="189">
        <f>H36-F36</f>
        <v>0</v>
      </c>
      <c r="K36" s="185"/>
      <c r="L36" s="195"/>
      <c r="M36" s="180" t="s">
        <v>48</v>
      </c>
      <c r="N36" s="197">
        <f>N34/365*'Power of One'!H11</f>
        <v>0</v>
      </c>
      <c r="O36" s="196"/>
    </row>
    <row r="37" spans="3:19">
      <c r="C37" s="180" t="s">
        <v>49</v>
      </c>
      <c r="F37" s="177">
        <v>0</v>
      </c>
      <c r="G37" s="215"/>
      <c r="H37" s="177">
        <v>0</v>
      </c>
      <c r="I37" s="217"/>
      <c r="J37" s="189"/>
      <c r="K37" s="185"/>
      <c r="L37" s="195"/>
      <c r="N37" s="186"/>
      <c r="O37" s="196"/>
    </row>
    <row r="38" spans="3:19">
      <c r="C38" s="212" t="s">
        <v>50</v>
      </c>
      <c r="F38" s="224">
        <f>SUM(F35:F37)</f>
        <v>0</v>
      </c>
      <c r="G38" s="220"/>
      <c r="H38" s="224">
        <f>SUM(H35:H37)</f>
        <v>0</v>
      </c>
      <c r="I38" s="214"/>
      <c r="J38" s="189"/>
      <c r="K38" s="185"/>
      <c r="L38" s="195"/>
      <c r="M38" s="180" t="s">
        <v>44</v>
      </c>
      <c r="N38" s="197">
        <f>'Data Input'!H10-'Power of One'!J19</f>
        <v>0</v>
      </c>
      <c r="O38" s="196"/>
    </row>
    <row r="39" spans="3:19">
      <c r="C39" s="180" t="s">
        <v>51</v>
      </c>
      <c r="F39" s="176">
        <v>0</v>
      </c>
      <c r="G39" s="214"/>
      <c r="H39" s="176">
        <v>0</v>
      </c>
      <c r="I39" s="214"/>
      <c r="J39" s="189">
        <f>H39-F39</f>
        <v>0</v>
      </c>
      <c r="K39" s="185"/>
      <c r="L39" s="195"/>
      <c r="M39" s="180" t="s">
        <v>46</v>
      </c>
      <c r="N39" s="197">
        <f>N38/365*'Power of One'!H10</f>
        <v>0</v>
      </c>
      <c r="O39" s="196"/>
    </row>
    <row r="40" spans="3:19">
      <c r="C40" s="180" t="s">
        <v>52</v>
      </c>
      <c r="F40" s="177">
        <v>0</v>
      </c>
      <c r="G40" s="215"/>
      <c r="H40" s="177">
        <v>0</v>
      </c>
      <c r="I40" s="217"/>
      <c r="J40" s="189"/>
      <c r="K40" s="185"/>
      <c r="L40" s="195"/>
      <c r="M40" s="180" t="s">
        <v>48</v>
      </c>
      <c r="N40" s="197">
        <f>N38/365*'Power of One'!H11</f>
        <v>0</v>
      </c>
      <c r="O40" s="196"/>
      <c r="S40" s="198"/>
    </row>
    <row r="41" spans="3:19">
      <c r="C41" s="212" t="s">
        <v>53</v>
      </c>
      <c r="F41" s="224">
        <f>SUM(F38:F40)</f>
        <v>0</v>
      </c>
      <c r="G41" s="220"/>
      <c r="H41" s="224">
        <f>SUM(H38:H40)</f>
        <v>0</v>
      </c>
      <c r="I41" s="214"/>
      <c r="J41" s="189"/>
      <c r="K41" s="185"/>
      <c r="L41" s="195"/>
      <c r="M41" s="188"/>
      <c r="N41" s="199" t="e">
        <f>'Data Input'!I12*(1+('Power of One'!F21/100))</f>
        <v>#DIV/0!</v>
      </c>
      <c r="O41" s="196"/>
    </row>
    <row r="42" spans="3:19">
      <c r="C42" s="180" t="s">
        <v>54</v>
      </c>
      <c r="F42" s="176">
        <v>0</v>
      </c>
      <c r="G42" s="214"/>
      <c r="H42" s="176">
        <v>0</v>
      </c>
      <c r="I42" s="214"/>
      <c r="J42" s="189">
        <f t="shared" ref="J42:J43" si="0">H42-F42</f>
        <v>0</v>
      </c>
      <c r="K42" s="185"/>
      <c r="L42" s="195"/>
      <c r="N42" s="186"/>
      <c r="O42" s="196"/>
      <c r="S42" s="182"/>
    </row>
    <row r="43" spans="3:19">
      <c r="C43" s="180" t="s">
        <v>55</v>
      </c>
      <c r="F43" s="177">
        <v>0</v>
      </c>
      <c r="G43" s="215"/>
      <c r="H43" s="177">
        <v>0</v>
      </c>
      <c r="I43" s="217"/>
      <c r="J43" s="189">
        <f t="shared" si="0"/>
        <v>0</v>
      </c>
      <c r="K43" s="185"/>
      <c r="L43" s="195"/>
      <c r="N43" s="199" t="e">
        <f>'Data Input'!I14*(1+('Power of One'!F23/100))</f>
        <v>#DIV/0!</v>
      </c>
      <c r="O43" s="196"/>
    </row>
    <row r="44" spans="3:19" ht="14.1" thickBot="1">
      <c r="C44" s="212" t="s">
        <v>56</v>
      </c>
      <c r="F44" s="235">
        <f>SUM(F41:F43)</f>
        <v>0</v>
      </c>
      <c r="G44" s="236"/>
      <c r="H44" s="235">
        <f>SUM(H41:H43)</f>
        <v>0</v>
      </c>
      <c r="I44" s="217"/>
      <c r="J44" s="189"/>
      <c r="K44" s="185"/>
      <c r="L44" s="200"/>
      <c r="M44" s="201"/>
      <c r="N44" s="201"/>
      <c r="O44" s="202"/>
      <c r="S44" s="182"/>
    </row>
    <row r="45" spans="3:19" ht="14.1" thickTop="1">
      <c r="C45" s="213"/>
      <c r="F45" s="220">
        <f>F33-F44</f>
        <v>0</v>
      </c>
      <c r="G45" s="220"/>
      <c r="H45" s="220">
        <f>H33-H44</f>
        <v>0</v>
      </c>
      <c r="I45" s="214"/>
      <c r="J45" s="189"/>
      <c r="K45" s="185"/>
      <c r="L45" s="185"/>
    </row>
    <row r="51" spans="8:10">
      <c r="H51" s="169"/>
      <c r="J51" s="186"/>
    </row>
  </sheetData>
  <mergeCells count="4">
    <mergeCell ref="F8:G8"/>
    <mergeCell ref="H8:I8"/>
    <mergeCell ref="F25:G25"/>
    <mergeCell ref="H25:I25"/>
  </mergeCells>
  <dataValidations count="2">
    <dataValidation type="whole" showInputMessage="1" showErrorMessage="1" errorTitle="Numbers only" error="Numbers only: Do not enter any thousand separators or currency signs" sqref="H42:H43 F12 F14 F9:F10 H9:H10 H12 H14 H17:H20 F26:F29 H26:H29 F31:F32 H31:H32 F35:F37 H35:H37 F39:F40 F42:F43 H39:H40 F17:F20" xr:uid="{C3E6F1FF-14F0-4AED-A995-70985CF17EE0}">
      <formula1>-9.99999999999999E+47</formula1>
      <formula2>9.99999999999999E+59</formula2>
    </dataValidation>
    <dataValidation showInputMessage="1" showErrorMessage="1" sqref="H13 F30 H33 F38 H44:H45 F41 F44:F45 H38 H41 F33 H30 H15:H16 F13 F15:F16 H11 F11" xr:uid="{FEBC6529-88E9-41E7-98D8-ED1E0BA19740}"/>
  </dataValidations>
  <pageMargins left="0.7" right="0.7" top="0.75" bottom="0.75" header="0.3" footer="0.3"/>
  <pageSetup orientation="portrait" r:id="rId1"/>
  <ignoredErrors>
    <ignoredError sqref="I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_data_input">
                <anchor moveWithCells="1" sizeWithCells="1">
                  <from>
                    <xdr:col>5</xdr:col>
                    <xdr:colOff>800100</xdr:colOff>
                    <xdr:row>3</xdr:row>
                    <xdr:rowOff>50800</xdr:rowOff>
                  </from>
                  <to>
                    <xdr:col>7</xdr:col>
                    <xdr:colOff>279400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3272"/>
    <pageSetUpPr fitToPage="1"/>
  </sheetPr>
  <dimension ref="A1:EW86"/>
  <sheetViews>
    <sheetView showGridLines="0" tabSelected="1" zoomScaleNormal="100" zoomScalePageLayoutView="110" workbookViewId="0">
      <pane ySplit="2" topLeftCell="C3" activePane="bottomLeft" state="frozen"/>
      <selection pane="bottomLeft" activeCell="C3" sqref="C3"/>
    </sheetView>
  </sheetViews>
  <sheetFormatPr defaultColWidth="11" defaultRowHeight="15.95"/>
  <cols>
    <col min="1" max="1" width="7.875" style="156" customWidth="1"/>
    <col min="2" max="2" width="3.5" style="157" customWidth="1"/>
    <col min="3" max="4" width="4.125" style="93" customWidth="1"/>
    <col min="5" max="5" width="23.375" style="93" customWidth="1"/>
    <col min="6" max="6" width="14.125" style="93" customWidth="1"/>
    <col min="7" max="7" width="7.125" style="93" customWidth="1"/>
    <col min="8" max="8" width="14.375" style="109" customWidth="1"/>
    <col min="9" max="9" width="7.125" style="93" customWidth="1"/>
    <col min="10" max="10" width="10.125" style="109" customWidth="1"/>
    <col min="11" max="11" width="13.875" style="93" customWidth="1"/>
    <col min="12" max="12" width="6.375" style="93" customWidth="1"/>
    <col min="13" max="13" width="2" style="93" customWidth="1"/>
    <col min="14" max="14" width="16.875" style="93" customWidth="1"/>
    <col min="15" max="15" width="12" style="93" customWidth="1"/>
    <col min="16" max="16" width="1.625" style="93" customWidth="1"/>
    <col min="17" max="17" width="3.5" style="93" customWidth="1"/>
    <col min="18" max="18" width="15.125" style="93" bestFit="1" customWidth="1"/>
    <col min="19" max="19" width="4.5" style="93" customWidth="1"/>
    <col min="20" max="20" width="14.125" style="93" bestFit="1" customWidth="1"/>
    <col min="21" max="21" width="15.5" style="93" customWidth="1"/>
    <col min="22" max="16384" width="11" style="93"/>
  </cols>
  <sheetData>
    <row r="1" spans="1:153" ht="9" customHeight="1" thickTop="1">
      <c r="B1" s="155"/>
      <c r="C1" s="102"/>
      <c r="D1" s="102"/>
      <c r="E1" s="102"/>
      <c r="F1" s="102"/>
      <c r="G1" s="102"/>
      <c r="H1" s="117"/>
      <c r="I1" s="102"/>
      <c r="J1" s="117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18"/>
    </row>
    <row r="2" spans="1:153" s="113" customFormat="1" ht="41.1" customHeight="1" thickBot="1">
      <c r="A2" s="156"/>
      <c r="B2" s="157"/>
      <c r="C2" s="152" t="s">
        <v>57</v>
      </c>
      <c r="E2" s="151"/>
      <c r="F2" s="152"/>
      <c r="G2" s="153"/>
      <c r="H2" s="154"/>
      <c r="I2" s="103"/>
      <c r="J2" s="111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12"/>
    </row>
    <row r="3" spans="1:153" ht="8.25" customHeight="1" thickTop="1"/>
    <row r="4" spans="1:153">
      <c r="E4" s="74" t="s">
        <v>58</v>
      </c>
    </row>
    <row r="5" spans="1:153">
      <c r="F5" s="108"/>
    </row>
    <row r="6" spans="1:153">
      <c r="F6" s="114"/>
      <c r="S6" s="115"/>
    </row>
    <row r="7" spans="1:153" ht="18">
      <c r="C7" s="104" t="s">
        <v>15</v>
      </c>
      <c r="S7" s="116"/>
    </row>
    <row r="8" spans="1:153">
      <c r="F8" s="335" t="s">
        <v>17</v>
      </c>
      <c r="G8" s="336"/>
      <c r="H8" s="335" t="s">
        <v>18</v>
      </c>
      <c r="I8" s="336"/>
      <c r="K8" s="128"/>
      <c r="L8" s="128"/>
      <c r="S8" s="116"/>
    </row>
    <row r="9" spans="1:153">
      <c r="C9" s="93" t="s">
        <v>19</v>
      </c>
      <c r="F9" s="74">
        <v>35000000</v>
      </c>
      <c r="G9" s="119"/>
      <c r="H9" s="74">
        <v>42000000</v>
      </c>
      <c r="I9" s="119"/>
      <c r="K9" s="122"/>
      <c r="L9" s="122"/>
      <c r="S9" s="116"/>
    </row>
    <row r="10" spans="1:153">
      <c r="C10" s="93" t="s">
        <v>20</v>
      </c>
      <c r="F10" s="73">
        <v>24500000</v>
      </c>
      <c r="G10" s="120"/>
      <c r="H10" s="79">
        <v>28980000</v>
      </c>
      <c r="I10" s="122"/>
      <c r="K10" s="122"/>
      <c r="L10" s="122"/>
    </row>
    <row r="11" spans="1:153">
      <c r="D11" s="93" t="s">
        <v>21</v>
      </c>
      <c r="F11" s="80">
        <f>F9-F10</f>
        <v>10500000</v>
      </c>
      <c r="G11" s="121">
        <f>F11/F9</f>
        <v>0.3</v>
      </c>
      <c r="H11" s="80">
        <f>H9-H10</f>
        <v>13020000</v>
      </c>
      <c r="I11" s="121">
        <f>H11/H9</f>
        <v>0.31</v>
      </c>
      <c r="K11" s="122"/>
      <c r="L11" s="122"/>
    </row>
    <row r="12" spans="1:153">
      <c r="C12" s="93" t="s">
        <v>22</v>
      </c>
      <c r="F12" s="75">
        <v>3000000</v>
      </c>
      <c r="G12" s="119">
        <f>F11/F12</f>
        <v>3.5</v>
      </c>
      <c r="H12" s="73">
        <v>3250000</v>
      </c>
      <c r="I12" s="119">
        <f>H11/H12</f>
        <v>4.006153846153846</v>
      </c>
      <c r="K12" s="122"/>
      <c r="L12" s="122"/>
    </row>
    <row r="13" spans="1:153">
      <c r="D13" s="93" t="s">
        <v>23</v>
      </c>
      <c r="F13" s="80">
        <f>F11-F12</f>
        <v>7500000</v>
      </c>
      <c r="G13" s="121">
        <f>F13/F9</f>
        <v>0.21428571428571427</v>
      </c>
      <c r="H13" s="80">
        <f>H11-H12</f>
        <v>9770000</v>
      </c>
      <c r="I13" s="121">
        <f>H13/H9</f>
        <v>0.23261904761904761</v>
      </c>
      <c r="K13" s="122"/>
      <c r="L13" s="122"/>
    </row>
    <row r="14" spans="1:153">
      <c r="C14" s="93" t="s">
        <v>24</v>
      </c>
      <c r="F14" s="74">
        <v>2000000</v>
      </c>
      <c r="G14" s="119">
        <f>F13/F14</f>
        <v>3.75</v>
      </c>
      <c r="H14" s="74">
        <v>2500000</v>
      </c>
      <c r="I14" s="119">
        <f>H13/H14</f>
        <v>3.9079999999999999</v>
      </c>
      <c r="K14" s="122"/>
      <c r="L14" s="122"/>
      <c r="S14" s="96"/>
    </row>
    <row r="15" spans="1:153">
      <c r="C15" s="93" t="s">
        <v>25</v>
      </c>
      <c r="F15" s="81">
        <f>F13-F16-F14</f>
        <v>1751140</v>
      </c>
      <c r="G15" s="120"/>
      <c r="H15" s="81">
        <f>H13-H16-H14</f>
        <v>2651150</v>
      </c>
      <c r="I15" s="120"/>
      <c r="K15" s="122"/>
      <c r="L15" s="122"/>
      <c r="S15" s="96"/>
    </row>
    <row r="16" spans="1:153">
      <c r="D16" s="93" t="s">
        <v>26</v>
      </c>
      <c r="F16" s="80">
        <f>F19+F17+F18</f>
        <v>3748860</v>
      </c>
      <c r="G16" s="121">
        <f>F16/F9</f>
        <v>0.10711028571428571</v>
      </c>
      <c r="H16" s="80">
        <f>H19+H17+H18</f>
        <v>4618850</v>
      </c>
      <c r="I16" s="121">
        <f>H16/H9</f>
        <v>0.10997261904761904</v>
      </c>
      <c r="J16" s="124">
        <f>H16-H20</f>
        <v>5551850</v>
      </c>
      <c r="K16" s="122"/>
      <c r="L16" s="122"/>
      <c r="S16" s="96"/>
    </row>
    <row r="17" spans="3:19">
      <c r="C17" s="93" t="s">
        <v>27</v>
      </c>
      <c r="F17" s="75">
        <v>1165900</v>
      </c>
      <c r="G17" s="119"/>
      <c r="H17" s="74">
        <v>1363480</v>
      </c>
      <c r="I17" s="119"/>
      <c r="K17" s="122"/>
      <c r="L17" s="122"/>
    </row>
    <row r="18" spans="3:19">
      <c r="C18" s="93" t="s">
        <v>28</v>
      </c>
      <c r="F18" s="75">
        <v>930280</v>
      </c>
      <c r="G18" s="122"/>
      <c r="H18" s="75">
        <v>1172348</v>
      </c>
      <c r="I18" s="122"/>
      <c r="K18" s="122"/>
      <c r="L18" s="122"/>
      <c r="S18" s="96"/>
    </row>
    <row r="19" spans="3:19" ht="17.100000000000001" thickBot="1">
      <c r="D19" s="93" t="s">
        <v>29</v>
      </c>
      <c r="F19" s="76">
        <v>1652680</v>
      </c>
      <c r="G19" s="123"/>
      <c r="H19" s="76">
        <v>2083022</v>
      </c>
      <c r="I19" s="122"/>
      <c r="K19" s="122"/>
      <c r="L19" s="122"/>
      <c r="S19" s="96"/>
    </row>
    <row r="20" spans="3:19" ht="17.100000000000001" thickTop="1">
      <c r="C20" s="93" t="s">
        <v>30</v>
      </c>
      <c r="F20" s="77">
        <v>-820000</v>
      </c>
      <c r="G20" s="119"/>
      <c r="H20" s="77">
        <v>-933000</v>
      </c>
      <c r="I20" s="119"/>
      <c r="K20" s="122"/>
      <c r="L20" s="122"/>
      <c r="S20" s="96"/>
    </row>
    <row r="21" spans="3:19">
      <c r="F21" s="109"/>
      <c r="G21" s="119"/>
      <c r="I21" s="119"/>
      <c r="K21" s="122"/>
      <c r="L21" s="122"/>
      <c r="S21" s="96"/>
    </row>
    <row r="22" spans="3:19">
      <c r="F22" s="109"/>
      <c r="G22" s="119"/>
      <c r="I22" s="119"/>
      <c r="K22" s="122"/>
      <c r="L22" s="122"/>
      <c r="S22" s="96"/>
    </row>
    <row r="23" spans="3:19" ht="18">
      <c r="C23" s="104" t="s">
        <v>31</v>
      </c>
      <c r="F23" s="109"/>
      <c r="G23" s="119"/>
      <c r="I23" s="119"/>
      <c r="K23" s="122"/>
      <c r="L23" s="122"/>
    </row>
    <row r="24" spans="3:19">
      <c r="F24" s="335" t="s">
        <v>17</v>
      </c>
      <c r="G24" s="336"/>
      <c r="H24" s="335" t="s">
        <v>18</v>
      </c>
      <c r="I24" s="336"/>
      <c r="J24" s="127" t="s">
        <v>32</v>
      </c>
      <c r="K24" s="128"/>
      <c r="L24" s="128"/>
      <c r="S24" s="96"/>
    </row>
    <row r="25" spans="3:19">
      <c r="C25" s="93" t="s">
        <v>33</v>
      </c>
      <c r="F25" s="74">
        <v>0</v>
      </c>
      <c r="G25" s="119"/>
      <c r="H25" s="74">
        <v>0</v>
      </c>
      <c r="I25" s="119"/>
      <c r="J25" s="124"/>
      <c r="K25" s="122"/>
      <c r="L25" s="122"/>
    </row>
    <row r="26" spans="3:19">
      <c r="C26" s="93" t="s">
        <v>34</v>
      </c>
      <c r="F26" s="74">
        <v>6712330</v>
      </c>
      <c r="G26" s="119"/>
      <c r="H26" s="74">
        <v>8630137</v>
      </c>
      <c r="I26" s="119"/>
      <c r="J26" s="124">
        <f>F26-H26</f>
        <v>-1917807</v>
      </c>
      <c r="K26" s="122"/>
      <c r="L26" s="122"/>
    </row>
    <row r="27" spans="3:19">
      <c r="C27" s="93" t="s">
        <v>36</v>
      </c>
      <c r="F27" s="74">
        <v>10336960</v>
      </c>
      <c r="G27" s="119"/>
      <c r="H27" s="74">
        <v>14291507</v>
      </c>
      <c r="I27" s="119"/>
      <c r="J27" s="124">
        <f>F27-H27</f>
        <v>-3954547</v>
      </c>
      <c r="K27" s="122"/>
      <c r="L27" s="122"/>
      <c r="S27" s="116"/>
    </row>
    <row r="28" spans="3:19">
      <c r="C28" s="93" t="s">
        <v>37</v>
      </c>
      <c r="F28" s="73">
        <v>0</v>
      </c>
      <c r="G28" s="120"/>
      <c r="H28" s="79">
        <v>0</v>
      </c>
      <c r="I28" s="122"/>
      <c r="J28" s="124"/>
      <c r="K28" s="122"/>
      <c r="L28" s="122"/>
    </row>
    <row r="29" spans="3:19">
      <c r="C29" s="105" t="s">
        <v>39</v>
      </c>
      <c r="F29" s="80">
        <f>SUM(F25:F28)</f>
        <v>17049290</v>
      </c>
      <c r="G29" s="119"/>
      <c r="H29" s="80">
        <f>SUM(H25:H28)</f>
        <v>22921644</v>
      </c>
      <c r="I29" s="119"/>
      <c r="J29" s="124"/>
      <c r="K29" s="122"/>
      <c r="L29" s="122"/>
      <c r="S29" s="116"/>
    </row>
    <row r="30" spans="3:19">
      <c r="C30" s="93" t="s">
        <v>41</v>
      </c>
      <c r="F30" s="74">
        <v>8500000</v>
      </c>
      <c r="G30" s="122"/>
      <c r="H30" s="74">
        <v>9500000</v>
      </c>
      <c r="I30" s="119"/>
      <c r="J30" s="124">
        <f>F30-H30</f>
        <v>-1000000</v>
      </c>
      <c r="K30" s="122"/>
      <c r="L30" s="122"/>
    </row>
    <row r="31" spans="3:19">
      <c r="C31" s="93" t="s">
        <v>42</v>
      </c>
      <c r="F31" s="73">
        <v>0</v>
      </c>
      <c r="G31" s="120"/>
      <c r="H31" s="73">
        <v>0</v>
      </c>
      <c r="I31" s="122"/>
      <c r="J31" s="124"/>
      <c r="K31" s="122"/>
      <c r="L31" s="122"/>
      <c r="S31" s="96"/>
    </row>
    <row r="32" spans="3:19" ht="17.100000000000001" thickBot="1">
      <c r="C32" s="105" t="s">
        <v>43</v>
      </c>
      <c r="F32" s="82">
        <f>SUM(F29:F31)</f>
        <v>25549290</v>
      </c>
      <c r="G32" s="123"/>
      <c r="H32" s="82">
        <f>SUM(H29:H31)</f>
        <v>32421644</v>
      </c>
      <c r="I32" s="122"/>
      <c r="J32" s="124"/>
      <c r="K32" s="122"/>
      <c r="L32" s="122"/>
    </row>
    <row r="33" spans="3:19" ht="17.100000000000001" thickTop="1">
      <c r="I33" s="119"/>
      <c r="J33" s="124"/>
      <c r="K33" s="122"/>
      <c r="L33" s="122"/>
    </row>
    <row r="34" spans="3:19">
      <c r="C34" s="93" t="s">
        <v>45</v>
      </c>
      <c r="F34" s="75">
        <v>4028550</v>
      </c>
      <c r="G34" s="119"/>
      <c r="H34" s="74">
        <v>5557808</v>
      </c>
      <c r="I34" s="119"/>
      <c r="J34" s="124">
        <f>H34-F34</f>
        <v>1529258</v>
      </c>
      <c r="K34" s="122"/>
      <c r="L34" s="122"/>
    </row>
    <row r="35" spans="3:19">
      <c r="C35" s="93" t="s">
        <v>47</v>
      </c>
      <c r="F35" s="74">
        <v>5019740</v>
      </c>
      <c r="G35" s="119"/>
      <c r="H35" s="74">
        <v>7279813</v>
      </c>
      <c r="I35" s="119"/>
      <c r="J35" s="124">
        <f>H35-F35</f>
        <v>2260073</v>
      </c>
      <c r="K35" s="122"/>
      <c r="L35" s="122"/>
    </row>
    <row r="36" spans="3:19">
      <c r="C36" s="93" t="s">
        <v>49</v>
      </c>
      <c r="F36" s="73">
        <v>0</v>
      </c>
      <c r="G36" s="120"/>
      <c r="H36" s="73">
        <v>0</v>
      </c>
      <c r="I36" s="122"/>
      <c r="J36" s="124"/>
      <c r="K36" s="122"/>
      <c r="L36" s="122"/>
    </row>
    <row r="37" spans="3:19">
      <c r="C37" s="105" t="s">
        <v>50</v>
      </c>
      <c r="F37" s="80">
        <f>SUM(F34:F36)</f>
        <v>9048290</v>
      </c>
      <c r="G37" s="119"/>
      <c r="H37" s="80">
        <f>SUM(H34:H36)</f>
        <v>12837621</v>
      </c>
      <c r="I37" s="119"/>
      <c r="J37" s="124"/>
      <c r="K37" s="122"/>
      <c r="L37" s="122"/>
    </row>
    <row r="38" spans="3:19">
      <c r="C38" s="93" t="s">
        <v>51</v>
      </c>
      <c r="F38" s="74">
        <v>9000000</v>
      </c>
      <c r="G38" s="119"/>
      <c r="H38" s="74">
        <v>10000000</v>
      </c>
      <c r="I38" s="119"/>
      <c r="J38" s="124">
        <f>H38-F38</f>
        <v>1000000</v>
      </c>
      <c r="K38" s="122"/>
      <c r="L38" s="122"/>
    </row>
    <row r="39" spans="3:19">
      <c r="C39" s="93" t="s">
        <v>52</v>
      </c>
      <c r="F39" s="73">
        <v>0</v>
      </c>
      <c r="G39" s="120"/>
      <c r="H39" s="73">
        <v>0</v>
      </c>
      <c r="I39" s="122"/>
      <c r="J39" s="124"/>
      <c r="K39" s="122"/>
      <c r="L39" s="122"/>
      <c r="S39" s="126"/>
    </row>
    <row r="40" spans="3:19">
      <c r="C40" s="105" t="s">
        <v>53</v>
      </c>
      <c r="F40" s="80">
        <f>SUM(F37:F39)</f>
        <v>18048290</v>
      </c>
      <c r="G40" s="119"/>
      <c r="H40" s="80">
        <f>SUM(H37:H39)</f>
        <v>22837621</v>
      </c>
      <c r="I40" s="119"/>
      <c r="J40" s="124"/>
      <c r="K40" s="122"/>
      <c r="L40" s="122"/>
    </row>
    <row r="41" spans="3:19">
      <c r="C41" s="93" t="s">
        <v>54</v>
      </c>
      <c r="F41" s="74">
        <v>2001000</v>
      </c>
      <c r="G41" s="119"/>
      <c r="H41" s="74">
        <v>2001000</v>
      </c>
      <c r="I41" s="119"/>
      <c r="J41" s="124">
        <f t="shared" ref="J41:J42" si="0">H41-F41</f>
        <v>0</v>
      </c>
      <c r="K41" s="122"/>
      <c r="L41" s="122"/>
      <c r="S41" s="116"/>
    </row>
    <row r="42" spans="3:19">
      <c r="C42" s="93" t="s">
        <v>55</v>
      </c>
      <c r="F42" s="73">
        <v>5500000</v>
      </c>
      <c r="G42" s="120"/>
      <c r="H42" s="73">
        <v>7583023</v>
      </c>
      <c r="I42" s="122"/>
      <c r="J42" s="124">
        <f t="shared" si="0"/>
        <v>2083023</v>
      </c>
      <c r="K42" s="122"/>
      <c r="L42" s="122"/>
    </row>
    <row r="43" spans="3:19" ht="17.100000000000001" thickBot="1">
      <c r="C43" s="105" t="s">
        <v>56</v>
      </c>
      <c r="F43" s="83">
        <f>SUM(F40:F42)</f>
        <v>25549290</v>
      </c>
      <c r="G43" s="125"/>
      <c r="H43" s="83">
        <f>SUM(H40:H42)</f>
        <v>32421644</v>
      </c>
      <c r="I43" s="122"/>
      <c r="J43" s="124"/>
      <c r="K43" s="122"/>
      <c r="L43" s="122"/>
      <c r="S43" s="116"/>
    </row>
    <row r="44" spans="3:19" ht="17.100000000000001" thickTop="1">
      <c r="C44" s="106"/>
      <c r="F44" s="84">
        <f>F32-F43</f>
        <v>0</v>
      </c>
      <c r="G44" s="119"/>
      <c r="H44" s="80">
        <f>H32-H43</f>
        <v>0</v>
      </c>
      <c r="I44" s="119"/>
      <c r="J44" s="124"/>
      <c r="K44" s="122"/>
      <c r="L44" s="122"/>
    </row>
    <row r="48" spans="3:19" ht="18">
      <c r="C48" s="104" t="s">
        <v>59</v>
      </c>
      <c r="F48" s="110"/>
      <c r="H48" s="95"/>
      <c r="J48" s="95"/>
    </row>
    <row r="49" spans="3:18" ht="18">
      <c r="E49" s="104"/>
      <c r="H49" s="95"/>
      <c r="J49" s="95"/>
    </row>
    <row r="50" spans="3:18">
      <c r="F50" s="107"/>
      <c r="G50" s="107"/>
      <c r="H50" s="85" t="s">
        <v>60</v>
      </c>
      <c r="J50" s="85" t="s">
        <v>61</v>
      </c>
    </row>
    <row r="51" spans="3:18">
      <c r="C51" s="93" t="s">
        <v>62</v>
      </c>
      <c r="H51" s="86">
        <f>H19+J26+J27+J34+J30</f>
        <v>-3260074</v>
      </c>
      <c r="J51" s="86">
        <f>H16</f>
        <v>4618850</v>
      </c>
      <c r="M51" s="87"/>
      <c r="N51" s="88" t="s">
        <v>35</v>
      </c>
      <c r="O51" s="89"/>
      <c r="P51" s="90"/>
    </row>
    <row r="52" spans="3:18">
      <c r="C52" s="93" t="s">
        <v>63</v>
      </c>
      <c r="H52" s="91">
        <f>H26/(H9/365)</f>
        <v>75.000000119047627</v>
      </c>
      <c r="J52" s="95"/>
      <c r="M52" s="92"/>
      <c r="P52" s="94"/>
    </row>
    <row r="53" spans="3:18">
      <c r="C53" s="93" t="s">
        <v>64</v>
      </c>
      <c r="H53" s="86">
        <f>H34/(H10/365)</f>
        <v>69.999997239475505</v>
      </c>
      <c r="J53" s="95"/>
      <c r="M53" s="92"/>
      <c r="N53" s="93" t="s">
        <v>38</v>
      </c>
      <c r="O53" s="86">
        <f>((100+F58)/100)*H9</f>
        <v>42420000</v>
      </c>
      <c r="P53" s="94"/>
    </row>
    <row r="54" spans="3:18">
      <c r="C54" s="93" t="s">
        <v>65</v>
      </c>
      <c r="H54" s="86">
        <f>H27/(H10/365)</f>
        <v>180.00000189786061</v>
      </c>
      <c r="J54" s="95"/>
      <c r="M54" s="92"/>
      <c r="N54" s="93" t="s">
        <v>40</v>
      </c>
      <c r="O54" s="86">
        <f>O53/365*H52</f>
        <v>8716438.370000001</v>
      </c>
      <c r="P54" s="94"/>
    </row>
    <row r="55" spans="3:18">
      <c r="H55" s="95"/>
      <c r="J55" s="95"/>
      <c r="M55" s="92"/>
      <c r="O55" s="95"/>
      <c r="P55" s="94"/>
    </row>
    <row r="56" spans="3:18">
      <c r="C56" s="107"/>
      <c r="H56" s="95"/>
      <c r="J56" s="95"/>
      <c r="M56" s="92"/>
      <c r="N56" s="93" t="s">
        <v>38</v>
      </c>
      <c r="O56" s="86">
        <f>(H9*(F60/100))+H9</f>
        <v>42420000</v>
      </c>
      <c r="P56" s="94"/>
    </row>
    <row r="57" spans="3:18">
      <c r="H57" s="95"/>
      <c r="J57" s="95"/>
      <c r="M57" s="92"/>
      <c r="N57" s="93" t="s">
        <v>40</v>
      </c>
      <c r="O57" s="86">
        <f>(O56/365*H52)</f>
        <v>8716438.370000001</v>
      </c>
      <c r="P57" s="94"/>
      <c r="R57" s="109"/>
    </row>
    <row r="58" spans="3:18">
      <c r="C58" s="93" t="s">
        <v>66</v>
      </c>
      <c r="F58" s="73">
        <v>1</v>
      </c>
      <c r="G58" s="131" t="s">
        <v>67</v>
      </c>
      <c r="H58" s="86">
        <f>J58*(365-H52)/365</f>
        <v>333698.63</v>
      </c>
      <c r="J58" s="86">
        <f>H9*(F58/100)</f>
        <v>420000</v>
      </c>
      <c r="M58" s="92"/>
      <c r="N58" s="93" t="s">
        <v>44</v>
      </c>
      <c r="O58" s="86">
        <f>H10+(H10*(F60/100))</f>
        <v>29269800</v>
      </c>
      <c r="P58" s="94"/>
    </row>
    <row r="59" spans="3:18">
      <c r="G59" s="131"/>
      <c r="H59" s="95"/>
      <c r="J59" s="95"/>
      <c r="M59" s="92"/>
      <c r="N59" s="93" t="s">
        <v>46</v>
      </c>
      <c r="O59" s="86">
        <f>O58/365*H53</f>
        <v>5613386.0800000001</v>
      </c>
      <c r="P59" s="94"/>
    </row>
    <row r="60" spans="3:18">
      <c r="C60" s="93" t="s">
        <v>68</v>
      </c>
      <c r="F60" s="73">
        <v>1</v>
      </c>
      <c r="G60" s="131" t="s">
        <v>67</v>
      </c>
      <c r="H60" s="86">
        <f>J60+H26-O57+O59-H34+H27-O60</f>
        <v>-75938.360000001267</v>
      </c>
      <c r="J60" s="86">
        <f>H13*(F60/100)</f>
        <v>97700</v>
      </c>
      <c r="K60" s="129"/>
      <c r="M60" s="92"/>
      <c r="N60" s="93" t="s">
        <v>48</v>
      </c>
      <c r="O60" s="86">
        <f>O58/365*H54</f>
        <v>14434422.07</v>
      </c>
      <c r="P60" s="94"/>
    </row>
    <row r="61" spans="3:18">
      <c r="H61" s="95"/>
      <c r="J61" s="95"/>
      <c r="M61" s="92"/>
      <c r="O61" s="95"/>
      <c r="P61" s="94"/>
    </row>
    <row r="62" spans="3:18">
      <c r="C62" s="93" t="s">
        <v>69</v>
      </c>
      <c r="F62" s="73">
        <v>1</v>
      </c>
      <c r="G62" s="131" t="s">
        <v>67</v>
      </c>
      <c r="H62" s="86">
        <f>J62-H34+O63+H27-O64</f>
        <v>377136.98999999836</v>
      </c>
      <c r="J62" s="86">
        <f>H10*(F62/100)</f>
        <v>289800</v>
      </c>
      <c r="M62" s="92"/>
      <c r="N62" s="93" t="s">
        <v>44</v>
      </c>
      <c r="O62" s="86">
        <f>H10-J62</f>
        <v>28690200</v>
      </c>
      <c r="P62" s="94"/>
    </row>
    <row r="63" spans="3:18">
      <c r="G63" s="131"/>
      <c r="H63" s="95"/>
      <c r="J63" s="95"/>
      <c r="M63" s="92"/>
      <c r="N63" s="93" t="s">
        <v>46</v>
      </c>
      <c r="O63" s="86">
        <f>O62/365*H53</f>
        <v>5502229.9199999999</v>
      </c>
      <c r="P63" s="94"/>
    </row>
    <row r="64" spans="3:18">
      <c r="C64" s="93" t="s">
        <v>70</v>
      </c>
      <c r="F64" s="73">
        <v>1</v>
      </c>
      <c r="G64" s="131" t="s">
        <v>67</v>
      </c>
      <c r="H64" s="86">
        <f>+J64</f>
        <v>130199.99999999898</v>
      </c>
      <c r="J64" s="86">
        <f>H12*(O65-I12)</f>
        <v>130199.99999999898</v>
      </c>
      <c r="M64" s="92"/>
      <c r="N64" s="93" t="s">
        <v>48</v>
      </c>
      <c r="O64" s="86">
        <f>O62/365*H54</f>
        <v>14148591.930000002</v>
      </c>
      <c r="P64" s="94"/>
    </row>
    <row r="65" spans="3:16">
      <c r="H65" s="95"/>
      <c r="J65" s="95"/>
      <c r="M65" s="92"/>
      <c r="N65" s="96"/>
      <c r="O65" s="91">
        <f>I12*(1+(F64/100))</f>
        <v>4.0462153846153841</v>
      </c>
      <c r="P65" s="94"/>
    </row>
    <row r="66" spans="3:16">
      <c r="C66" s="93" t="s">
        <v>71</v>
      </c>
      <c r="F66" s="73">
        <v>1</v>
      </c>
      <c r="G66" s="131" t="s">
        <v>67</v>
      </c>
      <c r="H66" s="86">
        <f>+J66</f>
        <v>97700.000000000568</v>
      </c>
      <c r="J66" s="86">
        <f>H14*(O67-I14)</f>
        <v>97700.000000000568</v>
      </c>
      <c r="M66" s="92"/>
      <c r="O66" s="95"/>
      <c r="P66" s="94"/>
    </row>
    <row r="67" spans="3:16">
      <c r="H67" s="95"/>
      <c r="J67" s="95"/>
      <c r="M67" s="92"/>
      <c r="O67" s="86">
        <f>I14*(1+(F66/100))</f>
        <v>3.9470800000000001</v>
      </c>
      <c r="P67" s="94"/>
    </row>
    <row r="68" spans="3:16">
      <c r="C68" s="93" t="s">
        <v>72</v>
      </c>
      <c r="F68" s="73">
        <v>1</v>
      </c>
      <c r="G68" s="131" t="s">
        <v>67</v>
      </c>
      <c r="H68" s="86">
        <f>J68</f>
        <v>26511.5</v>
      </c>
      <c r="J68" s="86">
        <f>H15*(F68/100)</f>
        <v>26511.5</v>
      </c>
      <c r="M68" s="97"/>
      <c r="N68" s="98"/>
      <c r="O68" s="98"/>
      <c r="P68" s="99"/>
    </row>
    <row r="69" spans="3:16">
      <c r="H69" s="95"/>
      <c r="J69" s="95"/>
    </row>
    <row r="70" spans="3:16">
      <c r="C70" s="93" t="s">
        <v>73</v>
      </c>
      <c r="F70" s="73">
        <v>1</v>
      </c>
      <c r="G70" s="93" t="s">
        <v>74</v>
      </c>
      <c r="H70" s="86">
        <f>H9/365*F70</f>
        <v>115068.49315068492</v>
      </c>
      <c r="J70" s="95"/>
      <c r="O70" s="95"/>
    </row>
    <row r="71" spans="3:16">
      <c r="H71" s="95"/>
      <c r="J71" s="95"/>
      <c r="O71" s="95"/>
    </row>
    <row r="72" spans="3:16">
      <c r="C72" s="93" t="s">
        <v>75</v>
      </c>
      <c r="F72" s="73">
        <v>1</v>
      </c>
      <c r="G72" s="93" t="s">
        <v>74</v>
      </c>
      <c r="H72" s="86">
        <f>IF(H27&gt;0,H10/365*F72,0)</f>
        <v>79397.260273972599</v>
      </c>
      <c r="J72" s="95"/>
      <c r="O72" s="95"/>
    </row>
    <row r="73" spans="3:16">
      <c r="H73" s="95"/>
      <c r="J73" s="95"/>
      <c r="O73" s="95"/>
    </row>
    <row r="74" spans="3:16">
      <c r="C74" s="93" t="s">
        <v>76</v>
      </c>
      <c r="F74" s="73">
        <v>1</v>
      </c>
      <c r="G74" s="93" t="s">
        <v>74</v>
      </c>
      <c r="H74" s="86">
        <f>H10/365*F74</f>
        <v>79397.260273972599</v>
      </c>
      <c r="J74" s="130"/>
      <c r="O74" s="95"/>
    </row>
    <row r="75" spans="3:16">
      <c r="H75" s="95"/>
      <c r="J75" s="95"/>
      <c r="O75" s="95"/>
    </row>
    <row r="76" spans="3:16" ht="17.100000000000001" thickBot="1">
      <c r="C76" s="108" t="s">
        <v>77</v>
      </c>
      <c r="H76" s="100">
        <f>SUM(H58:H75)</f>
        <v>1163171.7736986266</v>
      </c>
      <c r="J76" s="100">
        <f>SUM(J58:J75)</f>
        <v>1061911.4999999995</v>
      </c>
      <c r="O76" s="95"/>
    </row>
    <row r="77" spans="3:16" ht="18" thickTop="1" thickBot="1">
      <c r="H77" s="95"/>
      <c r="J77" s="95"/>
      <c r="O77" s="95"/>
    </row>
    <row r="78" spans="3:16" ht="17.100000000000001" thickBot="1">
      <c r="H78" s="95"/>
      <c r="J78" s="101">
        <f>+J76+H19</f>
        <v>3144933.4999999995</v>
      </c>
      <c r="O78" s="95"/>
    </row>
    <row r="79" spans="3:16">
      <c r="O79" s="95"/>
    </row>
    <row r="86" spans="8:10">
      <c r="H86" s="95"/>
      <c r="J86" s="95"/>
    </row>
  </sheetData>
  <mergeCells count="4">
    <mergeCell ref="F8:G8"/>
    <mergeCell ref="H8:I8"/>
    <mergeCell ref="F24:G24"/>
    <mergeCell ref="H24:I24"/>
  </mergeCells>
  <dataValidations count="2">
    <dataValidation type="whole" showInputMessage="1" showErrorMessage="1" errorTitle="Numbers only" error="Numbers only: Do not enter any thousand separators or currency signs" sqref="F9:F10 F12 F14 F17:F20 H9:H10 H12 H14 H17:H20 F25:F28 H25:H28 F30:F31 H30:H31 F34:F36 H34:H36 F38:F39 F41:F42 H38:H39 H41:H42 F58 F60 F62 F64 F66 F68 F70 F72 F74" xr:uid="{00000000-0002-0000-0100-000000000000}">
      <formula1>-9.99999999999999E+47</formula1>
      <formula2>9.99999999999999E+59</formula2>
    </dataValidation>
    <dataValidation showInputMessage="1" showErrorMessage="1" sqref="H13 F29 H32 F37 H43:H44 F40 F43:F44 H37 H40 F32 H29 H15:H16 F13 F15:F16 H11 F11" xr:uid="{00000000-0002-0000-0100-000001000000}"/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ignoredErrors>
    <ignoredError sqref="G13 G16 G11 I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3272"/>
    <pageSetUpPr fitToPage="1"/>
  </sheetPr>
  <dimension ref="A1:EW43"/>
  <sheetViews>
    <sheetView showGridLines="0" zoomScale="109" zoomScaleNormal="100" zoomScalePageLayoutView="110" workbookViewId="0">
      <selection activeCell="O14" sqref="O14"/>
    </sheetView>
  </sheetViews>
  <sheetFormatPr defaultColWidth="11" defaultRowHeight="12.95"/>
  <cols>
    <col min="1" max="1" width="7.375" style="247" customWidth="1"/>
    <col min="2" max="2" width="3.375" style="237" customWidth="1"/>
    <col min="3" max="4" width="4.125" style="237" customWidth="1"/>
    <col min="5" max="5" width="30.125" style="237" customWidth="1"/>
    <col min="6" max="6" width="16.625" style="237" customWidth="1"/>
    <col min="7" max="7" width="5.625" style="237" customWidth="1"/>
    <col min="8" max="8" width="14.375" style="240" customWidth="1"/>
    <col min="9" max="9" width="2.625" style="237" customWidth="1"/>
    <col min="10" max="10" width="10.125" style="240" customWidth="1"/>
    <col min="11" max="11" width="13.875" style="135" customWidth="1"/>
    <col min="12" max="12" width="6.375" style="135" customWidth="1"/>
    <col min="13" max="13" width="2" style="135" customWidth="1"/>
    <col min="14" max="14" width="16.875" style="162" customWidth="1"/>
    <col min="15" max="15" width="10.625" style="135" customWidth="1"/>
    <col min="16" max="16" width="1.625" style="135" customWidth="1"/>
    <col min="17" max="17" width="3.5" style="135" customWidth="1"/>
    <col min="18" max="18" width="15.125" style="135" bestFit="1" customWidth="1"/>
    <col min="19" max="19" width="4.5" style="135" customWidth="1"/>
    <col min="20" max="20" width="14.125" style="135" bestFit="1" customWidth="1"/>
    <col min="21" max="21" width="15.5" style="135" customWidth="1"/>
    <col min="22" max="16384" width="11" style="135"/>
  </cols>
  <sheetData>
    <row r="1" spans="1:153" s="243" customFormat="1" ht="38.1" customHeight="1">
      <c r="A1" s="247"/>
      <c r="B1" s="245"/>
      <c r="C1" s="242" t="s">
        <v>78</v>
      </c>
      <c r="E1" s="244"/>
      <c r="H1" s="245"/>
      <c r="J1" s="245"/>
      <c r="EW1" s="246"/>
    </row>
    <row r="2" spans="1:153">
      <c r="C2" s="162"/>
      <c r="D2" s="162"/>
      <c r="E2" s="162"/>
      <c r="F2" s="162"/>
      <c r="G2" s="162"/>
      <c r="H2" s="163"/>
      <c r="I2" s="162"/>
      <c r="J2" s="164"/>
    </row>
    <row r="3" spans="1:153">
      <c r="C3" s="241" t="s">
        <v>58</v>
      </c>
      <c r="D3" s="241"/>
      <c r="E3" s="241"/>
      <c r="F3" s="165"/>
      <c r="G3" s="162"/>
      <c r="H3" s="163"/>
      <c r="I3" s="162"/>
      <c r="J3" s="164"/>
    </row>
    <row r="4" spans="1:153">
      <c r="C4" s="162"/>
      <c r="D4" s="162"/>
      <c r="E4" s="162"/>
      <c r="F4" s="166"/>
      <c r="G4" s="162"/>
      <c r="H4" s="163"/>
      <c r="I4" s="162"/>
      <c r="J4" s="164"/>
    </row>
    <row r="5" spans="1:153" ht="18">
      <c r="C5" s="133" t="s">
        <v>59</v>
      </c>
      <c r="D5" s="134"/>
      <c r="E5" s="135"/>
      <c r="F5" s="136"/>
      <c r="G5" s="135"/>
      <c r="H5" s="137"/>
      <c r="I5" s="135"/>
      <c r="J5" s="132"/>
    </row>
    <row r="6" spans="1:153" ht="18">
      <c r="C6" s="211"/>
      <c r="D6" s="180"/>
      <c r="E6" s="249"/>
      <c r="F6" s="250"/>
      <c r="G6" s="249"/>
      <c r="H6" s="168"/>
      <c r="I6" s="162"/>
      <c r="J6" s="132"/>
    </row>
    <row r="7" spans="1:153">
      <c r="C7" s="180"/>
      <c r="D7" s="180"/>
      <c r="E7" s="249"/>
      <c r="F7" s="253"/>
      <c r="G7" s="253"/>
      <c r="H7" s="259" t="s">
        <v>60</v>
      </c>
      <c r="I7" s="162"/>
      <c r="J7" s="259" t="s">
        <v>61</v>
      </c>
    </row>
    <row r="8" spans="1:153">
      <c r="C8" s="180" t="s">
        <v>62</v>
      </c>
      <c r="D8" s="180"/>
      <c r="E8" s="249"/>
      <c r="F8" s="249"/>
      <c r="G8" s="249"/>
      <c r="H8" s="258">
        <v>5000000</v>
      </c>
      <c r="I8" s="162"/>
      <c r="J8" s="197">
        <f>'Data Input'!H16</f>
        <v>0</v>
      </c>
    </row>
    <row r="9" spans="1:153">
      <c r="C9" s="180" t="s">
        <v>63</v>
      </c>
      <c r="D9" s="180"/>
      <c r="E9" s="249"/>
      <c r="F9" s="249"/>
      <c r="G9" s="249"/>
      <c r="H9" s="258">
        <v>65</v>
      </c>
      <c r="I9" s="162"/>
      <c r="J9" s="186"/>
    </row>
    <row r="10" spans="1:153">
      <c r="C10" s="180" t="s">
        <v>64</v>
      </c>
      <c r="D10" s="180"/>
      <c r="E10" s="249"/>
      <c r="F10" s="249"/>
      <c r="G10" s="249"/>
      <c r="H10" s="258">
        <v>30</v>
      </c>
      <c r="I10" s="162"/>
      <c r="J10" s="132"/>
    </row>
    <row r="11" spans="1:153">
      <c r="C11" s="180" t="s">
        <v>65</v>
      </c>
      <c r="D11" s="180"/>
      <c r="E11" s="249"/>
      <c r="F11" s="249"/>
      <c r="G11" s="249"/>
      <c r="H11" s="258">
        <v>10</v>
      </c>
      <c r="I11" s="162"/>
      <c r="J11" s="132"/>
    </row>
    <row r="12" spans="1:153">
      <c r="C12" s="180"/>
      <c r="D12" s="180"/>
      <c r="E12" s="249"/>
      <c r="F12" s="249"/>
      <c r="G12" s="249"/>
      <c r="H12" s="255"/>
      <c r="I12" s="249"/>
      <c r="J12" s="255"/>
    </row>
    <row r="13" spans="1:153">
      <c r="C13" s="184"/>
      <c r="D13" s="180"/>
      <c r="E13" s="249"/>
      <c r="F13" s="254" t="s">
        <v>79</v>
      </c>
      <c r="G13" s="249"/>
      <c r="H13" s="255"/>
      <c r="I13" s="249"/>
      <c r="J13" s="255"/>
    </row>
    <row r="14" spans="1:153">
      <c r="C14" s="180"/>
      <c r="D14" s="180"/>
      <c r="E14" s="249"/>
      <c r="F14" s="249"/>
      <c r="G14" s="249"/>
      <c r="H14" s="255"/>
      <c r="I14" s="249"/>
      <c r="J14" s="255"/>
      <c r="N14" s="135"/>
      <c r="R14" s="164"/>
    </row>
    <row r="15" spans="1:153">
      <c r="C15" s="180" t="s">
        <v>66</v>
      </c>
      <c r="D15" s="180"/>
      <c r="E15" s="249"/>
      <c r="F15" s="248"/>
      <c r="G15" s="252" t="s">
        <v>67</v>
      </c>
      <c r="H15" s="197">
        <f>J15*(365-H9)/365</f>
        <v>0</v>
      </c>
      <c r="I15" s="180"/>
      <c r="J15" s="197">
        <f>'Data Input'!H9*(F15/100)</f>
        <v>0</v>
      </c>
      <c r="K15" s="134"/>
      <c r="N15" s="135"/>
    </row>
    <row r="16" spans="1:153">
      <c r="C16" s="180"/>
      <c r="D16" s="180"/>
      <c r="E16" s="249"/>
      <c r="F16" s="249"/>
      <c r="G16" s="180"/>
      <c r="H16" s="186"/>
      <c r="I16" s="180"/>
      <c r="J16" s="186"/>
      <c r="K16" s="134"/>
      <c r="N16" s="135"/>
    </row>
    <row r="17" spans="3:15">
      <c r="C17" s="180" t="s">
        <v>68</v>
      </c>
      <c r="D17" s="180"/>
      <c r="E17" s="249"/>
      <c r="F17" s="248">
        <v>0</v>
      </c>
      <c r="G17" s="252" t="s">
        <v>67</v>
      </c>
      <c r="H17" s="197">
        <f>J17+'Data Input'!H27+'Data Input'!H28-'Data Input'!H35+'Data Input'!N35-'Data Input'!N33-'Data Input'!N36</f>
        <v>0</v>
      </c>
      <c r="I17" s="180"/>
      <c r="J17" s="197">
        <f>'Data Input'!H13*(F17/100)</f>
        <v>0</v>
      </c>
      <c r="K17" s="170"/>
      <c r="N17" s="135"/>
    </row>
    <row r="18" spans="3:15">
      <c r="C18" s="180"/>
      <c r="D18" s="180"/>
      <c r="E18" s="249"/>
      <c r="F18" s="249"/>
      <c r="G18" s="180"/>
      <c r="H18" s="186"/>
      <c r="I18" s="180"/>
      <c r="J18" s="186"/>
      <c r="K18" s="134"/>
      <c r="N18" s="135"/>
    </row>
    <row r="19" spans="3:15">
      <c r="C19" s="180" t="s">
        <v>69</v>
      </c>
      <c r="D19" s="180"/>
      <c r="E19" s="249"/>
      <c r="F19" s="248">
        <v>0</v>
      </c>
      <c r="G19" s="252" t="s">
        <v>67</v>
      </c>
      <c r="H19" s="197">
        <f>J19+'Data Input'!H28-'Data Input'!H35+'Data Input'!N39-'Data Input'!N40</f>
        <v>0</v>
      </c>
      <c r="I19" s="180"/>
      <c r="J19" s="197">
        <f>'Data Input'!H10*(F19/100)</f>
        <v>0</v>
      </c>
      <c r="K19" s="134"/>
      <c r="N19" s="135"/>
    </row>
    <row r="20" spans="3:15">
      <c r="C20" s="180"/>
      <c r="D20" s="180"/>
      <c r="E20" s="249"/>
      <c r="F20" s="249"/>
      <c r="G20" s="180"/>
      <c r="H20" s="186"/>
      <c r="I20" s="180"/>
      <c r="J20" s="186"/>
      <c r="K20" s="134"/>
      <c r="N20" s="135"/>
    </row>
    <row r="21" spans="3:15">
      <c r="C21" s="180" t="s">
        <v>70</v>
      </c>
      <c r="D21" s="180"/>
      <c r="E21" s="249"/>
      <c r="F21" s="248">
        <v>0</v>
      </c>
      <c r="G21" s="252" t="s">
        <v>67</v>
      </c>
      <c r="H21" s="197" t="e">
        <f>+J21</f>
        <v>#DIV/0!</v>
      </c>
      <c r="I21" s="180"/>
      <c r="J21" s="197" t="e">
        <f>'Data Input'!H12*('Data Input'!N41-'Data Input'!I12)</f>
        <v>#DIV/0!</v>
      </c>
      <c r="K21" s="134"/>
      <c r="N21" s="135"/>
    </row>
    <row r="22" spans="3:15">
      <c r="C22" s="180"/>
      <c r="D22" s="180"/>
      <c r="E22" s="249"/>
      <c r="F22" s="249"/>
      <c r="G22" s="180"/>
      <c r="H22" s="186"/>
      <c r="I22" s="180"/>
      <c r="J22" s="186"/>
      <c r="K22" s="134"/>
      <c r="N22" s="135"/>
    </row>
    <row r="23" spans="3:15">
      <c r="C23" s="180" t="s">
        <v>71</v>
      </c>
      <c r="D23" s="180"/>
      <c r="E23" s="249"/>
      <c r="F23" s="248">
        <v>0</v>
      </c>
      <c r="G23" s="252" t="s">
        <v>67</v>
      </c>
      <c r="H23" s="197" t="e">
        <f>+J23</f>
        <v>#DIV/0!</v>
      </c>
      <c r="I23" s="180"/>
      <c r="J23" s="197" t="e">
        <f>'Data Input'!H14*('Data Input'!N43-'Data Input'!I14)</f>
        <v>#DIV/0!</v>
      </c>
      <c r="K23" s="134"/>
      <c r="N23" s="135"/>
    </row>
    <row r="24" spans="3:15">
      <c r="C24" s="180"/>
      <c r="D24" s="180"/>
      <c r="E24" s="249"/>
      <c r="F24" s="249"/>
      <c r="G24" s="180"/>
      <c r="H24" s="186"/>
      <c r="I24" s="180"/>
      <c r="J24" s="186"/>
      <c r="K24" s="134"/>
      <c r="N24" s="135"/>
    </row>
    <row r="25" spans="3:15">
      <c r="C25" s="180" t="s">
        <v>72</v>
      </c>
      <c r="D25" s="180"/>
      <c r="E25" s="249"/>
      <c r="F25" s="248">
        <v>0</v>
      </c>
      <c r="G25" s="252" t="s">
        <v>67</v>
      </c>
      <c r="H25" s="197">
        <f>J25</f>
        <v>0</v>
      </c>
      <c r="I25" s="180"/>
      <c r="J25" s="197">
        <f>'Data Input'!H15*(F25/100)</f>
        <v>0</v>
      </c>
      <c r="K25" s="134"/>
      <c r="N25" s="135"/>
    </row>
    <row r="26" spans="3:15">
      <c r="C26" s="180"/>
      <c r="D26" s="180"/>
      <c r="E26" s="249"/>
      <c r="F26" s="249"/>
      <c r="G26" s="180"/>
      <c r="H26" s="186"/>
      <c r="I26" s="180"/>
      <c r="J26" s="186"/>
      <c r="K26" s="134"/>
      <c r="N26" s="135"/>
    </row>
    <row r="27" spans="3:15">
      <c r="C27" s="180" t="s">
        <v>73</v>
      </c>
      <c r="D27" s="180"/>
      <c r="E27" s="249"/>
      <c r="F27" s="248">
        <v>0</v>
      </c>
      <c r="G27" s="180" t="s">
        <v>74</v>
      </c>
      <c r="H27" s="197" t="s">
        <v>80</v>
      </c>
      <c r="I27" s="180"/>
      <c r="J27" s="186"/>
      <c r="K27" s="134"/>
      <c r="N27" s="135"/>
    </row>
    <row r="28" spans="3:15">
      <c r="C28" s="180"/>
      <c r="D28" s="180"/>
      <c r="E28" s="249"/>
      <c r="F28" s="249"/>
      <c r="G28" s="180"/>
      <c r="H28" s="186"/>
      <c r="I28" s="180"/>
      <c r="J28" s="186"/>
      <c r="K28" s="134"/>
      <c r="N28" s="135"/>
    </row>
    <row r="29" spans="3:15">
      <c r="C29" s="180" t="s">
        <v>75</v>
      </c>
      <c r="D29" s="180"/>
      <c r="E29" s="249"/>
      <c r="F29" s="248">
        <v>0</v>
      </c>
      <c r="G29" s="180" t="s">
        <v>74</v>
      </c>
      <c r="H29" s="197">
        <f>IF('Data Input'!H28&gt;0,'Data Input'!H10/365*F29,0)</f>
        <v>0</v>
      </c>
      <c r="I29" s="180"/>
      <c r="J29" s="186"/>
      <c r="K29" s="134"/>
      <c r="N29" s="135"/>
    </row>
    <row r="30" spans="3:15">
      <c r="C30" s="180"/>
      <c r="D30" s="180"/>
      <c r="E30" s="249"/>
      <c r="F30" s="249"/>
      <c r="G30" s="180"/>
      <c r="H30" s="186"/>
      <c r="I30" s="180"/>
      <c r="J30" s="186"/>
      <c r="K30" s="134"/>
      <c r="N30" s="135"/>
    </row>
    <row r="31" spans="3:15">
      <c r="C31" s="180" t="s">
        <v>76</v>
      </c>
      <c r="D31" s="180"/>
      <c r="E31" s="249"/>
      <c r="F31" s="248">
        <v>0</v>
      </c>
      <c r="G31" s="180" t="s">
        <v>74</v>
      </c>
      <c r="H31" s="197">
        <f>'Data Input'!H10/365*F31</f>
        <v>0</v>
      </c>
      <c r="I31" s="180"/>
      <c r="J31" s="219"/>
      <c r="K31" s="134"/>
      <c r="N31" s="135"/>
    </row>
    <row r="32" spans="3:15">
      <c r="C32" s="180"/>
      <c r="D32" s="180"/>
      <c r="E32" s="249"/>
      <c r="F32" s="249"/>
      <c r="G32" s="180"/>
      <c r="H32" s="186"/>
      <c r="I32" s="180"/>
      <c r="J32" s="186"/>
      <c r="K32" s="134"/>
      <c r="O32" s="137"/>
    </row>
    <row r="33" spans="3:15" ht="14.1" thickBot="1">
      <c r="C33" s="251" t="s">
        <v>77</v>
      </c>
      <c r="D33" s="180"/>
      <c r="E33" s="249"/>
      <c r="F33" s="249"/>
      <c r="G33" s="180"/>
      <c r="H33" s="256" t="e">
        <f>SUM(H15:H32)</f>
        <v>#DIV/0!</v>
      </c>
      <c r="I33" s="180"/>
      <c r="J33" s="256" t="e">
        <f>SUM(J15:J32)</f>
        <v>#DIV/0!</v>
      </c>
      <c r="K33" s="134"/>
      <c r="O33" s="137"/>
    </row>
    <row r="34" spans="3:15" ht="15" thickTop="1" thickBot="1">
      <c r="C34" s="180"/>
      <c r="D34" s="180"/>
      <c r="E34" s="249"/>
      <c r="F34" s="249"/>
      <c r="G34" s="249"/>
      <c r="H34" s="186"/>
      <c r="I34" s="180"/>
      <c r="J34" s="186"/>
      <c r="K34" s="134"/>
      <c r="O34" s="137"/>
    </row>
    <row r="35" spans="3:15" ht="14.1" thickBot="1">
      <c r="C35" s="180"/>
      <c r="D35" s="180"/>
      <c r="E35" s="249"/>
      <c r="F35" s="249"/>
      <c r="G35" s="249"/>
      <c r="H35" s="186"/>
      <c r="I35" s="180"/>
      <c r="J35" s="257" t="e">
        <f>+J33+'Data Input'!H19</f>
        <v>#DIV/0!</v>
      </c>
      <c r="K35" s="134"/>
      <c r="O35" s="137"/>
    </row>
    <row r="36" spans="3:15">
      <c r="C36" s="238"/>
      <c r="D36" s="238"/>
      <c r="H36" s="224"/>
      <c r="I36" s="238"/>
      <c r="J36" s="224"/>
      <c r="K36" s="134"/>
      <c r="O36" s="137"/>
    </row>
    <row r="37" spans="3:15">
      <c r="H37" s="224"/>
      <c r="I37" s="238"/>
      <c r="J37" s="224"/>
      <c r="K37" s="134"/>
    </row>
    <row r="38" spans="3:15">
      <c r="H38" s="224"/>
      <c r="I38" s="238"/>
      <c r="J38" s="224"/>
      <c r="K38" s="134"/>
    </row>
    <row r="39" spans="3:15">
      <c r="H39" s="224"/>
      <c r="I39" s="238"/>
      <c r="J39" s="224"/>
      <c r="K39" s="134"/>
    </row>
    <row r="43" spans="3:15">
      <c r="H43" s="239"/>
      <c r="J43" s="239"/>
    </row>
  </sheetData>
  <dataValidations count="1">
    <dataValidation type="whole" showInputMessage="1" showErrorMessage="1" errorTitle="Numbers only" error="Numbers only: Do not enter any thousand separators or currency signs" sqref="F17 F19 F21 F23 F29 F25 F27 F15 F31" xr:uid="{00000000-0002-0000-0000-000001000000}">
      <formula1>-9.99999999999999E+47</formula1>
      <formula2>9.99999999999999E+59</formula2>
    </dataValidation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1765300</xdr:colOff>
                    <xdr:row>11</xdr:row>
                    <xdr:rowOff>152400</xdr:rowOff>
                  </from>
                  <to>
                    <xdr:col>6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6806-51FF-AC45-B16D-2183C5771E08}">
  <dimension ref="A1:O23"/>
  <sheetViews>
    <sheetView zoomScale="125" workbookViewId="0">
      <selection activeCell="J46" sqref="J46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4.5" style="146" customWidth="1"/>
    <col min="5" max="5" width="22.375" style="146" customWidth="1"/>
    <col min="6" max="6" width="13.875" style="146" customWidth="1"/>
    <col min="7" max="7" width="9" style="146"/>
    <col min="8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81</v>
      </c>
      <c r="H1" s="143"/>
      <c r="O1" s="144"/>
    </row>
    <row r="3" spans="1:15">
      <c r="C3" s="147"/>
      <c r="D3" s="148" t="s">
        <v>82</v>
      </c>
      <c r="E3" s="149" t="s">
        <v>83</v>
      </c>
      <c r="F3" s="149" t="s">
        <v>84</v>
      </c>
    </row>
    <row r="4" spans="1:15">
      <c r="C4" s="147">
        <v>1</v>
      </c>
      <c r="D4" s="150"/>
      <c r="E4" s="150"/>
      <c r="F4" s="150"/>
    </row>
    <row r="5" spans="1:15">
      <c r="C5" s="147">
        <v>2</v>
      </c>
      <c r="D5" s="150"/>
      <c r="E5" s="150"/>
      <c r="F5" s="150"/>
    </row>
    <row r="6" spans="1:15">
      <c r="C6" s="147">
        <v>3</v>
      </c>
      <c r="D6" s="150"/>
      <c r="E6" s="150"/>
      <c r="F6" s="150"/>
    </row>
    <row r="7" spans="1:15">
      <c r="C7" s="147">
        <v>4</v>
      </c>
      <c r="D7" s="150"/>
      <c r="E7" s="150"/>
      <c r="F7" s="150"/>
    </row>
    <row r="8" spans="1:15">
      <c r="C8" s="147">
        <v>5</v>
      </c>
      <c r="D8" s="150"/>
      <c r="E8" s="150"/>
      <c r="F8" s="150"/>
    </row>
    <row r="9" spans="1:15">
      <c r="C9" s="147">
        <v>6</v>
      </c>
      <c r="D9" s="150"/>
      <c r="E9" s="150"/>
      <c r="F9" s="150"/>
    </row>
    <row r="10" spans="1:15">
      <c r="C10" s="147">
        <v>7</v>
      </c>
      <c r="D10" s="150"/>
      <c r="E10" s="150"/>
      <c r="F10" s="150"/>
    </row>
    <row r="11" spans="1:15">
      <c r="C11" s="147">
        <v>8</v>
      </c>
      <c r="D11" s="150"/>
      <c r="E11" s="150"/>
      <c r="F11" s="150"/>
    </row>
    <row r="12" spans="1:15">
      <c r="C12" s="147">
        <v>9</v>
      </c>
      <c r="D12" s="150"/>
      <c r="E12" s="150"/>
      <c r="F12" s="150"/>
    </row>
    <row r="13" spans="1:15">
      <c r="C13" s="147">
        <v>10</v>
      </c>
      <c r="D13" s="159"/>
      <c r="E13" s="150"/>
      <c r="F13" s="160"/>
    </row>
    <row r="14" spans="1:15">
      <c r="C14" s="147">
        <v>11</v>
      </c>
      <c r="D14" s="161"/>
      <c r="E14" s="150"/>
      <c r="F14" s="160"/>
    </row>
    <row r="15" spans="1:15">
      <c r="C15" s="147">
        <v>12</v>
      </c>
      <c r="D15" s="158"/>
      <c r="E15" s="150"/>
      <c r="F15" s="160"/>
    </row>
    <row r="16" spans="1:15">
      <c r="C16" s="147">
        <v>13</v>
      </c>
      <c r="D16" s="150"/>
      <c r="E16" s="150"/>
      <c r="F16" s="160"/>
    </row>
    <row r="17" spans="3:6">
      <c r="C17" s="147">
        <v>14</v>
      </c>
      <c r="D17" s="150"/>
      <c r="E17" s="150"/>
      <c r="F17" s="160"/>
    </row>
    <row r="18" spans="3:6">
      <c r="C18" s="147">
        <v>15</v>
      </c>
      <c r="D18" s="150"/>
      <c r="E18" s="150"/>
      <c r="F18" s="150"/>
    </row>
    <row r="19" spans="3:6">
      <c r="C19" s="147">
        <v>16</v>
      </c>
      <c r="D19" s="150"/>
      <c r="E19" s="150"/>
      <c r="F19" s="150"/>
    </row>
    <row r="20" spans="3:6">
      <c r="C20" s="147">
        <v>17</v>
      </c>
      <c r="D20" s="150"/>
      <c r="E20" s="150"/>
      <c r="F20" s="150"/>
    </row>
    <row r="21" spans="3:6">
      <c r="C21" s="147">
        <v>18</v>
      </c>
      <c r="D21" s="150"/>
      <c r="E21" s="150"/>
      <c r="F21" s="150"/>
    </row>
    <row r="22" spans="3:6">
      <c r="C22" s="147">
        <v>19</v>
      </c>
      <c r="D22" s="150"/>
      <c r="E22" s="150"/>
      <c r="F22" s="150"/>
    </row>
    <row r="23" spans="3:6">
      <c r="C23" s="147">
        <v>20</v>
      </c>
      <c r="D23" s="150"/>
      <c r="E23" s="150"/>
      <c r="F23" s="15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F319F-B703-ED4A-B7F4-1A5E9E998FD9}">
  <dimension ref="A1:AS48"/>
  <sheetViews>
    <sheetView showGridLines="0" zoomScale="87" zoomScaleNormal="80" workbookViewId="0">
      <selection activeCell="H60" sqref="H60"/>
    </sheetView>
  </sheetViews>
  <sheetFormatPr defaultColWidth="8.875" defaultRowHeight="15.95"/>
  <cols>
    <col min="1" max="1" width="7.125" style="323" customWidth="1"/>
    <col min="2" max="2" width="4.5" style="267" customWidth="1"/>
    <col min="3" max="3" width="4.5" style="266" customWidth="1"/>
    <col min="4" max="4" width="36.5" style="266" bestFit="1" customWidth="1"/>
    <col min="5" max="7" width="13.125" style="268" customWidth="1"/>
    <col min="8" max="8" width="27.875" style="268" customWidth="1"/>
    <col min="9" max="10" width="8.875" style="267"/>
    <col min="11" max="11" width="8.875" style="266"/>
    <col min="12" max="15" width="8.875" style="267"/>
    <col min="16" max="16" width="8.5" style="267" bestFit="1" customWidth="1"/>
    <col min="17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1.1" customHeight="1">
      <c r="A1" s="323"/>
      <c r="B1" s="325"/>
      <c r="C1" s="242" t="s">
        <v>85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hidden="1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3"/>
      <c r="C5" s="267"/>
      <c r="D5" s="267"/>
      <c r="E5" s="327">
        <v>2018</v>
      </c>
      <c r="F5" s="327">
        <v>2019</v>
      </c>
      <c r="G5" s="327">
        <v>2020</v>
      </c>
      <c r="H5" s="327">
        <v>2021</v>
      </c>
    </row>
    <row r="6" spans="1:21" s="268" customFormat="1" ht="5.25" customHeight="1">
      <c r="A6" s="323"/>
      <c r="C6" s="267"/>
    </row>
    <row r="7" spans="1:21" s="268" customFormat="1" ht="15.75" customHeight="1">
      <c r="A7" s="323"/>
      <c r="C7" s="337" t="s">
        <v>86</v>
      </c>
      <c r="D7" s="328" t="s">
        <v>19</v>
      </c>
      <c r="E7" s="305"/>
      <c r="F7" s="305"/>
      <c r="G7" s="305"/>
      <c r="H7" s="305"/>
      <c r="I7" s="273"/>
      <c r="J7" s="311"/>
      <c r="K7" s="311"/>
      <c r="L7" s="311"/>
    </row>
    <row r="8" spans="1:21" ht="6" customHeight="1">
      <c r="C8" s="338"/>
      <c r="D8" s="303"/>
      <c r="E8" s="285"/>
      <c r="F8" s="285"/>
      <c r="G8" s="285"/>
      <c r="H8" s="329"/>
    </row>
    <row r="9" spans="1:21" s="268" customFormat="1" ht="18">
      <c r="A9" s="323"/>
      <c r="C9" s="338"/>
      <c r="D9" s="303" t="s">
        <v>20</v>
      </c>
      <c r="E9" s="305"/>
      <c r="F9" s="305"/>
      <c r="G9" s="305"/>
      <c r="H9" s="305"/>
      <c r="I9" s="273"/>
      <c r="J9" s="310"/>
    </row>
    <row r="10" spans="1:21" ht="4.5" customHeight="1">
      <c r="C10" s="338"/>
      <c r="D10" s="303"/>
      <c r="E10" s="285"/>
      <c r="F10" s="285"/>
      <c r="G10" s="285"/>
      <c r="H10" s="329"/>
    </row>
    <row r="11" spans="1:21" s="268" customFormat="1">
      <c r="A11" s="323"/>
      <c r="C11" s="338"/>
      <c r="D11" s="283" t="s">
        <v>87</v>
      </c>
      <c r="E11" s="285">
        <f>+E7-E9</f>
        <v>0</v>
      </c>
      <c r="F11" s="285">
        <f>+F7-F9</f>
        <v>0</v>
      </c>
      <c r="G11" s="285">
        <f>+G7-G9</f>
        <v>0</v>
      </c>
      <c r="H11" s="329">
        <f>+H7-H9</f>
        <v>0</v>
      </c>
      <c r="I11" s="273"/>
    </row>
    <row r="12" spans="1:21" s="268" customFormat="1">
      <c r="A12" s="323"/>
      <c r="C12" s="338"/>
      <c r="D12" s="309" t="s">
        <v>88</v>
      </c>
      <c r="E12" s="308" t="e">
        <f>+E11/E7</f>
        <v>#DIV/0!</v>
      </c>
      <c r="F12" s="308" t="e">
        <f>+F11/F7</f>
        <v>#DIV/0!</v>
      </c>
      <c r="G12" s="308" t="e">
        <f>+G11/G7</f>
        <v>#DIV/0!</v>
      </c>
      <c r="H12" s="330" t="e">
        <f>+H11/H7</f>
        <v>#DIV/0!</v>
      </c>
      <c r="I12" s="273"/>
    </row>
    <row r="13" spans="1:21" ht="10.5" customHeight="1">
      <c r="C13" s="338"/>
      <c r="D13" s="303"/>
      <c r="E13" s="285"/>
      <c r="F13" s="285"/>
      <c r="G13" s="285"/>
      <c r="H13" s="329"/>
    </row>
    <row r="14" spans="1:21" s="268" customFormat="1" ht="18">
      <c r="A14" s="323"/>
      <c r="C14" s="338"/>
      <c r="D14" s="303" t="s">
        <v>89</v>
      </c>
      <c r="E14" s="305"/>
      <c r="F14" s="305"/>
      <c r="G14" s="305"/>
      <c r="H14" s="305"/>
      <c r="I14" s="273"/>
    </row>
    <row r="15" spans="1:21" ht="4.5" customHeight="1">
      <c r="C15" s="338"/>
      <c r="D15" s="303"/>
      <c r="E15" s="285"/>
      <c r="F15" s="285"/>
      <c r="G15" s="285"/>
      <c r="H15" s="329"/>
    </row>
    <row r="16" spans="1:21" s="268" customFormat="1" ht="18.95">
      <c r="A16" s="323"/>
      <c r="C16" s="338"/>
      <c r="D16" s="301" t="s">
        <v>23</v>
      </c>
      <c r="E16" s="300">
        <f>E11-E14</f>
        <v>0</v>
      </c>
      <c r="F16" s="300">
        <f>F11-F14</f>
        <v>0</v>
      </c>
      <c r="G16" s="300">
        <f>G11-G14</f>
        <v>0</v>
      </c>
      <c r="H16" s="331">
        <f>H11-H14</f>
        <v>0</v>
      </c>
      <c r="I16" s="273"/>
    </row>
    <row r="17" spans="1:45" s="268" customFormat="1" ht="18.95">
      <c r="A17" s="323"/>
      <c r="C17" s="339"/>
      <c r="D17" s="298" t="s">
        <v>90</v>
      </c>
      <c r="E17" s="297" t="str">
        <f>IFERROR(+E11/E14,"")</f>
        <v/>
      </c>
      <c r="F17" s="297" t="str">
        <f>IFERROR(+F11/F14,"")</f>
        <v/>
      </c>
      <c r="G17" s="297" t="str">
        <f>IFERROR(+G11/G14,"")</f>
        <v/>
      </c>
      <c r="H17" s="332" t="str">
        <f>IFERROR(+H11/H14,"")</f>
        <v/>
      </c>
      <c r="I17" s="273"/>
    </row>
    <row r="18" spans="1:45" ht="5.25" customHeight="1">
      <c r="C18" s="274"/>
      <c r="E18" s="296"/>
      <c r="F18" s="296"/>
      <c r="G18" s="296"/>
      <c r="H18" s="295"/>
      <c r="P18" s="307"/>
    </row>
    <row r="19" spans="1:45" s="268" customFormat="1" ht="15" customHeight="1">
      <c r="A19" s="323"/>
      <c r="C19" s="340" t="s">
        <v>91</v>
      </c>
      <c r="D19" s="303" t="s">
        <v>92</v>
      </c>
      <c r="E19" s="296"/>
      <c r="F19" s="296"/>
      <c r="G19" s="296"/>
      <c r="H19" s="295"/>
      <c r="I19" s="273"/>
    </row>
    <row r="20" spans="1:45" s="268" customFormat="1">
      <c r="A20" s="323"/>
      <c r="C20" s="341"/>
      <c r="D20" s="306" t="s">
        <v>93</v>
      </c>
      <c r="E20" s="288"/>
      <c r="F20" s="288"/>
      <c r="G20" s="288"/>
      <c r="H20" s="287"/>
      <c r="I20" s="273"/>
    </row>
    <row r="21" spans="1:45" s="268" customFormat="1">
      <c r="A21" s="323"/>
      <c r="C21" s="341"/>
      <c r="D21" s="306" t="s">
        <v>94</v>
      </c>
      <c r="E21" s="288"/>
      <c r="F21" s="288"/>
      <c r="G21" s="288"/>
      <c r="H21" s="287"/>
      <c r="I21" s="273"/>
    </row>
    <row r="22" spans="1:45" s="268" customFormat="1">
      <c r="A22" s="323"/>
      <c r="C22" s="341"/>
      <c r="D22" s="306" t="s">
        <v>95</v>
      </c>
      <c r="E22" s="288"/>
      <c r="F22" s="288"/>
      <c r="G22" s="288"/>
      <c r="H22" s="287"/>
      <c r="I22" s="273"/>
    </row>
    <row r="23" spans="1:45" s="268" customFormat="1">
      <c r="A23" s="323"/>
      <c r="C23" s="341"/>
      <c r="D23" s="306" t="s">
        <v>96</v>
      </c>
      <c r="E23" s="288"/>
      <c r="F23" s="288"/>
      <c r="G23" s="288"/>
      <c r="H23" s="287"/>
      <c r="I23" s="273"/>
    </row>
    <row r="24" spans="1:45" s="268" customFormat="1" ht="18">
      <c r="A24" s="323"/>
      <c r="C24" s="341"/>
      <c r="D24" s="306" t="s">
        <v>97</v>
      </c>
      <c r="E24" s="305"/>
      <c r="F24" s="305"/>
      <c r="G24" s="305"/>
      <c r="H24" s="304"/>
      <c r="I24" s="273"/>
    </row>
    <row r="25" spans="1:45" ht="15">
      <c r="C25" s="341"/>
      <c r="D25" s="303"/>
      <c r="E25" s="285"/>
      <c r="F25" s="285"/>
      <c r="G25" s="285"/>
      <c r="H25" s="284"/>
      <c r="N25" s="302"/>
    </row>
    <row r="26" spans="1:45" s="268" customFormat="1" ht="18.95">
      <c r="A26" s="323"/>
      <c r="C26" s="341"/>
      <c r="D26" s="301" t="s">
        <v>98</v>
      </c>
      <c r="E26" s="300">
        <f>SUM(E20:E24)</f>
        <v>0</v>
      </c>
      <c r="F26" s="300">
        <f>SUM(F20:F24)</f>
        <v>0</v>
      </c>
      <c r="G26" s="300">
        <f>SUM(G20:G24)</f>
        <v>0</v>
      </c>
      <c r="H26" s="299">
        <f>SUM(H20:H24)</f>
        <v>0</v>
      </c>
      <c r="I26" s="273"/>
    </row>
    <row r="27" spans="1:45" s="268" customFormat="1" ht="18.95">
      <c r="A27" s="323"/>
      <c r="C27" s="342"/>
      <c r="D27" s="298" t="s">
        <v>99</v>
      </c>
      <c r="E27" s="297" t="str">
        <f>IFERROR(+E16/E22,"")</f>
        <v/>
      </c>
      <c r="F27" s="297" t="str">
        <f>IFERROR(+F16/F22,"")</f>
        <v/>
      </c>
      <c r="G27" s="297" t="str">
        <f>IFERROR(+G16/G22,"")</f>
        <v/>
      </c>
      <c r="H27" s="297" t="str">
        <f>IFERROR(+H16/H22,"")</f>
        <v/>
      </c>
      <c r="I27" s="273"/>
    </row>
    <row r="28" spans="1:45" ht="4.5" customHeight="1">
      <c r="C28" s="274"/>
      <c r="E28" s="296"/>
      <c r="F28" s="296"/>
      <c r="G28" s="296"/>
      <c r="H28" s="295"/>
      <c r="I28" s="273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3"/>
      <c r="C29" s="345" t="s">
        <v>100</v>
      </c>
      <c r="D29" s="283" t="s">
        <v>101</v>
      </c>
      <c r="E29" s="294">
        <f>E16-E26</f>
        <v>0</v>
      </c>
      <c r="F29" s="294">
        <f>F16-F26</f>
        <v>0</v>
      </c>
      <c r="G29" s="294">
        <f>G16-G26</f>
        <v>0</v>
      </c>
      <c r="H29" s="293">
        <f>H16-H26</f>
        <v>0</v>
      </c>
      <c r="I29" s="273"/>
      <c r="J29" s="266"/>
    </row>
    <row r="30" spans="1:45" s="268" customFormat="1" ht="6.75" customHeight="1">
      <c r="A30" s="323"/>
      <c r="C30" s="343"/>
      <c r="D30" s="283"/>
      <c r="E30" s="292"/>
      <c r="F30" s="292"/>
      <c r="G30" s="292"/>
      <c r="H30" s="291"/>
      <c r="I30" s="273"/>
      <c r="J30" s="266"/>
    </row>
    <row r="31" spans="1:45" s="268" customFormat="1">
      <c r="A31" s="323"/>
      <c r="C31" s="343"/>
      <c r="D31" s="290" t="s">
        <v>102</v>
      </c>
      <c r="E31" s="285"/>
      <c r="F31" s="285"/>
      <c r="G31" s="285"/>
      <c r="H31" s="284"/>
      <c r="I31" s="273"/>
      <c r="J31" s="266"/>
    </row>
    <row r="32" spans="1:45" s="268" customFormat="1">
      <c r="A32" s="323"/>
      <c r="C32" s="343"/>
      <c r="D32" s="289" t="s">
        <v>103</v>
      </c>
      <c r="E32" s="288"/>
      <c r="F32" s="288"/>
      <c r="G32" s="288"/>
      <c r="H32" s="287"/>
      <c r="I32" s="273"/>
      <c r="J32" s="266"/>
    </row>
    <row r="33" spans="1:45" s="268" customFormat="1">
      <c r="A33" s="323"/>
      <c r="C33" s="343"/>
      <c r="D33" s="289" t="s">
        <v>104</v>
      </c>
      <c r="E33" s="288"/>
      <c r="F33" s="288"/>
      <c r="G33" s="288"/>
      <c r="H33" s="287"/>
      <c r="I33" s="273"/>
      <c r="J33" s="266"/>
    </row>
    <row r="34" spans="1:45" ht="4.5" customHeight="1">
      <c r="C34" s="343"/>
      <c r="D34" s="286"/>
      <c r="E34" s="285"/>
      <c r="F34" s="285"/>
      <c r="G34" s="285"/>
      <c r="H34" s="284"/>
      <c r="I34" s="273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3"/>
      <c r="C35" s="343"/>
      <c r="D35" s="286" t="s">
        <v>105</v>
      </c>
      <c r="E35" s="288"/>
      <c r="F35" s="288"/>
      <c r="G35" s="288"/>
      <c r="H35" s="287"/>
      <c r="I35" s="273"/>
      <c r="J35" s="266"/>
    </row>
    <row r="36" spans="1:45" ht="7.5" customHeight="1">
      <c r="C36" s="343"/>
      <c r="D36" s="286"/>
      <c r="E36" s="285"/>
      <c r="F36" s="285"/>
      <c r="G36" s="285"/>
      <c r="H36" s="284"/>
      <c r="I36" s="273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3"/>
      <c r="C37" s="343"/>
      <c r="D37" s="283" t="s">
        <v>106</v>
      </c>
      <c r="E37" s="282">
        <f>E29-E35</f>
        <v>0</v>
      </c>
      <c r="F37" s="282">
        <f>F29-F35</f>
        <v>0</v>
      </c>
      <c r="G37" s="282">
        <f>G29-G35</f>
        <v>0</v>
      </c>
      <c r="H37" s="281">
        <f>H29-H35</f>
        <v>0</v>
      </c>
      <c r="I37" s="273"/>
      <c r="J37" s="266"/>
    </row>
    <row r="38" spans="1:45" s="268" customFormat="1">
      <c r="A38" s="323"/>
      <c r="C38" s="343"/>
      <c r="D38" s="280" t="s">
        <v>107</v>
      </c>
      <c r="E38" s="279" t="str">
        <f>IFERROR(E37/E7,"")</f>
        <v/>
      </c>
      <c r="F38" s="279" t="str">
        <f>IFERROR(F37/F7,"")</f>
        <v/>
      </c>
      <c r="G38" s="279" t="str">
        <f>IFERROR(G37/G7,"")</f>
        <v/>
      </c>
      <c r="H38" s="278" t="str">
        <f>IFERROR(H37/H7,"")</f>
        <v/>
      </c>
      <c r="I38" s="273"/>
      <c r="J38" s="266"/>
    </row>
    <row r="39" spans="1:45" s="268" customFormat="1" ht="17.100000000000001" thickBot="1">
      <c r="A39" s="323"/>
      <c r="C39" s="344"/>
      <c r="D39" s="277" t="s">
        <v>108</v>
      </c>
      <c r="E39" s="276" t="str">
        <f>IFERROR(E37/E11,"")</f>
        <v/>
      </c>
      <c r="F39" s="276" t="str">
        <f>IFERROR(F37/F11,"")</f>
        <v/>
      </c>
      <c r="G39" s="276" t="str">
        <f>IFERROR(G37/G11,"")</f>
        <v/>
      </c>
      <c r="H39" s="275" t="str">
        <f>IFERROR(H37/H11,"")</f>
        <v/>
      </c>
      <c r="I39" s="273"/>
      <c r="J39" s="266"/>
    </row>
    <row r="40" spans="1:45" ht="5.25" customHeight="1">
      <c r="C40" s="274"/>
      <c r="E40" s="273"/>
      <c r="F40" s="273"/>
      <c r="G40" s="273"/>
      <c r="H40" s="272"/>
    </row>
    <row r="41" spans="1:45" ht="15" customHeight="1">
      <c r="C41" s="343" t="s">
        <v>109</v>
      </c>
      <c r="E41" s="273"/>
      <c r="F41" s="273"/>
      <c r="G41" s="273"/>
      <c r="H41" s="272"/>
    </row>
    <row r="42" spans="1:45">
      <c r="C42" s="343"/>
      <c r="E42" s="273"/>
      <c r="F42" s="273"/>
      <c r="G42" s="273"/>
      <c r="H42" s="272"/>
    </row>
    <row r="43" spans="1:45">
      <c r="C43" s="343"/>
      <c r="E43" s="273"/>
      <c r="F43" s="273"/>
      <c r="G43" s="273"/>
      <c r="H43" s="272"/>
    </row>
    <row r="44" spans="1:45">
      <c r="C44" s="343"/>
      <c r="E44" s="273"/>
      <c r="F44" s="273"/>
      <c r="G44" s="273"/>
      <c r="H44" s="272"/>
    </row>
    <row r="45" spans="1:45">
      <c r="C45" s="343"/>
      <c r="E45" s="273"/>
      <c r="F45" s="273"/>
      <c r="G45" s="273"/>
      <c r="H45" s="272"/>
    </row>
    <row r="46" spans="1:45">
      <c r="C46" s="343"/>
      <c r="E46" s="273"/>
      <c r="F46" s="273"/>
      <c r="G46" s="273"/>
      <c r="H46" s="272"/>
    </row>
    <row r="47" spans="1:45">
      <c r="C47" s="343"/>
      <c r="E47" s="273"/>
      <c r="F47" s="273"/>
      <c r="G47" s="273"/>
      <c r="H47" s="272"/>
    </row>
    <row r="48" spans="1:45" ht="17.100000000000001" thickBot="1">
      <c r="C48" s="344"/>
      <c r="D48" s="271"/>
      <c r="E48" s="270"/>
      <c r="F48" s="270"/>
      <c r="G48" s="270"/>
      <c r="H48" s="269"/>
    </row>
  </sheetData>
  <mergeCells count="4">
    <mergeCell ref="C7:C17"/>
    <mergeCell ref="C19:C27"/>
    <mergeCell ref="C41:C48"/>
    <mergeCell ref="C29:C39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26DA-C80F-F347-AE25-428A1C19C06A}">
  <dimension ref="A1:AS52"/>
  <sheetViews>
    <sheetView showGridLines="0" zoomScale="125" zoomScaleNormal="80" workbookViewId="0">
      <selection activeCell="K4" sqref="K4"/>
    </sheetView>
  </sheetViews>
  <sheetFormatPr defaultColWidth="8.875" defaultRowHeight="15.95"/>
  <cols>
    <col min="1" max="1" width="8.875" style="323"/>
    <col min="2" max="2" width="3.125" style="267" customWidth="1"/>
    <col min="3" max="3" width="4.5" style="266" customWidth="1"/>
    <col min="4" max="4" width="36.5" style="266" bestFit="1" customWidth="1"/>
    <col min="5" max="8" width="13.125" style="268" customWidth="1"/>
    <col min="9" max="10" width="8.875" style="267"/>
    <col min="11" max="11" width="8.875" style="266"/>
    <col min="12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5" customHeight="1">
      <c r="A1" s="323"/>
      <c r="B1" s="325"/>
      <c r="C1" s="242" t="s">
        <v>110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4"/>
      <c r="C5" s="321"/>
      <c r="D5" s="326"/>
      <c r="E5" s="327" t="s">
        <v>111</v>
      </c>
      <c r="F5" s="327" t="s">
        <v>112</v>
      </c>
      <c r="G5" s="327" t="s">
        <v>113</v>
      </c>
      <c r="H5" s="327" t="s">
        <v>114</v>
      </c>
    </row>
    <row r="6" spans="1:21" s="268" customFormat="1" ht="5.25" customHeight="1">
      <c r="A6" s="324"/>
    </row>
    <row r="7" spans="1:21" s="268" customFormat="1" ht="15.75" customHeight="1">
      <c r="A7" s="324"/>
      <c r="C7" s="346" t="s">
        <v>86</v>
      </c>
      <c r="D7" s="312" t="s">
        <v>19</v>
      </c>
      <c r="E7" s="318">
        <v>1401652</v>
      </c>
      <c r="F7" s="318">
        <v>1571437</v>
      </c>
      <c r="G7" s="318">
        <v>1752325</v>
      </c>
      <c r="H7" s="317">
        <v>1925466</v>
      </c>
      <c r="I7" s="316"/>
      <c r="J7" s="311"/>
      <c r="K7" s="311"/>
      <c r="L7" s="311"/>
    </row>
    <row r="8" spans="1:21" ht="6" customHeight="1">
      <c r="C8" s="347"/>
      <c r="D8" s="303"/>
      <c r="E8" s="285"/>
      <c r="F8" s="285"/>
      <c r="G8" s="285"/>
      <c r="H8" s="285"/>
      <c r="I8" s="314"/>
    </row>
    <row r="9" spans="1:21" s="268" customFormat="1" ht="18">
      <c r="A9" s="324"/>
      <c r="C9" s="347"/>
      <c r="D9" s="303" t="s">
        <v>20</v>
      </c>
      <c r="E9" s="318">
        <v>79093</v>
      </c>
      <c r="F9" s="318">
        <v>108090</v>
      </c>
      <c r="G9" s="318">
        <v>121459</v>
      </c>
      <c r="H9" s="317">
        <v>163498</v>
      </c>
      <c r="I9" s="316"/>
    </row>
    <row r="10" spans="1:21" ht="4.5" customHeight="1">
      <c r="C10" s="347"/>
      <c r="D10" s="303"/>
      <c r="E10" s="285"/>
      <c r="F10" s="285"/>
      <c r="G10" s="285"/>
      <c r="H10" s="285"/>
      <c r="I10" s="314"/>
    </row>
    <row r="11" spans="1:21" s="268" customFormat="1">
      <c r="A11" s="324"/>
      <c r="C11" s="347"/>
      <c r="D11" s="283" t="s">
        <v>87</v>
      </c>
      <c r="E11" s="285">
        <f>+E7-E9</f>
        <v>1322559</v>
      </c>
      <c r="F11" s="285">
        <f>+F7-F9</f>
        <v>1463347</v>
      </c>
      <c r="G11" s="285">
        <f>+G7-G9</f>
        <v>1630866</v>
      </c>
      <c r="H11" s="285">
        <f>+H7-H9</f>
        <v>1761968</v>
      </c>
      <c r="I11" s="316"/>
    </row>
    <row r="12" spans="1:21" s="268" customFormat="1">
      <c r="A12" s="324"/>
      <c r="C12" s="347"/>
      <c r="D12" s="309" t="s">
        <v>88</v>
      </c>
      <c r="E12" s="308">
        <f>+E11/E7</f>
        <v>0.94357158552907572</v>
      </c>
      <c r="F12" s="308">
        <f>+F11/F7</f>
        <v>0.93121582347876497</v>
      </c>
      <c r="G12" s="308">
        <f>+G11/G7</f>
        <v>0.93068694448803735</v>
      </c>
      <c r="H12" s="308">
        <f>+H11/H7</f>
        <v>0.9150865297024201</v>
      </c>
      <c r="I12" s="316"/>
    </row>
    <row r="13" spans="1:21" ht="10.5" customHeight="1">
      <c r="C13" s="347"/>
      <c r="D13" s="303"/>
      <c r="E13" s="285"/>
      <c r="F13" s="285"/>
      <c r="G13" s="285"/>
      <c r="H13" s="285"/>
      <c r="I13" s="314"/>
    </row>
    <row r="14" spans="1:21" s="268" customFormat="1" ht="18">
      <c r="A14" s="324"/>
      <c r="C14" s="347"/>
      <c r="D14" s="303" t="s">
        <v>89</v>
      </c>
      <c r="E14" s="318">
        <v>561522</v>
      </c>
      <c r="F14" s="318">
        <v>603352</v>
      </c>
      <c r="G14" s="318">
        <v>590167</v>
      </c>
      <c r="H14" s="317">
        <v>666739</v>
      </c>
      <c r="I14" s="316"/>
    </row>
    <row r="15" spans="1:21" ht="4.5" customHeight="1">
      <c r="C15" s="347"/>
      <c r="D15" s="303"/>
      <c r="E15" s="285"/>
      <c r="F15" s="285"/>
      <c r="G15" s="285"/>
      <c r="H15" s="285"/>
      <c r="I15" s="314"/>
    </row>
    <row r="16" spans="1:21" s="268" customFormat="1" ht="18.95">
      <c r="A16" s="324"/>
      <c r="C16" s="347"/>
      <c r="D16" s="301" t="s">
        <v>23</v>
      </c>
      <c r="E16" s="300">
        <f>E11-E14</f>
        <v>761037</v>
      </c>
      <c r="F16" s="300">
        <f>F11-F14</f>
        <v>859995</v>
      </c>
      <c r="G16" s="300">
        <f>G11-G14</f>
        <v>1040699</v>
      </c>
      <c r="H16" s="300">
        <f>H11-H14</f>
        <v>1095229</v>
      </c>
      <c r="I16" s="316"/>
    </row>
    <row r="17" spans="1:45" s="268" customFormat="1" ht="18.95">
      <c r="A17" s="324"/>
      <c r="C17" s="348"/>
      <c r="D17" s="298" t="s">
        <v>90</v>
      </c>
      <c r="E17" s="297">
        <f>+E11/E14</f>
        <v>2.3553111009007663</v>
      </c>
      <c r="F17" s="297">
        <f>+F11/F14</f>
        <v>2.4253619777509647</v>
      </c>
      <c r="G17" s="297">
        <f>+G11/G14</f>
        <v>2.7633974790186508</v>
      </c>
      <c r="H17" s="297">
        <f>+H11/H14</f>
        <v>2.6426652708181164</v>
      </c>
      <c r="I17" s="316"/>
    </row>
    <row r="18" spans="1:45" ht="5.25" customHeight="1">
      <c r="C18" s="315"/>
      <c r="E18" s="296"/>
      <c r="F18" s="296"/>
      <c r="G18" s="296"/>
      <c r="H18" s="296"/>
      <c r="I18" s="314"/>
    </row>
    <row r="19" spans="1:45" s="268" customFormat="1" ht="15" customHeight="1">
      <c r="A19" s="324"/>
      <c r="C19" s="346" t="s">
        <v>91</v>
      </c>
      <c r="D19" s="303" t="s">
        <v>92</v>
      </c>
      <c r="E19" s="296"/>
      <c r="F19" s="296"/>
      <c r="G19" s="296"/>
      <c r="H19" s="296"/>
      <c r="I19" s="316"/>
    </row>
    <row r="20" spans="1:45" s="268" customFormat="1">
      <c r="A20" s="324"/>
      <c r="C20" s="347"/>
      <c r="D20" s="306" t="s">
        <v>93</v>
      </c>
      <c r="E20" s="320">
        <v>157292</v>
      </c>
      <c r="F20" s="320">
        <v>221278</v>
      </c>
      <c r="G20" s="320">
        <v>169233</v>
      </c>
      <c r="H20" s="319">
        <v>116615</v>
      </c>
      <c r="I20" s="316"/>
    </row>
    <row r="21" spans="1:45" s="268" customFormat="1">
      <c r="A21" s="324"/>
      <c r="C21" s="347"/>
      <c r="D21" s="306" t="s">
        <v>94</v>
      </c>
      <c r="E21" s="320">
        <v>8955</v>
      </c>
      <c r="F21" s="320">
        <v>13520</v>
      </c>
      <c r="G21" s="320">
        <v>12404</v>
      </c>
      <c r="H21" s="319">
        <v>12559</v>
      </c>
      <c r="I21" s="316"/>
    </row>
    <row r="22" spans="1:45" s="268" customFormat="1">
      <c r="A22" s="324"/>
      <c r="C22" s="347"/>
      <c r="D22" s="306" t="s">
        <v>95</v>
      </c>
      <c r="E22" s="320">
        <v>195795</v>
      </c>
      <c r="F22" s="320">
        <v>236254</v>
      </c>
      <c r="G22" s="320">
        <v>205462</v>
      </c>
      <c r="H22" s="319">
        <v>270490</v>
      </c>
      <c r="I22" s="316"/>
    </row>
    <row r="23" spans="1:45" s="268" customFormat="1">
      <c r="A23" s="324"/>
      <c r="C23" s="347"/>
      <c r="D23" s="306" t="s">
        <v>96</v>
      </c>
      <c r="E23" s="320">
        <v>285620</v>
      </c>
      <c r="F23" s="320">
        <v>299557</v>
      </c>
      <c r="G23" s="320">
        <v>296432</v>
      </c>
      <c r="H23" s="319">
        <v>324361</v>
      </c>
      <c r="I23" s="316"/>
    </row>
    <row r="24" spans="1:45" s="268" customFormat="1" ht="18">
      <c r="A24" s="324"/>
      <c r="C24" s="347"/>
      <c r="D24" s="306" t="s">
        <v>97</v>
      </c>
      <c r="E24" s="318">
        <v>36641</v>
      </c>
      <c r="F24" s="318">
        <v>55885</v>
      </c>
      <c r="G24" s="318">
        <v>33029</v>
      </c>
      <c r="H24" s="317">
        <v>32087</v>
      </c>
      <c r="I24" s="316"/>
    </row>
    <row r="25" spans="1:45" ht="15">
      <c r="C25" s="347"/>
      <c r="D25" s="303"/>
      <c r="E25" s="285"/>
      <c r="F25" s="285"/>
      <c r="G25" s="285"/>
      <c r="H25" s="285"/>
      <c r="I25" s="314"/>
    </row>
    <row r="26" spans="1:45" s="268" customFormat="1" ht="18.95">
      <c r="A26" s="324"/>
      <c r="C26" s="347"/>
      <c r="D26" s="301" t="s">
        <v>98</v>
      </c>
      <c r="E26" s="300">
        <f>SUM(E20:E24)</f>
        <v>684303</v>
      </c>
      <c r="F26" s="300">
        <f>SUM(F20:F24)</f>
        <v>826494</v>
      </c>
      <c r="G26" s="300">
        <f>SUM(G20:G24)</f>
        <v>716560</v>
      </c>
      <c r="H26" s="300">
        <f>SUM(H20:H24)</f>
        <v>756112</v>
      </c>
      <c r="I26" s="316"/>
    </row>
    <row r="27" spans="1:45" s="268" customFormat="1" ht="18.95">
      <c r="A27" s="324"/>
      <c r="C27" s="348"/>
      <c r="D27" s="298" t="s">
        <v>99</v>
      </c>
      <c r="E27" s="297">
        <f>+E16/E22</f>
        <v>3.8869072243928597</v>
      </c>
      <c r="F27" s="297">
        <f>+F16/F22</f>
        <v>3.6401288443793542</v>
      </c>
      <c r="G27" s="297">
        <f>+G16/G22</f>
        <v>5.0651653347090946</v>
      </c>
      <c r="H27" s="297">
        <f>+H16/H22</f>
        <v>4.049055417945211</v>
      </c>
      <c r="I27" s="316"/>
    </row>
    <row r="28" spans="1:45" ht="4.5" customHeight="1">
      <c r="C28" s="315"/>
      <c r="E28" s="296"/>
      <c r="F28" s="296"/>
      <c r="G28" s="296"/>
      <c r="H28" s="296"/>
      <c r="I28" s="316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4"/>
      <c r="C29" s="349" t="s">
        <v>100</v>
      </c>
      <c r="D29" s="283" t="s">
        <v>101</v>
      </c>
      <c r="E29" s="294">
        <f>E16-E26</f>
        <v>76734</v>
      </c>
      <c r="F29" s="294">
        <f>F16-F26</f>
        <v>33501</v>
      </c>
      <c r="G29" s="294">
        <f>G16-G26</f>
        <v>324139</v>
      </c>
      <c r="H29" s="294">
        <f>H16-H26</f>
        <v>339117</v>
      </c>
      <c r="I29" s="316"/>
      <c r="J29" s="266"/>
    </row>
    <row r="30" spans="1:45" s="268" customFormat="1" ht="6.75" customHeight="1">
      <c r="A30" s="324"/>
      <c r="C30" s="350"/>
      <c r="D30" s="283"/>
      <c r="E30" s="292"/>
      <c r="F30" s="292"/>
      <c r="G30" s="292"/>
      <c r="H30" s="292"/>
      <c r="I30" s="316"/>
      <c r="J30" s="266"/>
    </row>
    <row r="31" spans="1:45" s="268" customFormat="1">
      <c r="A31" s="324"/>
      <c r="C31" s="350"/>
      <c r="D31" s="290" t="s">
        <v>102</v>
      </c>
      <c r="E31" s="285"/>
      <c r="F31" s="285"/>
      <c r="G31" s="285"/>
      <c r="H31" s="285"/>
      <c r="I31" s="316"/>
      <c r="J31" s="266"/>
    </row>
    <row r="32" spans="1:45" s="268" customFormat="1">
      <c r="A32" s="324"/>
      <c r="C32" s="350"/>
      <c r="D32" s="289" t="s">
        <v>103</v>
      </c>
      <c r="E32" s="288">
        <v>18979</v>
      </c>
      <c r="F32" s="288">
        <v>21990</v>
      </c>
      <c r="G32" s="288">
        <v>20664</v>
      </c>
      <c r="H32" s="287">
        <v>22140</v>
      </c>
      <c r="I32" s="316"/>
      <c r="J32" s="266"/>
    </row>
    <row r="33" spans="1:45" s="268" customFormat="1">
      <c r="A33" s="324"/>
      <c r="C33" s="350"/>
      <c r="D33" s="289" t="s">
        <v>104</v>
      </c>
      <c r="E33" s="288">
        <v>-6214</v>
      </c>
      <c r="F33" s="288">
        <v>15901</v>
      </c>
      <c r="G33" s="288">
        <v>10478</v>
      </c>
      <c r="H33" s="287">
        <v>22174</v>
      </c>
      <c r="I33" s="316"/>
      <c r="J33" s="266"/>
    </row>
    <row r="34" spans="1:45" ht="4.5" customHeight="1">
      <c r="C34" s="350"/>
      <c r="D34" s="286"/>
      <c r="E34" s="285"/>
      <c r="F34" s="285"/>
      <c r="G34" s="285"/>
      <c r="H34" s="284"/>
      <c r="I34" s="316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4"/>
      <c r="C35" s="350"/>
      <c r="D35" s="286" t="s">
        <v>105</v>
      </c>
      <c r="E35" s="288">
        <v>12765</v>
      </c>
      <c r="F35" s="288">
        <v>37891</v>
      </c>
      <c r="G35" s="288">
        <v>31142</v>
      </c>
      <c r="H35" s="287">
        <v>44314</v>
      </c>
      <c r="I35" s="316"/>
      <c r="J35" s="266"/>
    </row>
    <row r="36" spans="1:45" ht="7.5" customHeight="1">
      <c r="C36" s="350"/>
      <c r="D36" s="286"/>
      <c r="E36" s="285"/>
      <c r="F36" s="285"/>
      <c r="G36" s="285"/>
      <c r="H36" s="285"/>
      <c r="I36" s="316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4"/>
      <c r="C37" s="350"/>
      <c r="D37" s="283" t="s">
        <v>106</v>
      </c>
      <c r="E37" s="282">
        <f>E29-E35</f>
        <v>63969</v>
      </c>
      <c r="F37" s="282">
        <f>F29-F35</f>
        <v>-4390</v>
      </c>
      <c r="G37" s="282">
        <f>G29-G35</f>
        <v>292997</v>
      </c>
      <c r="H37" s="282">
        <f>H29-H35</f>
        <v>294803</v>
      </c>
      <c r="I37" s="316"/>
      <c r="J37" s="266"/>
    </row>
    <row r="38" spans="1:45" s="268" customFormat="1">
      <c r="A38" s="324"/>
      <c r="C38" s="350"/>
      <c r="D38" s="280" t="s">
        <v>107</v>
      </c>
      <c r="E38" s="279">
        <f>E37/E7</f>
        <v>4.5638289675325974E-2</v>
      </c>
      <c r="F38" s="279">
        <f>F37/F7</f>
        <v>-2.7936213796671454E-3</v>
      </c>
      <c r="G38" s="279">
        <f>G37/G7</f>
        <v>0.1672047137374631</v>
      </c>
      <c r="H38" s="279">
        <f>H37/H7</f>
        <v>0.15310735167486728</v>
      </c>
      <c r="I38" s="316"/>
      <c r="J38" s="266"/>
    </row>
    <row r="39" spans="1:45" s="268" customFormat="1" ht="17.100000000000001" thickBot="1">
      <c r="A39" s="324"/>
      <c r="C39" s="351"/>
      <c r="D39" s="277" t="s">
        <v>108</v>
      </c>
      <c r="E39" s="276">
        <f>E37/E11</f>
        <v>4.8367596455054181E-2</v>
      </c>
      <c r="F39" s="276">
        <f>F37/F11</f>
        <v>-2.9999719820384364E-3</v>
      </c>
      <c r="G39" s="276">
        <f>G37/G11</f>
        <v>0.17965731090107956</v>
      </c>
      <c r="H39" s="276">
        <f>H37/H11</f>
        <v>0.16731461638349845</v>
      </c>
      <c r="I39" s="316"/>
      <c r="J39" s="266"/>
    </row>
    <row r="40" spans="1:45" ht="5.25" customHeight="1">
      <c r="C40" s="315"/>
      <c r="E40" s="273"/>
      <c r="F40" s="273"/>
      <c r="G40" s="273"/>
      <c r="H40" s="273"/>
      <c r="I40" s="314"/>
    </row>
    <row r="41" spans="1:45" ht="15" customHeight="1">
      <c r="C41" s="350" t="s">
        <v>109</v>
      </c>
      <c r="E41" s="273"/>
      <c r="F41" s="273"/>
      <c r="G41" s="273"/>
      <c r="H41" s="273"/>
      <c r="I41" s="314"/>
    </row>
    <row r="42" spans="1:45">
      <c r="C42" s="350"/>
      <c r="E42" s="273"/>
      <c r="F42" s="273"/>
      <c r="G42" s="273"/>
      <c r="H42" s="273"/>
      <c r="I42" s="314"/>
    </row>
    <row r="43" spans="1:45">
      <c r="C43" s="350"/>
      <c r="E43" s="273"/>
      <c r="F43" s="273"/>
      <c r="G43" s="273"/>
      <c r="H43" s="273"/>
      <c r="I43" s="314"/>
    </row>
    <row r="44" spans="1:45">
      <c r="C44" s="350"/>
      <c r="E44" s="273"/>
      <c r="F44" s="273"/>
      <c r="G44" s="273"/>
      <c r="H44" s="273"/>
      <c r="I44" s="314"/>
    </row>
    <row r="45" spans="1:45">
      <c r="C45" s="350"/>
      <c r="E45" s="273"/>
      <c r="F45" s="273"/>
      <c r="G45" s="273"/>
      <c r="H45" s="273"/>
      <c r="I45" s="314"/>
    </row>
    <row r="46" spans="1:45">
      <c r="C46" s="350"/>
      <c r="E46" s="273"/>
      <c r="F46" s="273"/>
      <c r="G46" s="273"/>
      <c r="H46" s="273"/>
      <c r="I46" s="314"/>
    </row>
    <row r="47" spans="1:45">
      <c r="C47" s="350"/>
      <c r="E47" s="273"/>
      <c r="F47" s="273"/>
      <c r="G47" s="273"/>
      <c r="H47" s="273"/>
      <c r="I47" s="314"/>
    </row>
    <row r="48" spans="1:45" ht="17.100000000000001" thickBot="1">
      <c r="C48" s="351"/>
      <c r="D48" s="271"/>
      <c r="E48" s="270"/>
      <c r="F48" s="270"/>
      <c r="G48" s="270"/>
      <c r="H48" s="270"/>
      <c r="I48" s="314"/>
    </row>
    <row r="49" spans="3:3">
      <c r="C49" s="313"/>
    </row>
    <row r="50" spans="3:3">
      <c r="C50" s="313"/>
    </row>
    <row r="51" spans="3:3">
      <c r="C51" s="313"/>
    </row>
    <row r="52" spans="3:3">
      <c r="C52" s="313"/>
    </row>
  </sheetData>
  <mergeCells count="4">
    <mergeCell ref="C7:C17"/>
    <mergeCell ref="C19:C27"/>
    <mergeCell ref="C29:C39"/>
    <mergeCell ref="C41:C48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40"/>
  <sheetViews>
    <sheetView topLeftCell="D8" zoomScale="90" zoomScaleNormal="90" zoomScalePageLayoutView="110" workbookViewId="0">
      <selection activeCell="O25" sqref="O25"/>
    </sheetView>
  </sheetViews>
  <sheetFormatPr defaultColWidth="11" defaultRowHeight="15"/>
  <cols>
    <col min="1" max="2" width="4.125" style="39" customWidth="1"/>
    <col min="3" max="3" width="24.5" style="39" customWidth="1"/>
    <col min="4" max="4" width="16.875" style="39" bestFit="1" customWidth="1"/>
    <col min="5" max="5" width="7" style="39" bestFit="1" customWidth="1"/>
    <col min="6" max="6" width="16.875" style="39" bestFit="1" customWidth="1"/>
    <col min="7" max="7" width="7" style="39" bestFit="1" customWidth="1"/>
    <col min="8" max="8" width="16.375" style="39" bestFit="1" customWidth="1"/>
    <col min="9" max="9" width="4.875" style="39" customWidth="1"/>
    <col min="10" max="10" width="32.625" style="39" bestFit="1" customWidth="1"/>
    <col min="11" max="11" width="6.125" style="39" customWidth="1"/>
    <col min="12" max="12" width="5.5" style="39" customWidth="1"/>
    <col min="13" max="13" width="14.5" style="39" customWidth="1"/>
    <col min="14" max="14" width="15.625" style="39" bestFit="1" customWidth="1"/>
    <col min="15" max="15" width="16.875" style="39" bestFit="1" customWidth="1"/>
    <col min="16" max="16" width="15.5" style="39" customWidth="1"/>
    <col min="17" max="16384" width="11" style="39"/>
  </cols>
  <sheetData>
    <row r="1" spans="1:16">
      <c r="A1" s="38" t="s">
        <v>115</v>
      </c>
      <c r="D1" s="40" t="s">
        <v>116</v>
      </c>
      <c r="J1" s="40" t="s">
        <v>116</v>
      </c>
    </row>
    <row r="2" spans="1:16">
      <c r="D2" s="41" t="s">
        <v>58</v>
      </c>
      <c r="E2" s="41"/>
      <c r="J2" s="38" t="s">
        <v>59</v>
      </c>
      <c r="K2" s="38"/>
      <c r="L2" s="38"/>
      <c r="M2" s="42" t="s">
        <v>117</v>
      </c>
      <c r="N2" s="42" t="s">
        <v>61</v>
      </c>
    </row>
    <row r="3" spans="1:16">
      <c r="A3" s="38" t="s">
        <v>15</v>
      </c>
      <c r="J3" s="39" t="s">
        <v>62</v>
      </c>
      <c r="M3" s="43">
        <f>F15+H22+H23+H30+H26</f>
        <v>-3260074</v>
      </c>
      <c r="N3" s="44">
        <f>F12</f>
        <v>4618850</v>
      </c>
    </row>
    <row r="4" spans="1:16">
      <c r="D4" s="352">
        <v>2012</v>
      </c>
      <c r="E4" s="353"/>
      <c r="F4" s="352">
        <v>2013</v>
      </c>
      <c r="G4" s="353"/>
      <c r="I4" s="45"/>
      <c r="J4" s="39" t="s">
        <v>63</v>
      </c>
      <c r="M4" s="43">
        <f>F22/(F5/365)</f>
        <v>75.000000119047627</v>
      </c>
      <c r="N4" s="44"/>
    </row>
    <row r="5" spans="1:16">
      <c r="A5" s="39" t="s">
        <v>19</v>
      </c>
      <c r="D5" s="46">
        <v>35000000</v>
      </c>
      <c r="E5" s="47"/>
      <c r="F5" s="46">
        <v>42000000</v>
      </c>
      <c r="G5" s="47"/>
      <c r="H5" s="43"/>
      <c r="I5" s="48"/>
      <c r="J5" s="39" t="s">
        <v>64</v>
      </c>
      <c r="M5" s="44">
        <f>F30/(F6/365)</f>
        <v>69.999997239475505</v>
      </c>
      <c r="N5" s="44"/>
    </row>
    <row r="6" spans="1:16">
      <c r="A6" s="39" t="s">
        <v>20</v>
      </c>
      <c r="D6" s="49">
        <v>24500000</v>
      </c>
      <c r="E6" s="50"/>
      <c r="F6" s="49">
        <v>28980000</v>
      </c>
      <c r="G6" s="48"/>
      <c r="H6" s="43"/>
      <c r="I6" s="48"/>
      <c r="J6" s="39" t="s">
        <v>65</v>
      </c>
      <c r="M6" s="44">
        <f>F23/(F6/365)</f>
        <v>180.00000189786061</v>
      </c>
    </row>
    <row r="7" spans="1:16">
      <c r="B7" s="39" t="s">
        <v>21</v>
      </c>
      <c r="D7" s="43">
        <f>D5-D6</f>
        <v>10500000</v>
      </c>
      <c r="E7" s="51">
        <f>D7/D5</f>
        <v>0.3</v>
      </c>
      <c r="F7" s="43">
        <f>F5-F6</f>
        <v>13020000</v>
      </c>
      <c r="G7" s="51">
        <f>F7/F5</f>
        <v>0.31</v>
      </c>
      <c r="H7" s="43"/>
      <c r="I7" s="52"/>
    </row>
    <row r="8" spans="1:16" ht="15.95" thickBot="1">
      <c r="A8" s="39" t="s">
        <v>22</v>
      </c>
      <c r="D8" s="49">
        <v>3000000</v>
      </c>
      <c r="E8" s="43">
        <f>D7/D8</f>
        <v>3.5</v>
      </c>
      <c r="F8" s="49">
        <v>3250000</v>
      </c>
      <c r="G8" s="43">
        <f>F7/F8</f>
        <v>4.006153846153846</v>
      </c>
      <c r="H8" s="43"/>
      <c r="I8" s="52"/>
      <c r="J8" s="38" t="s">
        <v>59</v>
      </c>
      <c r="K8" s="53"/>
      <c r="L8" s="53"/>
      <c r="M8" s="53"/>
      <c r="N8" s="53"/>
      <c r="O8" s="54" t="s">
        <v>35</v>
      </c>
      <c r="P8" s="55"/>
    </row>
    <row r="9" spans="1:16">
      <c r="B9" s="39" t="s">
        <v>23</v>
      </c>
      <c r="D9" s="43">
        <f>D7-D8</f>
        <v>7500000</v>
      </c>
      <c r="E9" s="51">
        <f>D9/D5</f>
        <v>0.21428571428571427</v>
      </c>
      <c r="F9" s="43">
        <f>F7-F8</f>
        <v>9770000</v>
      </c>
      <c r="G9" s="51">
        <f>F9/F5</f>
        <v>0.23261904761904761</v>
      </c>
      <c r="H9" s="43"/>
      <c r="I9" s="52"/>
      <c r="O9" s="56"/>
      <c r="P9" s="57"/>
    </row>
    <row r="10" spans="1:16">
      <c r="A10" s="39" t="s">
        <v>24</v>
      </c>
      <c r="D10" s="46">
        <v>2000000</v>
      </c>
      <c r="E10" s="43">
        <f>D9/D10</f>
        <v>3.75</v>
      </c>
      <c r="F10" s="46">
        <v>2500000</v>
      </c>
      <c r="G10" s="43">
        <f>F9/F10</f>
        <v>3.9079999999999999</v>
      </c>
      <c r="H10" s="43"/>
      <c r="I10" s="52"/>
      <c r="J10" s="39" t="s">
        <v>66</v>
      </c>
      <c r="K10" s="41">
        <v>1</v>
      </c>
      <c r="L10" s="58" t="s">
        <v>67</v>
      </c>
      <c r="M10" s="44">
        <f>N10+F22-O11</f>
        <v>333698.62999999896</v>
      </c>
      <c r="N10" s="59">
        <f>F5*(K10/100)</f>
        <v>420000</v>
      </c>
      <c r="O10" s="60">
        <f>F5+N10</f>
        <v>42420000</v>
      </c>
      <c r="P10" s="57" t="s">
        <v>38</v>
      </c>
    </row>
    <row r="11" spans="1:16">
      <c r="A11" s="39" t="s">
        <v>25</v>
      </c>
      <c r="D11" s="61">
        <f>D9-D12-D10</f>
        <v>1751140</v>
      </c>
      <c r="E11" s="61"/>
      <c r="F11" s="61">
        <f>F9-F12-F10</f>
        <v>2651150</v>
      </c>
      <c r="G11" s="61"/>
      <c r="H11" s="43"/>
      <c r="I11" s="52"/>
      <c r="L11" s="58"/>
      <c r="M11" s="44"/>
      <c r="N11" s="59"/>
      <c r="O11" s="62">
        <f>O10/365*M4</f>
        <v>8716438.370000001</v>
      </c>
      <c r="P11" s="57" t="s">
        <v>40</v>
      </c>
    </row>
    <row r="12" spans="1:16">
      <c r="B12" s="39" t="s">
        <v>26</v>
      </c>
      <c r="D12" s="43">
        <f>D15+D13+D14</f>
        <v>3748860</v>
      </c>
      <c r="E12" s="51">
        <f>D12/D5</f>
        <v>0.10711028571428571</v>
      </c>
      <c r="F12" s="43">
        <f>F15+F13+F14</f>
        <v>4618850</v>
      </c>
      <c r="G12" s="51">
        <f>F12/F5</f>
        <v>0.10997261904761904</v>
      </c>
      <c r="H12" s="43">
        <f>F12-F16</f>
        <v>5551850</v>
      </c>
      <c r="I12" s="52"/>
      <c r="L12" s="58"/>
      <c r="M12" s="44"/>
      <c r="N12" s="59"/>
      <c r="O12" s="56"/>
      <c r="P12" s="57"/>
    </row>
    <row r="13" spans="1:16">
      <c r="A13" s="39" t="s">
        <v>27</v>
      </c>
      <c r="D13" s="46">
        <v>1165900</v>
      </c>
      <c r="E13" s="47"/>
      <c r="F13" s="46">
        <v>1363480</v>
      </c>
      <c r="G13" s="47"/>
      <c r="H13" s="43"/>
      <c r="I13" s="48"/>
      <c r="O13" s="56"/>
      <c r="P13" s="57"/>
    </row>
    <row r="14" spans="1:16">
      <c r="A14" s="39" t="s">
        <v>28</v>
      </c>
      <c r="D14" s="49">
        <v>930280</v>
      </c>
      <c r="E14" s="50"/>
      <c r="F14" s="49">
        <v>1172348</v>
      </c>
      <c r="G14" s="48"/>
      <c r="H14" s="43"/>
      <c r="I14" s="48"/>
      <c r="J14" s="39" t="s">
        <v>68</v>
      </c>
      <c r="K14" s="41">
        <v>1</v>
      </c>
      <c r="L14" s="58" t="s">
        <v>67</v>
      </c>
      <c r="M14" s="43">
        <f>N14+F22-O15+O17-F30+F23-O18</f>
        <v>-75938.360000001267</v>
      </c>
      <c r="N14" s="59">
        <f>F9*(K14/100)</f>
        <v>97700</v>
      </c>
      <c r="O14" s="62">
        <f>(F5*(K14/100))+F5</f>
        <v>42420000</v>
      </c>
      <c r="P14" s="57" t="s">
        <v>38</v>
      </c>
    </row>
    <row r="15" spans="1:16" ht="15.95" thickBot="1">
      <c r="B15" s="39" t="s">
        <v>29</v>
      </c>
      <c r="D15" s="63">
        <v>1652680</v>
      </c>
      <c r="E15" s="64"/>
      <c r="F15" s="63">
        <v>2083022</v>
      </c>
      <c r="G15" s="48"/>
      <c r="H15" s="43"/>
      <c r="I15" s="48"/>
      <c r="L15" s="58"/>
      <c r="M15" s="43"/>
      <c r="N15" s="59"/>
      <c r="O15" s="62">
        <f>(O14/365*M4)</f>
        <v>8716438.370000001</v>
      </c>
      <c r="P15" s="57" t="s">
        <v>40</v>
      </c>
    </row>
    <row r="16" spans="1:16" ht="15.95" thickTop="1">
      <c r="A16" s="39" t="s">
        <v>30</v>
      </c>
      <c r="D16" s="46">
        <v>-820000</v>
      </c>
      <c r="E16" s="47"/>
      <c r="F16" s="46">
        <v>-933000</v>
      </c>
      <c r="G16" s="47"/>
      <c r="H16" s="43"/>
      <c r="I16" s="52"/>
      <c r="L16" s="58"/>
      <c r="M16" s="43"/>
      <c r="N16" s="59"/>
      <c r="O16" s="62">
        <f>F6+(F6*(K14/100))</f>
        <v>29269800</v>
      </c>
      <c r="P16" s="57" t="s">
        <v>44</v>
      </c>
    </row>
    <row r="17" spans="1:16">
      <c r="D17" s="43"/>
      <c r="E17" s="43"/>
      <c r="F17" s="43"/>
      <c r="G17" s="43"/>
      <c r="H17" s="43"/>
      <c r="I17" s="52"/>
      <c r="L17" s="58"/>
      <c r="M17" s="43"/>
      <c r="N17" s="59"/>
      <c r="O17" s="62">
        <f>O16/365*M5</f>
        <v>5613386.0800000001</v>
      </c>
      <c r="P17" s="57" t="s">
        <v>46</v>
      </c>
    </row>
    <row r="18" spans="1:16">
      <c r="D18" s="43">
        <f>D12-SUM(D13:D14)</f>
        <v>1652680</v>
      </c>
      <c r="E18" s="43"/>
      <c r="F18" s="43"/>
      <c r="G18" s="43"/>
      <c r="H18" s="43"/>
      <c r="I18" s="52"/>
      <c r="L18" s="58"/>
      <c r="M18" s="43"/>
      <c r="N18" s="59"/>
      <c r="O18" s="62">
        <f>O16/365*M6</f>
        <v>14434422.07</v>
      </c>
      <c r="P18" s="57" t="s">
        <v>48</v>
      </c>
    </row>
    <row r="19" spans="1:16">
      <c r="A19" s="38" t="s">
        <v>31</v>
      </c>
      <c r="D19" s="43"/>
      <c r="E19" s="43"/>
      <c r="F19" s="43"/>
      <c r="G19" s="43"/>
      <c r="H19" s="43"/>
      <c r="I19" s="52"/>
      <c r="O19" s="56"/>
      <c r="P19" s="57"/>
    </row>
    <row r="20" spans="1:16">
      <c r="D20" s="38">
        <v>2012</v>
      </c>
      <c r="E20" s="38"/>
      <c r="F20" s="38">
        <v>2013</v>
      </c>
      <c r="G20" s="38"/>
      <c r="H20" s="45" t="s">
        <v>32</v>
      </c>
      <c r="I20" s="45"/>
      <c r="J20" s="39" t="s">
        <v>69</v>
      </c>
      <c r="K20" s="41">
        <v>1</v>
      </c>
      <c r="L20" s="58" t="s">
        <v>67</v>
      </c>
      <c r="M20" s="44">
        <f>N20-F30+O21+F23-O22</f>
        <v>377136.98999999836</v>
      </c>
      <c r="N20" s="59">
        <f>F6*(K20/100)</f>
        <v>289800</v>
      </c>
      <c r="O20" s="65">
        <f>F6-N20</f>
        <v>28690200</v>
      </c>
      <c r="P20" s="57" t="s">
        <v>44</v>
      </c>
    </row>
    <row r="21" spans="1:16">
      <c r="A21" s="39" t="s">
        <v>33</v>
      </c>
      <c r="D21" s="46">
        <v>0</v>
      </c>
      <c r="E21" s="47"/>
      <c r="F21" s="46">
        <v>0</v>
      </c>
      <c r="G21" s="47"/>
      <c r="H21" s="43"/>
      <c r="I21" s="48"/>
      <c r="M21" s="44"/>
      <c r="O21" s="62">
        <f>O20/365*M5</f>
        <v>5502229.9199999999</v>
      </c>
      <c r="P21" s="57" t="s">
        <v>46</v>
      </c>
    </row>
    <row r="22" spans="1:16">
      <c r="A22" s="39" t="s">
        <v>34</v>
      </c>
      <c r="D22" s="46">
        <v>6712330</v>
      </c>
      <c r="E22" s="47"/>
      <c r="F22" s="46">
        <v>8630137</v>
      </c>
      <c r="G22" s="47"/>
      <c r="H22" s="43">
        <f>D22-F22</f>
        <v>-1917807</v>
      </c>
      <c r="I22" s="48"/>
      <c r="M22" s="44"/>
      <c r="O22" s="66">
        <f>O20/365*M6</f>
        <v>14148591.930000002</v>
      </c>
      <c r="P22" s="67" t="s">
        <v>48</v>
      </c>
    </row>
    <row r="23" spans="1:16">
      <c r="A23" s="39" t="s">
        <v>36</v>
      </c>
      <c r="D23" s="46">
        <v>10336960</v>
      </c>
      <c r="E23" s="47"/>
      <c r="F23" s="46">
        <v>14291507</v>
      </c>
      <c r="G23" s="47"/>
      <c r="H23" s="43">
        <f>D23-F23</f>
        <v>-3954547</v>
      </c>
      <c r="I23" s="48"/>
      <c r="J23" s="39" t="s">
        <v>70</v>
      </c>
      <c r="K23" s="41">
        <v>1</v>
      </c>
      <c r="L23" s="58" t="s">
        <v>67</v>
      </c>
      <c r="M23" s="44">
        <f>+N23</f>
        <v>130199.99999999898</v>
      </c>
      <c r="N23" s="44">
        <f>F8*(O23-G8)</f>
        <v>130199.99999999898</v>
      </c>
      <c r="O23" s="68">
        <f>G8*(1+(K23/100))</f>
        <v>4.0462153846153841</v>
      </c>
      <c r="P23" s="69"/>
    </row>
    <row r="24" spans="1:16">
      <c r="A24" s="39" t="s">
        <v>37</v>
      </c>
      <c r="D24" s="49">
        <v>0</v>
      </c>
      <c r="E24" s="50"/>
      <c r="F24" s="49">
        <v>0</v>
      </c>
      <c r="G24" s="48"/>
      <c r="H24" s="43"/>
      <c r="I24" s="48"/>
      <c r="M24" s="44"/>
    </row>
    <row r="25" spans="1:16">
      <c r="B25" s="39" t="s">
        <v>39</v>
      </c>
      <c r="D25" s="47">
        <f>SUM(D21:D24)</f>
        <v>17049290</v>
      </c>
      <c r="E25" s="47"/>
      <c r="F25" s="47">
        <f>SUM(F21:F24)</f>
        <v>22921644</v>
      </c>
      <c r="G25" s="47"/>
      <c r="H25" s="43"/>
      <c r="I25" s="48"/>
      <c r="J25" s="39" t="s">
        <v>71</v>
      </c>
      <c r="K25" s="41">
        <v>1</v>
      </c>
      <c r="L25" s="58" t="s">
        <v>67</v>
      </c>
      <c r="M25" s="44">
        <f>+N25</f>
        <v>97700.000000000568</v>
      </c>
      <c r="N25" s="44">
        <f>F10*(O25-G10)</f>
        <v>97700.000000000568</v>
      </c>
      <c r="O25" s="68">
        <f>G10*(1+(K25/100))</f>
        <v>3.9470800000000001</v>
      </c>
    </row>
    <row r="26" spans="1:16">
      <c r="A26" s="39" t="s">
        <v>41</v>
      </c>
      <c r="D26" s="46">
        <v>8500000</v>
      </c>
      <c r="E26" s="47"/>
      <c r="F26" s="46">
        <v>9500000</v>
      </c>
      <c r="G26" s="47"/>
      <c r="H26" s="43">
        <f>D26-F26</f>
        <v>-1000000</v>
      </c>
      <c r="I26" s="48"/>
      <c r="M26" s="44"/>
    </row>
    <row r="27" spans="1:16">
      <c r="A27" s="39" t="s">
        <v>42</v>
      </c>
      <c r="D27" s="49">
        <v>0</v>
      </c>
      <c r="E27" s="50"/>
      <c r="F27" s="49">
        <v>0</v>
      </c>
      <c r="G27" s="48"/>
      <c r="H27" s="43"/>
      <c r="I27" s="48"/>
      <c r="J27" s="39" t="s">
        <v>72</v>
      </c>
      <c r="K27" s="41">
        <v>1</v>
      </c>
      <c r="L27" s="58" t="s">
        <v>67</v>
      </c>
      <c r="M27" s="68">
        <f>N27</f>
        <v>26511.5</v>
      </c>
      <c r="N27" s="59">
        <f>F11*(K27/100)</f>
        <v>26511.5</v>
      </c>
    </row>
    <row r="28" spans="1:16" ht="15.95" thickBot="1">
      <c r="B28" s="39" t="s">
        <v>43</v>
      </c>
      <c r="D28" s="64">
        <f>SUM(D25:D27)</f>
        <v>25549290</v>
      </c>
      <c r="E28" s="64"/>
      <c r="F28" s="64">
        <f>SUM(F25:F27)</f>
        <v>32421644</v>
      </c>
      <c r="G28" s="48"/>
      <c r="H28" s="43"/>
      <c r="I28" s="48"/>
    </row>
    <row r="29" spans="1:16" ht="15.95" thickTop="1">
      <c r="D29" s="47"/>
      <c r="E29" s="47"/>
      <c r="F29" s="47"/>
      <c r="G29" s="47"/>
      <c r="H29" s="43"/>
      <c r="I29" s="48"/>
      <c r="J29" s="39" t="s">
        <v>73</v>
      </c>
      <c r="K29" s="41">
        <v>1</v>
      </c>
      <c r="L29" s="39" t="s">
        <v>74</v>
      </c>
      <c r="M29" s="44">
        <f>F5/365*K29</f>
        <v>115068.49315068492</v>
      </c>
    </row>
    <row r="30" spans="1:16">
      <c r="A30" s="39" t="s">
        <v>45</v>
      </c>
      <c r="D30" s="46">
        <v>4028550</v>
      </c>
      <c r="E30" s="47"/>
      <c r="F30" s="46">
        <v>5557808</v>
      </c>
      <c r="G30" s="47"/>
      <c r="H30" s="43">
        <f>F30-D30</f>
        <v>1529258</v>
      </c>
      <c r="I30" s="48"/>
    </row>
    <row r="31" spans="1:16">
      <c r="A31" s="39" t="s">
        <v>47</v>
      </c>
      <c r="D31" s="46">
        <v>5019740</v>
      </c>
      <c r="E31" s="47"/>
      <c r="F31" s="46">
        <v>7279813</v>
      </c>
      <c r="G31" s="47"/>
      <c r="H31" s="43">
        <f>F31-D31</f>
        <v>2260073</v>
      </c>
      <c r="I31" s="48"/>
      <c r="J31" s="39" t="s">
        <v>75</v>
      </c>
      <c r="K31" s="41">
        <v>1</v>
      </c>
      <c r="L31" s="39" t="s">
        <v>74</v>
      </c>
      <c r="M31" s="44">
        <f>IF(F23&gt;0,F6/365*K31,0)</f>
        <v>79397.260273972599</v>
      </c>
    </row>
    <row r="32" spans="1:16">
      <c r="A32" s="39" t="s">
        <v>49</v>
      </c>
      <c r="D32" s="49">
        <v>0</v>
      </c>
      <c r="E32" s="50"/>
      <c r="F32" s="49">
        <v>0</v>
      </c>
      <c r="G32" s="48"/>
      <c r="H32" s="43"/>
      <c r="I32" s="48"/>
    </row>
    <row r="33" spans="1:14">
      <c r="B33" s="39" t="s">
        <v>50</v>
      </c>
      <c r="D33" s="47">
        <f>SUM(D30:D32)</f>
        <v>9048290</v>
      </c>
      <c r="E33" s="47"/>
      <c r="F33" s="47">
        <f>SUM(F30:F32)</f>
        <v>12837621</v>
      </c>
      <c r="G33" s="47"/>
      <c r="H33" s="43"/>
      <c r="I33" s="48"/>
      <c r="J33" s="39" t="s">
        <v>76</v>
      </c>
      <c r="K33" s="41">
        <v>1</v>
      </c>
      <c r="L33" s="39" t="s">
        <v>74</v>
      </c>
      <c r="M33" s="70">
        <f>F6/365*K33</f>
        <v>79397.260273972599</v>
      </c>
      <c r="N33" s="71"/>
    </row>
    <row r="34" spans="1:14">
      <c r="A34" s="39" t="s">
        <v>51</v>
      </c>
      <c r="D34" s="46">
        <v>9000000</v>
      </c>
      <c r="E34" s="47"/>
      <c r="F34" s="46">
        <v>10000000</v>
      </c>
      <c r="G34" s="47"/>
      <c r="H34" s="43">
        <f>F34-D34</f>
        <v>1000000</v>
      </c>
      <c r="I34" s="48"/>
    </row>
    <row r="35" spans="1:14">
      <c r="A35" s="39" t="s">
        <v>52</v>
      </c>
      <c r="D35" s="49">
        <v>0</v>
      </c>
      <c r="E35" s="50"/>
      <c r="F35" s="49">
        <v>0</v>
      </c>
      <c r="G35" s="48"/>
      <c r="H35" s="43"/>
      <c r="I35" s="48"/>
      <c r="J35" s="40" t="s">
        <v>77</v>
      </c>
      <c r="M35" s="72">
        <f>SUM(M10:M34)</f>
        <v>1163171.7736986256</v>
      </c>
      <c r="N35" s="72">
        <f>SUM(N10:N34)</f>
        <v>1061911.4999999995</v>
      </c>
    </row>
    <row r="36" spans="1:14">
      <c r="B36" s="39" t="s">
        <v>53</v>
      </c>
      <c r="D36" s="47">
        <f>SUM(D33:D35)</f>
        <v>18048290</v>
      </c>
      <c r="E36" s="47"/>
      <c r="F36" s="47">
        <f>SUM(F33:F35)</f>
        <v>22837621</v>
      </c>
      <c r="G36" s="47"/>
      <c r="H36" s="43"/>
      <c r="I36" s="48"/>
    </row>
    <row r="37" spans="1:14">
      <c r="A37" s="39" t="s">
        <v>54</v>
      </c>
      <c r="D37" s="46">
        <v>2001000</v>
      </c>
      <c r="E37" s="47"/>
      <c r="F37" s="46">
        <v>2001000</v>
      </c>
      <c r="G37" s="47"/>
      <c r="H37" s="43">
        <f t="shared" ref="H37:H38" si="0">F37-D37</f>
        <v>0</v>
      </c>
      <c r="I37" s="48"/>
      <c r="N37" s="44">
        <f>+N35+F15</f>
        <v>3144933.4999999995</v>
      </c>
    </row>
    <row r="38" spans="1:14">
      <c r="A38" s="39" t="s">
        <v>55</v>
      </c>
      <c r="D38" s="49">
        <v>5500000</v>
      </c>
      <c r="E38" s="50"/>
      <c r="F38" s="49">
        <v>7583023</v>
      </c>
      <c r="G38" s="48"/>
      <c r="H38" s="43">
        <f t="shared" si="0"/>
        <v>2083023</v>
      </c>
      <c r="I38" s="48"/>
    </row>
    <row r="39" spans="1:14" ht="15.95" thickBot="1">
      <c r="B39" s="39" t="s">
        <v>56</v>
      </c>
      <c r="D39" s="64">
        <f>SUM(D36:D38)</f>
        <v>25549290</v>
      </c>
      <c r="E39" s="64"/>
      <c r="F39" s="64">
        <f>SUM(F36:F38)</f>
        <v>32421644</v>
      </c>
      <c r="G39" s="48"/>
      <c r="H39" s="43"/>
      <c r="I39" s="48"/>
      <c r="N39" s="44"/>
    </row>
    <row r="40" spans="1:14" ht="15.95" thickTop="1">
      <c r="C40" s="39" t="s">
        <v>118</v>
      </c>
      <c r="D40" s="43">
        <f>D28-D39</f>
        <v>0</v>
      </c>
      <c r="E40" s="47"/>
      <c r="F40" s="43">
        <f>F28-F39</f>
        <v>0</v>
      </c>
      <c r="G40" s="43"/>
      <c r="H40" s="43"/>
      <c r="I40" s="52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75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P40"/>
  <sheetViews>
    <sheetView zoomScale="90" zoomScaleNormal="90" zoomScalePageLayoutView="110" workbookViewId="0">
      <selection activeCell="D12" sqref="D12"/>
    </sheetView>
  </sheetViews>
  <sheetFormatPr defaultColWidth="11" defaultRowHeight="15.95"/>
  <cols>
    <col min="1" max="2" width="4.125" customWidth="1"/>
    <col min="3" max="3" width="24.5" customWidth="1"/>
    <col min="4" max="4" width="15.375" bestFit="1" customWidth="1"/>
    <col min="5" max="5" width="6" bestFit="1" customWidth="1"/>
    <col min="6" max="6" width="15.375" bestFit="1" customWidth="1"/>
    <col min="7" max="7" width="6" bestFit="1" customWidth="1"/>
    <col min="8" max="8" width="13.375" bestFit="1" customWidth="1"/>
    <col min="9" max="9" width="5.625" customWidth="1"/>
    <col min="10" max="10" width="32.625" bestFit="1" customWidth="1"/>
    <col min="11" max="11" width="6.125" customWidth="1"/>
    <col min="12" max="12" width="5.5" customWidth="1"/>
    <col min="13" max="13" width="14.5" customWidth="1"/>
    <col min="14" max="14" width="15" bestFit="1" customWidth="1"/>
    <col min="15" max="15" width="14" bestFit="1" customWidth="1"/>
    <col min="16" max="16" width="15.5" customWidth="1"/>
  </cols>
  <sheetData>
    <row r="1" spans="1:16" ht="21">
      <c r="A1" s="24" t="s">
        <v>115</v>
      </c>
      <c r="D1" s="37" t="s">
        <v>119</v>
      </c>
      <c r="J1" s="37" t="s">
        <v>119</v>
      </c>
    </row>
    <row r="2" spans="1:16" ht="18.95">
      <c r="D2" s="13" t="s">
        <v>58</v>
      </c>
      <c r="E2" s="13"/>
      <c r="J2" s="11" t="s">
        <v>59</v>
      </c>
      <c r="K2" s="11"/>
      <c r="L2" s="11"/>
      <c r="M2" s="12" t="s">
        <v>117</v>
      </c>
      <c r="N2" s="12" t="s">
        <v>61</v>
      </c>
    </row>
    <row r="3" spans="1:16" ht="18.95">
      <c r="A3" s="11" t="s">
        <v>15</v>
      </c>
      <c r="J3" t="s">
        <v>62</v>
      </c>
      <c r="M3" s="3">
        <f>F15+H22+H23+H30+H26</f>
        <v>67875.650000000023</v>
      </c>
      <c r="N3" s="4">
        <f>F12</f>
        <v>640525.21</v>
      </c>
    </row>
    <row r="4" spans="1:16">
      <c r="D4" s="354">
        <v>2012</v>
      </c>
      <c r="E4" s="355"/>
      <c r="F4" s="354">
        <v>2013</v>
      </c>
      <c r="G4" s="355"/>
      <c r="I4" s="25"/>
      <c r="J4" t="s">
        <v>63</v>
      </c>
      <c r="M4" s="3">
        <f>F22/(F5/365)</f>
        <v>6.2693866130080158</v>
      </c>
      <c r="N4" s="4"/>
    </row>
    <row r="5" spans="1:16">
      <c r="A5" t="s">
        <v>19</v>
      </c>
      <c r="D5" s="7">
        <v>5872961.3899999997</v>
      </c>
      <c r="E5" s="8"/>
      <c r="F5" s="7">
        <v>8251080.9100000001</v>
      </c>
      <c r="G5" s="8"/>
      <c r="H5" s="3"/>
      <c r="I5" s="34"/>
      <c r="J5" t="s">
        <v>64</v>
      </c>
      <c r="M5" s="4">
        <f>F30/(F6/365)</f>
        <v>92.714645845657685</v>
      </c>
      <c r="N5" s="4"/>
    </row>
    <row r="6" spans="1:16">
      <c r="A6" t="s">
        <v>20</v>
      </c>
      <c r="D6" s="21">
        <v>950121.44</v>
      </c>
      <c r="E6" s="31"/>
      <c r="F6" s="21">
        <v>1386466.27</v>
      </c>
      <c r="G6" s="34"/>
      <c r="H6" s="3"/>
      <c r="I6" s="34"/>
      <c r="J6" t="s">
        <v>65</v>
      </c>
      <c r="M6" s="4">
        <f>F23/(F6/365)</f>
        <v>0</v>
      </c>
    </row>
    <row r="7" spans="1:16">
      <c r="B7" t="s">
        <v>21</v>
      </c>
      <c r="D7" s="3">
        <f>D5-D6</f>
        <v>4922839.9499999993</v>
      </c>
      <c r="E7" s="32">
        <f>D7/D5</f>
        <v>0.83822106482467429</v>
      </c>
      <c r="F7" s="3">
        <f>F5-F6</f>
        <v>6864614.6400000006</v>
      </c>
      <c r="G7" s="32">
        <f>F7/F5</f>
        <v>0.83196549820282883</v>
      </c>
      <c r="H7" s="3"/>
      <c r="I7" s="33"/>
    </row>
    <row r="8" spans="1:16" ht="20.100000000000001" thickBot="1">
      <c r="A8" t="s">
        <v>22</v>
      </c>
      <c r="D8" s="21">
        <v>2750000</v>
      </c>
      <c r="E8" s="3">
        <f>D7/D8</f>
        <v>1.7901236181818179</v>
      </c>
      <c r="F8" s="21">
        <v>3500000</v>
      </c>
      <c r="G8" s="3">
        <f>F7/F8</f>
        <v>1.9613184685714287</v>
      </c>
      <c r="H8" s="3"/>
      <c r="I8" s="33"/>
      <c r="J8" s="11" t="s">
        <v>59</v>
      </c>
      <c r="K8" s="6"/>
      <c r="L8" s="6"/>
      <c r="M8" s="6"/>
      <c r="N8" s="6"/>
      <c r="O8" s="26" t="s">
        <v>35</v>
      </c>
      <c r="P8" s="14"/>
    </row>
    <row r="9" spans="1:16">
      <c r="B9" t="s">
        <v>23</v>
      </c>
      <c r="D9" s="3">
        <f>D7-D8</f>
        <v>2172839.9499999993</v>
      </c>
      <c r="E9" s="32">
        <f>D9/D5</f>
        <v>0.36997347772449757</v>
      </c>
      <c r="F9" s="3">
        <f>F7-F8</f>
        <v>3364614.6400000006</v>
      </c>
      <c r="G9" s="32">
        <f>F9/F5</f>
        <v>0.4077786506640862</v>
      </c>
      <c r="H9" s="3"/>
      <c r="I9" s="33"/>
      <c r="O9" s="15"/>
      <c r="P9" s="16"/>
    </row>
    <row r="10" spans="1:16">
      <c r="A10" t="s">
        <v>24</v>
      </c>
      <c r="D10" s="7">
        <v>450000</v>
      </c>
      <c r="E10" s="3">
        <f>D9/D10</f>
        <v>4.8285332222222204</v>
      </c>
      <c r="F10" s="7">
        <v>650000</v>
      </c>
      <c r="G10" s="3">
        <f>F9/F10</f>
        <v>5.176330215384616</v>
      </c>
      <c r="H10" s="3"/>
      <c r="I10" s="33"/>
      <c r="J10" t="s">
        <v>66</v>
      </c>
      <c r="K10" s="13">
        <v>1</v>
      </c>
      <c r="L10" s="5" t="s">
        <v>67</v>
      </c>
      <c r="M10" s="4">
        <f>N10+F22-O11</f>
        <v>81093.570300000021</v>
      </c>
      <c r="N10" s="1">
        <f>F5*(K10/100)</f>
        <v>82510.809099999999</v>
      </c>
      <c r="O10" s="17">
        <f>F5+N10</f>
        <v>8333591.7191000003</v>
      </c>
      <c r="P10" s="16" t="s">
        <v>38</v>
      </c>
    </row>
    <row r="11" spans="1:16">
      <c r="A11" t="s">
        <v>25</v>
      </c>
      <c r="D11" s="9">
        <f>D9-D12-D10</f>
        <v>1350333.8599999992</v>
      </c>
      <c r="E11" s="9"/>
      <c r="F11" s="9">
        <f>F9-F12-F10</f>
        <v>2074089.4300000006</v>
      </c>
      <c r="G11" s="9"/>
      <c r="H11" s="3"/>
      <c r="I11" s="33"/>
      <c r="L11" s="5"/>
      <c r="M11" s="4"/>
      <c r="N11" s="1"/>
      <c r="O11" s="18">
        <f>O10/365*M4</f>
        <v>143141.1188</v>
      </c>
      <c r="P11" s="16" t="s">
        <v>40</v>
      </c>
    </row>
    <row r="12" spans="1:16">
      <c r="B12" t="s">
        <v>26</v>
      </c>
      <c r="D12" s="3">
        <f>D15+D13+D14</f>
        <v>372506.09</v>
      </c>
      <c r="E12" s="32">
        <f>D12/D5</f>
        <v>6.3427301026407742E-2</v>
      </c>
      <c r="F12" s="3">
        <f>F15+F13+F14</f>
        <v>640525.21</v>
      </c>
      <c r="G12" s="32">
        <f>F12/F5</f>
        <v>7.7629248456854594E-2</v>
      </c>
      <c r="H12" s="3">
        <f>F12-F16</f>
        <v>675525.21</v>
      </c>
      <c r="I12" s="33"/>
      <c r="L12" s="5"/>
      <c r="M12" s="4"/>
      <c r="N12" s="1"/>
      <c r="O12" s="15"/>
      <c r="P12" s="16"/>
    </row>
    <row r="13" spans="1:16">
      <c r="A13" t="s">
        <v>27</v>
      </c>
      <c r="D13" s="7">
        <v>0</v>
      </c>
      <c r="E13" s="8"/>
      <c r="F13" s="7">
        <v>0</v>
      </c>
      <c r="G13" s="8"/>
      <c r="H13" s="3"/>
      <c r="I13" s="34"/>
      <c r="O13" s="15"/>
      <c r="P13" s="16"/>
    </row>
    <row r="14" spans="1:16">
      <c r="A14" t="s">
        <v>28</v>
      </c>
      <c r="D14" s="21">
        <v>0</v>
      </c>
      <c r="E14" s="31"/>
      <c r="F14" s="21">
        <v>0</v>
      </c>
      <c r="G14" s="34"/>
      <c r="H14" s="3"/>
      <c r="I14" s="34"/>
      <c r="J14" t="s">
        <v>68</v>
      </c>
      <c r="K14" s="13">
        <v>1</v>
      </c>
      <c r="L14" s="5" t="s">
        <v>67</v>
      </c>
      <c r="M14" s="3">
        <f>N14+F22-O15+O17-F30+F23-O18</f>
        <v>35750.708400000061</v>
      </c>
      <c r="N14" s="1">
        <f>F9*(K14/100)</f>
        <v>33646.146400000005</v>
      </c>
      <c r="O14" s="18">
        <f>(F5*(K14/100))+F5</f>
        <v>8333591.7191000003</v>
      </c>
      <c r="P14" s="16" t="s">
        <v>38</v>
      </c>
    </row>
    <row r="15" spans="1:16" ht="17.100000000000001" thickBot="1">
      <c r="B15" t="s">
        <v>29</v>
      </c>
      <c r="D15" s="22">
        <v>372506.09</v>
      </c>
      <c r="E15" s="23"/>
      <c r="F15" s="22">
        <v>640525.21</v>
      </c>
      <c r="G15" s="34"/>
      <c r="H15" s="3"/>
      <c r="I15" s="34"/>
      <c r="L15" s="5"/>
      <c r="M15" s="3"/>
      <c r="N15" s="1"/>
      <c r="O15" s="18">
        <f>(O14/365*M4)</f>
        <v>143141.1188</v>
      </c>
      <c r="P15" s="16" t="s">
        <v>40</v>
      </c>
    </row>
    <row r="16" spans="1:16" ht="17.100000000000001" thickTop="1">
      <c r="A16" t="s">
        <v>30</v>
      </c>
      <c r="D16" s="7">
        <v>-47853.29</v>
      </c>
      <c r="E16" s="8"/>
      <c r="F16" s="7">
        <v>-35000</v>
      </c>
      <c r="G16" s="8"/>
      <c r="H16" s="3"/>
      <c r="I16" s="33"/>
      <c r="L16" s="5"/>
      <c r="M16" s="3"/>
      <c r="N16" s="1"/>
      <c r="O16" s="18">
        <f>F6+(F6*(K14/100))</f>
        <v>1400330.9327</v>
      </c>
      <c r="P16" s="16" t="s">
        <v>44</v>
      </c>
    </row>
    <row r="17" spans="1:16">
      <c r="D17" s="3"/>
      <c r="E17" s="3"/>
      <c r="F17" s="3"/>
      <c r="G17" s="3"/>
      <c r="H17" s="3"/>
      <c r="I17" s="33"/>
      <c r="L17" s="5"/>
      <c r="M17" s="3"/>
      <c r="N17" s="1"/>
      <c r="O17" s="18">
        <f>O16/365*M5</f>
        <v>355701.88080000004</v>
      </c>
      <c r="P17" s="16" t="s">
        <v>46</v>
      </c>
    </row>
    <row r="18" spans="1:16">
      <c r="D18" s="3"/>
      <c r="E18" s="3"/>
      <c r="F18" s="3"/>
      <c r="G18" s="3"/>
      <c r="H18" s="3"/>
      <c r="I18" s="33"/>
      <c r="L18" s="5"/>
      <c r="M18" s="3"/>
      <c r="N18" s="1"/>
      <c r="O18" s="18">
        <f>O16/365*M6</f>
        <v>0</v>
      </c>
      <c r="P18" s="16" t="s">
        <v>48</v>
      </c>
    </row>
    <row r="19" spans="1:16" ht="18.95">
      <c r="A19" s="11" t="s">
        <v>31</v>
      </c>
      <c r="D19" s="3"/>
      <c r="E19" s="3"/>
      <c r="F19" s="3"/>
      <c r="G19" s="3"/>
      <c r="H19" s="3"/>
      <c r="I19" s="33"/>
      <c r="O19" s="15"/>
      <c r="P19" s="16"/>
    </row>
    <row r="20" spans="1:16">
      <c r="D20" s="10">
        <v>2012</v>
      </c>
      <c r="E20" s="10"/>
      <c r="F20" s="10">
        <v>2013</v>
      </c>
      <c r="G20" s="10"/>
      <c r="H20" s="25" t="s">
        <v>32</v>
      </c>
      <c r="I20" s="25"/>
      <c r="J20" t="s">
        <v>69</v>
      </c>
      <c r="K20" s="13">
        <v>1</v>
      </c>
      <c r="L20" s="5" t="s">
        <v>67</v>
      </c>
      <c r="M20" s="4">
        <f>N20-F30+O21+F23-O22</f>
        <v>10342.861900000018</v>
      </c>
      <c r="N20" s="1">
        <f>F6*(K20/100)</f>
        <v>13864.662700000001</v>
      </c>
      <c r="O20" s="19">
        <f>F6-N20</f>
        <v>1372601.6073</v>
      </c>
      <c r="P20" s="16" t="s">
        <v>44</v>
      </c>
    </row>
    <row r="21" spans="1:16">
      <c r="A21" t="s">
        <v>33</v>
      </c>
      <c r="D21" s="7">
        <v>362441.55</v>
      </c>
      <c r="E21" s="8"/>
      <c r="F21" s="7">
        <v>387948.34</v>
      </c>
      <c r="G21" s="8"/>
      <c r="H21" s="3"/>
      <c r="I21" s="34"/>
      <c r="M21" s="4"/>
      <c r="O21" s="18">
        <f>O20/365*M5</f>
        <v>348658.27920000005</v>
      </c>
      <c r="P21" s="16" t="s">
        <v>46</v>
      </c>
    </row>
    <row r="22" spans="1:16">
      <c r="A22" t="s">
        <v>34</v>
      </c>
      <c r="D22" s="7">
        <v>138699.18</v>
      </c>
      <c r="E22" s="8"/>
      <c r="F22" s="7">
        <v>141723.88</v>
      </c>
      <c r="G22" s="8"/>
      <c r="H22" s="3">
        <f>D22-F22</f>
        <v>-3024.7000000000116</v>
      </c>
      <c r="I22" s="34"/>
      <c r="M22" s="4"/>
      <c r="O22" s="35">
        <f>O20/365*M6</f>
        <v>0</v>
      </c>
      <c r="P22" s="20" t="s">
        <v>48</v>
      </c>
    </row>
    <row r="23" spans="1:16">
      <c r="A23" t="s">
        <v>36</v>
      </c>
      <c r="D23" s="7">
        <v>0</v>
      </c>
      <c r="E23" s="8"/>
      <c r="F23" s="7">
        <v>0</v>
      </c>
      <c r="G23" s="8"/>
      <c r="H23" s="3">
        <f>D23-F23</f>
        <v>0</v>
      </c>
      <c r="I23" s="34"/>
      <c r="J23" t="s">
        <v>70</v>
      </c>
      <c r="K23" s="13">
        <v>1</v>
      </c>
      <c r="L23" s="5" t="s">
        <v>67</v>
      </c>
      <c r="M23" s="4">
        <f>+N23</f>
        <v>68646.146400000333</v>
      </c>
      <c r="N23" s="4">
        <f>F8*(O23-G8)</f>
        <v>68646.146400000333</v>
      </c>
      <c r="O23" s="2">
        <f>G8*(1+(K23/100))</f>
        <v>1.980931653257143</v>
      </c>
      <c r="P23" s="36"/>
    </row>
    <row r="24" spans="1:16">
      <c r="A24" t="s">
        <v>37</v>
      </c>
      <c r="D24" s="21">
        <v>140096.84</v>
      </c>
      <c r="E24" s="31"/>
      <c r="F24" s="21">
        <v>232266.08</v>
      </c>
      <c r="G24" s="34"/>
      <c r="H24" s="3"/>
      <c r="I24" s="34"/>
      <c r="M24" s="4"/>
    </row>
    <row r="25" spans="1:16">
      <c r="B25" t="s">
        <v>39</v>
      </c>
      <c r="D25" s="8">
        <f>SUM(D21:D24)</f>
        <v>641237.56999999995</v>
      </c>
      <c r="E25" s="8"/>
      <c r="F25" s="8">
        <f>SUM(F21:F24)</f>
        <v>761938.29999999993</v>
      </c>
      <c r="G25" s="8"/>
      <c r="H25" s="3"/>
      <c r="I25" s="34"/>
      <c r="J25" t="s">
        <v>71</v>
      </c>
      <c r="K25" s="13">
        <v>1</v>
      </c>
      <c r="L25" s="5" t="s">
        <v>67</v>
      </c>
      <c r="M25" s="4">
        <f>+N25</f>
        <v>33646.146400000012</v>
      </c>
      <c r="N25" s="4">
        <f>F10*(O25-G10)</f>
        <v>33646.146400000012</v>
      </c>
      <c r="O25" s="2">
        <f>G10*(1+(K25/100))</f>
        <v>5.2280935175384622</v>
      </c>
    </row>
    <row r="26" spans="1:16">
      <c r="A26" t="s">
        <v>41</v>
      </c>
      <c r="D26" s="7">
        <v>17183.21</v>
      </c>
      <c r="E26" s="8"/>
      <c r="F26" s="7">
        <v>672459.85</v>
      </c>
      <c r="G26" s="8"/>
      <c r="H26" s="3">
        <f>D26-F26</f>
        <v>-655276.64</v>
      </c>
      <c r="I26" s="34"/>
      <c r="M26" s="4"/>
    </row>
    <row r="27" spans="1:16">
      <c r="A27" t="s">
        <v>42</v>
      </c>
      <c r="D27" s="21">
        <v>93103.05</v>
      </c>
      <c r="E27" s="31"/>
      <c r="F27" s="21">
        <v>275624.69</v>
      </c>
      <c r="G27" s="34"/>
      <c r="H27" s="3"/>
      <c r="I27" s="34"/>
      <c r="J27" t="s">
        <v>72</v>
      </c>
      <c r="K27" s="13">
        <v>1</v>
      </c>
      <c r="L27" s="5" t="s">
        <v>67</v>
      </c>
      <c r="M27" s="2">
        <f>N27</f>
        <v>20740.894300000007</v>
      </c>
      <c r="N27" s="1">
        <f>F11*(K27/100)</f>
        <v>20740.894300000007</v>
      </c>
    </row>
    <row r="28" spans="1:16" ht="17.100000000000001" thickBot="1">
      <c r="B28" t="s">
        <v>43</v>
      </c>
      <c r="D28" s="23">
        <f>SUM(D25:D27)</f>
        <v>751523.83</v>
      </c>
      <c r="E28" s="23"/>
      <c r="F28" s="23">
        <f>SUM(F25:F27)</f>
        <v>1710022.8399999999</v>
      </c>
      <c r="G28" s="34"/>
      <c r="H28" s="3"/>
      <c r="I28" s="34"/>
    </row>
    <row r="29" spans="1:16" ht="17.100000000000001" thickTop="1">
      <c r="D29" s="8"/>
      <c r="E29" s="8"/>
      <c r="F29" s="8"/>
      <c r="G29" s="8"/>
      <c r="H29" s="3"/>
      <c r="I29" s="34"/>
      <c r="J29" t="s">
        <v>73</v>
      </c>
      <c r="K29" s="13">
        <v>1</v>
      </c>
      <c r="L29" t="s">
        <v>74</v>
      </c>
      <c r="M29" s="4">
        <f>F5/365*K29</f>
        <v>22605.701123287672</v>
      </c>
    </row>
    <row r="30" spans="1:16">
      <c r="A30" t="s">
        <v>45</v>
      </c>
      <c r="D30" s="7">
        <v>266528.3</v>
      </c>
      <c r="E30" s="8"/>
      <c r="F30" s="7">
        <v>352180.08</v>
      </c>
      <c r="G30" s="8"/>
      <c r="H30" s="3">
        <f>F30-D30</f>
        <v>85651.780000000028</v>
      </c>
      <c r="I30" s="34"/>
    </row>
    <row r="31" spans="1:16">
      <c r="A31" t="s">
        <v>47</v>
      </c>
      <c r="D31" s="7">
        <v>0</v>
      </c>
      <c r="E31" s="8"/>
      <c r="F31" s="7">
        <v>0</v>
      </c>
      <c r="G31" s="8"/>
      <c r="H31" s="3">
        <f>F31-D31</f>
        <v>0</v>
      </c>
      <c r="I31" s="34"/>
      <c r="J31" t="s">
        <v>75</v>
      </c>
      <c r="K31" s="13">
        <v>1</v>
      </c>
      <c r="L31" t="s">
        <v>74</v>
      </c>
      <c r="M31" s="4">
        <f>IF(F23&gt;0,F6/365*K31,0)</f>
        <v>0</v>
      </c>
    </row>
    <row r="32" spans="1:16">
      <c r="A32" t="s">
        <v>49</v>
      </c>
      <c r="D32" s="21">
        <f>8949.93+79831.42</f>
        <v>88781.35</v>
      </c>
      <c r="E32" s="31"/>
      <c r="F32" s="21">
        <f>10363.37-1199.42+88630.12</f>
        <v>97794.069999999992</v>
      </c>
      <c r="G32" s="34"/>
      <c r="H32" s="3"/>
      <c r="I32" s="34"/>
    </row>
    <row r="33" spans="1:14">
      <c r="B33" t="s">
        <v>50</v>
      </c>
      <c r="D33" s="8">
        <f>SUM(D30:D32)</f>
        <v>355309.65</v>
      </c>
      <c r="E33" s="8"/>
      <c r="F33" s="8">
        <f>SUM(F30:F32)</f>
        <v>449974.15</v>
      </c>
      <c r="G33" s="8"/>
      <c r="H33" s="3"/>
      <c r="I33" s="34"/>
      <c r="J33" t="s">
        <v>76</v>
      </c>
      <c r="K33" s="13">
        <v>1</v>
      </c>
      <c r="L33" t="s">
        <v>74</v>
      </c>
      <c r="M33" s="29">
        <f>F6/365*K33</f>
        <v>3798.5377260273972</v>
      </c>
      <c r="N33" s="30"/>
    </row>
    <row r="34" spans="1:14">
      <c r="A34" t="s">
        <v>51</v>
      </c>
      <c r="D34" s="7">
        <v>72018.64</v>
      </c>
      <c r="E34" s="8"/>
      <c r="F34" s="7">
        <v>381453.85</v>
      </c>
      <c r="G34" s="8"/>
      <c r="H34" s="3">
        <f>F34-D34</f>
        <v>309435.20999999996</v>
      </c>
      <c r="I34" s="34"/>
    </row>
    <row r="35" spans="1:14" ht="18.95">
      <c r="A35" t="s">
        <v>52</v>
      </c>
      <c r="D35" s="21">
        <v>-10768.15</v>
      </c>
      <c r="E35" s="31"/>
      <c r="F35" s="21">
        <v>191159.48</v>
      </c>
      <c r="G35" s="34"/>
      <c r="H35" s="3"/>
      <c r="I35" s="34"/>
      <c r="J35" s="27" t="s">
        <v>77</v>
      </c>
      <c r="M35" s="28">
        <f>SUM(M10:M34)</f>
        <v>276624.56654931558</v>
      </c>
      <c r="N35" s="28">
        <f>SUM(N10:N34)</f>
        <v>253054.80530000039</v>
      </c>
    </row>
    <row r="36" spans="1:14">
      <c r="B36" t="s">
        <v>53</v>
      </c>
      <c r="D36" s="8">
        <f>SUM(D33:D35)</f>
        <v>416560.14</v>
      </c>
      <c r="E36" s="8"/>
      <c r="F36" s="8">
        <f>SUM(F33:F35)</f>
        <v>1022587.48</v>
      </c>
      <c r="G36" s="8"/>
      <c r="H36" s="3"/>
      <c r="I36" s="34"/>
    </row>
    <row r="37" spans="1:14">
      <c r="A37" t="s">
        <v>54</v>
      </c>
      <c r="D37" s="7">
        <v>-7302.4</v>
      </c>
      <c r="E37" s="8"/>
      <c r="F37" s="7">
        <f>159364.26</f>
        <v>159364.26</v>
      </c>
      <c r="G37" s="8"/>
      <c r="H37" s="3">
        <f t="shared" ref="H37:H38" si="0">F37-D37</f>
        <v>166666.66</v>
      </c>
      <c r="I37" s="34"/>
      <c r="N37" s="4">
        <f>+N35+F15</f>
        <v>893580.01530000032</v>
      </c>
    </row>
    <row r="38" spans="1:14">
      <c r="A38" t="s">
        <v>55</v>
      </c>
      <c r="D38" s="21">
        <f>372050.09-29784</f>
        <v>342266.09</v>
      </c>
      <c r="E38" s="31"/>
      <c r="F38" s="21">
        <f>640069.21-454264.2+342266.09</f>
        <v>528071.1</v>
      </c>
      <c r="G38" s="34"/>
      <c r="H38" s="3">
        <f t="shared" si="0"/>
        <v>185805.00999999995</v>
      </c>
      <c r="I38" s="34"/>
    </row>
    <row r="39" spans="1:14" ht="17.100000000000001" thickBot="1">
      <c r="B39" t="s">
        <v>56</v>
      </c>
      <c r="D39" s="23">
        <f>SUM(D36:D38)</f>
        <v>751523.83000000007</v>
      </c>
      <c r="E39" s="23"/>
      <c r="F39" s="23">
        <f>SUM(F36:F38)</f>
        <v>1710022.8399999999</v>
      </c>
      <c r="G39" s="34"/>
      <c r="H39" s="3"/>
      <c r="I39" s="34"/>
      <c r="N39" s="4"/>
    </row>
    <row r="40" spans="1:14" ht="17.100000000000001" thickTop="1">
      <c r="C40" t="s">
        <v>118</v>
      </c>
      <c r="D40" s="3">
        <f>D28-D39</f>
        <v>0</v>
      </c>
      <c r="E40" s="8"/>
      <c r="F40" s="3">
        <f>F28-F39</f>
        <v>0</v>
      </c>
      <c r="G40" s="3"/>
      <c r="H40" s="3"/>
      <c r="I40" s="33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80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88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CRBCPA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Crabtree</dc:creator>
  <cp:keywords/>
  <dc:description/>
  <cp:lastModifiedBy>Elena Karantagli</cp:lastModifiedBy>
  <cp:revision/>
  <dcterms:created xsi:type="dcterms:W3CDTF">2015-02-05T23:09:47Z</dcterms:created>
  <dcterms:modified xsi:type="dcterms:W3CDTF">2025-05-20T13:23:05Z</dcterms:modified>
  <cp:category/>
  <cp:contentStatus/>
</cp:coreProperties>
</file>