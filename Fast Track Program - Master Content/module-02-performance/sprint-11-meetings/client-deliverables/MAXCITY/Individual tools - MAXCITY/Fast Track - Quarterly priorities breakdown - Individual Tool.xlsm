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0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kol/Downloads/"/>
    </mc:Choice>
  </mc:AlternateContent>
  <xr:revisionPtr revIDLastSave="256" documentId="13_ncr:1_{8DEAD7EC-5E29-664F-A53A-2B5DC7A42B49}" xr6:coauthVersionLast="47" xr6:coauthVersionMax="47" xr10:uidLastSave="{75AB5B92-20BD-4B2E-A452-95A15E1C257A}"/>
  <bookViews>
    <workbookView xWindow="4900" yWindow="680" windowWidth="27760" windowHeight="25120" tabRatio="850" xr2:uid="{3C06AEC8-527E-4A36-9072-29D6B125EDAB}"/>
  </bookViews>
  <sheets>
    <sheet name="Q4 PRIORITIES BREAKDOWN" sheetId="68" r:id="rId1"/>
  </sheets>
  <definedNames>
    <definedName name="StartDate" localSheetId="0">#REF!</definedName>
    <definedName name="StartDate">#REF!</definedName>
    <definedName name="WeekStart" localSheetId="0">#REF!</definedName>
    <definedName name="WeekStar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68" l="1"/>
  <c r="F17" i="68"/>
  <c r="F16" i="68"/>
  <c r="F15" i="68"/>
  <c r="AC41" i="68"/>
  <c r="AC42" i="68"/>
  <c r="AC43" i="68"/>
  <c r="AC44" i="68"/>
  <c r="AC45" i="68"/>
  <c r="AC46" i="68"/>
  <c r="AC47" i="68"/>
  <c r="AB73" i="68"/>
  <c r="AA73" i="68"/>
  <c r="Z73" i="68"/>
  <c r="Y73" i="68"/>
  <c r="I40" i="68"/>
  <c r="AC21" i="68"/>
  <c r="AC20" i="68"/>
  <c r="AC19" i="68"/>
  <c r="AC18" i="68"/>
  <c r="AC17" i="68"/>
  <c r="AC16" i="68"/>
  <c r="AC15" i="68"/>
  <c r="AC14" i="68"/>
  <c r="AC13" i="68"/>
  <c r="AC12" i="68"/>
  <c r="AC11" i="68"/>
  <c r="AC10" i="68"/>
  <c r="AC9" i="68"/>
  <c r="AC8" i="68"/>
  <c r="AC7" i="68"/>
  <c r="AC6" i="68"/>
  <c r="AC38" i="68"/>
  <c r="AC37" i="68"/>
  <c r="AC36" i="68"/>
  <c r="AC35" i="68"/>
  <c r="AC34" i="68"/>
  <c r="AC33" i="68"/>
  <c r="AC32" i="68"/>
  <c r="AC31" i="68"/>
  <c r="AC30" i="68"/>
  <c r="AC29" i="68"/>
  <c r="AC28" i="68"/>
  <c r="AC27" i="68"/>
  <c r="AC26" i="68"/>
  <c r="AC25" i="68"/>
  <c r="J40" i="68"/>
  <c r="J81" i="68"/>
  <c r="J74" i="68"/>
  <c r="AA74" i="68" s="1"/>
  <c r="X73" i="68"/>
  <c r="W73" i="68"/>
  <c r="V73" i="68"/>
  <c r="U73" i="68"/>
  <c r="T73" i="68"/>
  <c r="S73" i="68"/>
  <c r="R73" i="68"/>
  <c r="Q73" i="68"/>
  <c r="P73" i="68"/>
  <c r="O73" i="68"/>
  <c r="N73" i="68"/>
  <c r="M73" i="68"/>
  <c r="L73" i="68"/>
  <c r="AC70" i="68"/>
  <c r="AC69" i="68"/>
  <c r="AC68" i="68"/>
  <c r="AC67" i="68"/>
  <c r="AC66" i="68"/>
  <c r="AC65" i="68"/>
  <c r="J64" i="68"/>
  <c r="AC62" i="68"/>
  <c r="AC61" i="68"/>
  <c r="AC60" i="68"/>
  <c r="AC59" i="68"/>
  <c r="AC58" i="68"/>
  <c r="AC57" i="68"/>
  <c r="AC56" i="68"/>
  <c r="AC55" i="68"/>
  <c r="AC54" i="68"/>
  <c r="AC53" i="68"/>
  <c r="J52" i="68"/>
  <c r="I52" i="68"/>
  <c r="AC50" i="68"/>
  <c r="AC49" i="68"/>
  <c r="AC48" i="68"/>
  <c r="AC24" i="68"/>
  <c r="J23" i="68"/>
  <c r="J5" i="68"/>
  <c r="J73" i="68" l="1"/>
  <c r="AA76" i="68"/>
  <c r="Y74" i="68"/>
  <c r="Y76" i="68" s="1"/>
  <c r="AB74" i="68"/>
  <c r="Z74" i="68"/>
  <c r="Z76" i="68"/>
  <c r="AB76" i="68"/>
  <c r="S74" i="68"/>
  <c r="S76" i="68" s="1"/>
  <c r="X74" i="68"/>
  <c r="X76" i="68" s="1"/>
  <c r="V74" i="68"/>
  <c r="V76" i="68" s="1"/>
  <c r="T74" i="68"/>
  <c r="T76" i="68" s="1"/>
  <c r="R74" i="68"/>
  <c r="R76" i="68" s="1"/>
  <c r="P74" i="68"/>
  <c r="P76" i="68" s="1"/>
  <c r="N74" i="68"/>
  <c r="N76" i="68" s="1"/>
  <c r="L74" i="68"/>
  <c r="L76" i="68" s="1"/>
  <c r="M74" i="68"/>
  <c r="M76" i="68" s="1"/>
  <c r="U74" i="68"/>
  <c r="U76" i="68" s="1"/>
  <c r="O74" i="68"/>
  <c r="O76" i="68" s="1"/>
  <c r="W74" i="68"/>
  <c r="W76" i="68" s="1"/>
  <c r="Q74" i="68"/>
  <c r="Q76" i="68" s="1"/>
  <c r="J76" i="68" l="1"/>
  <c r="J77" i="68" s="1"/>
</calcChain>
</file>

<file path=xl/sharedStrings.xml><?xml version="1.0" encoding="utf-8"?>
<sst xmlns="http://schemas.openxmlformats.org/spreadsheetml/2006/main" count="162" uniqueCount="57">
  <si>
    <t xml:space="preserve">Q1 INDIVIDUAL PRIORITIES </t>
  </si>
  <si>
    <t>DEC</t>
  </si>
  <si>
    <t>JAN</t>
  </si>
  <si>
    <t>FEB</t>
  </si>
  <si>
    <t>MAR</t>
  </si>
  <si>
    <t>W49</t>
  </si>
  <si>
    <t>W50</t>
  </si>
  <si>
    <t>W51</t>
  </si>
  <si>
    <t>W52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</si>
  <si>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</si>
  <si>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</si>
  <si>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</si>
  <si>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</si>
  <si>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</si>
  <si>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</si>
  <si>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</si>
  <si>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</si>
  <si>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</si>
  <si>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</si>
  <si>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</si>
  <si>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</si>
  <si>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</si>
  <si>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 xml:space="preserve"> </t>
  </si>
  <si>
    <t>2025 company priorities</t>
  </si>
  <si>
    <t>Exit lane of land 8A13</t>
  </si>
  <si>
    <t>Kick start construction of 66 apartment units at Montebello</t>
  </si>
  <si>
    <t>Liaise RDA</t>
  </si>
  <si>
    <t> </t>
  </si>
  <si>
    <t>Remove Non Resident shareholders in GBLS share structure</t>
  </si>
  <si>
    <t>Planning</t>
  </si>
  <si>
    <t>Implement La Salette 4A project</t>
  </si>
  <si>
    <t>Execution</t>
  </si>
  <si>
    <t>Get BLP 2 approval from MPL</t>
  </si>
  <si>
    <t>Task 4</t>
  </si>
  <si>
    <t>Get approval of EDB for RDSL Serviced land</t>
  </si>
  <si>
    <t>Task 5</t>
  </si>
  <si>
    <t>Ensure EIA application is lodged for La Salette FG2</t>
  </si>
  <si>
    <t>Task 6</t>
  </si>
  <si>
    <t>Ensure The Deck project is feasible</t>
  </si>
  <si>
    <t>Task 7</t>
  </si>
  <si>
    <t>Q1 Company priorities</t>
  </si>
  <si>
    <t>Q1 Individual  priorities</t>
  </si>
  <si>
    <t>Get EDB letter of Smart City section 8 (a) (b)</t>
  </si>
  <si>
    <t>Call Shabina to get letter of compliance.</t>
  </si>
  <si>
    <t>Task 2</t>
  </si>
  <si>
    <t>Task 3</t>
  </si>
  <si>
    <t>Chase Shabina to liaise with relevant Authorities</t>
  </si>
  <si>
    <t>Follow up with sales team MJ &amp; PM</t>
  </si>
  <si>
    <t>Follow up with D&amp;A for close tender ith CJI</t>
  </si>
  <si>
    <t xml:space="preserve">TOTAL </t>
  </si>
  <si>
    <t>Total time needed</t>
  </si>
  <si>
    <t>Time available per week</t>
  </si>
  <si>
    <t>Total time available for the Q</t>
  </si>
  <si>
    <t>Gap</t>
  </si>
  <si>
    <t>weeks</t>
  </si>
  <si>
    <t>hours per day</t>
  </si>
  <si>
    <t>days per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</si>
</sst>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0"/>
      <name val="Calibri"/>
      <family val="2"/>
    </font>
    <font>
      <sz val="16"/>
      <color theme="1"/>
      <name val="Calibri"/>
      <family val="2"/>
    </font>
    <font>
      <i/>
      <sz val="8"/>
      <color theme="1"/>
      <name val="Calibri"/>
      <family val="2"/>
    </font>
    <font>
      <sz val="10"/>
      <color theme="1"/>
      <name val="Calibri"/>
      <family val="2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</font>
    <font>
      <sz val="14"/>
      <color theme="0"/>
      <name val="Calibri"/>
      <family val="2"/>
    </font>
    <font>
      <sz val="11"/>
      <color theme="0"/>
      <name val="Calibri (Body)"/>
    </font>
    <font>
      <sz val="11"/>
      <color theme="0"/>
      <name val="Calibri"/>
      <family val="2"/>
    </font>
    <font>
      <sz val="11"/>
      <color theme="1"/>
      <name val="Calibri (Body)"/>
    </font>
    <font>
      <sz val="10"/>
      <color theme="1"/>
      <name val="Calibri (Body)"/>
    </font>
    <font>
      <sz val="10"/>
      <color theme="0"/>
      <name val="Calibri (Body)"/>
    </font>
    <font>
      <b/>
      <sz val="14"/>
      <color theme="1"/>
      <name val="Calibri"/>
      <family val="2"/>
    </font>
    <font>
      <b/>
      <sz val="12"/>
      <color theme="0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b/>
      <sz val="8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0"/>
      <name val="Calibri"/>
      <family val="2"/>
    </font>
    <font>
      <sz val="12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8">
    <xf numFmtId="0" fontId="0" fillId="0" borderId="0"/>
    <xf numFmtId="0" fontId="2" fillId="0" borderId="0"/>
    <xf numFmtId="0" fontId="4" fillId="0" borderId="0"/>
    <xf numFmtId="0" fontId="1" fillId="0" borderId="0"/>
    <xf numFmtId="0" fontId="1" fillId="0" borderId="0"/>
    <xf numFmtId="0" fontId="1" fillId="0" borderId="0">
      <alignment vertical="center"/>
    </xf>
    <xf numFmtId="0" fontId="4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2" borderId="0" xfId="0" applyFill="1"/>
    <xf numFmtId="0" fontId="0" fillId="5" borderId="0" xfId="0" applyFill="1"/>
    <xf numFmtId="0" fontId="8" fillId="5" borderId="0" xfId="0" applyFont="1" applyFill="1"/>
    <xf numFmtId="0" fontId="0" fillId="5" borderId="0" xfId="0" applyFill="1" applyAlignment="1">
      <alignment vertical="center"/>
    </xf>
    <xf numFmtId="0" fontId="6" fillId="5" borderId="0" xfId="0" applyFont="1" applyFill="1"/>
    <xf numFmtId="0" fontId="10" fillId="2" borderId="1" xfId="0" applyFont="1" applyFill="1" applyBorder="1"/>
    <xf numFmtId="3" fontId="10" fillId="2" borderId="1" xfId="0" applyNumberFormat="1" applyFont="1" applyFill="1" applyBorder="1"/>
    <xf numFmtId="0" fontId="10" fillId="2" borderId="1" xfId="0" applyFont="1" applyFill="1" applyBorder="1" applyAlignment="1">
      <alignment horizontal="right"/>
    </xf>
    <xf numFmtId="0" fontId="11" fillId="5" borderId="0" xfId="0" applyFont="1" applyFill="1" applyAlignment="1">
      <alignment horizontal="right"/>
    </xf>
    <xf numFmtId="3" fontId="6" fillId="5" borderId="0" xfId="0" applyNumberFormat="1" applyFont="1" applyFill="1"/>
    <xf numFmtId="0" fontId="6" fillId="5" borderId="0" xfId="0" applyFont="1" applyFill="1" applyAlignment="1">
      <alignment horizontal="right"/>
    </xf>
    <xf numFmtId="0" fontId="12" fillId="5" borderId="0" xfId="0" applyFont="1" applyFill="1"/>
    <xf numFmtId="0" fontId="13" fillId="3" borderId="1" xfId="0" applyFont="1" applyFill="1" applyBorder="1" applyAlignment="1">
      <alignment horizontal="center"/>
    </xf>
    <xf numFmtId="0" fontId="9" fillId="2" borderId="4" xfId="0" applyFont="1" applyFill="1" applyBorder="1"/>
    <xf numFmtId="0" fontId="14" fillId="2" borderId="0" xfId="0" applyFont="1" applyFill="1"/>
    <xf numFmtId="0" fontId="15" fillId="2" borderId="12" xfId="0" applyFont="1" applyFill="1" applyBorder="1" applyAlignment="1">
      <alignment horizontal="left" wrapText="1"/>
    </xf>
    <xf numFmtId="0" fontId="16" fillId="2" borderId="1" xfId="0" applyFont="1" applyFill="1" applyBorder="1"/>
    <xf numFmtId="3" fontId="17" fillId="2" borderId="1" xfId="0" applyNumberFormat="1" applyFont="1" applyFill="1" applyBorder="1"/>
    <xf numFmtId="0" fontId="18" fillId="2" borderId="0" xfId="0" applyFont="1" applyFill="1"/>
    <xf numFmtId="0" fontId="3" fillId="2" borderId="4" xfId="0" applyFont="1" applyFill="1" applyBorder="1"/>
    <xf numFmtId="0" fontId="0" fillId="5" borderId="2" xfId="0" applyFill="1" applyBorder="1" applyAlignment="1">
      <alignment horizontal="left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3" fontId="19" fillId="4" borderId="7" xfId="0" applyNumberFormat="1" applyFont="1" applyFill="1" applyBorder="1"/>
    <xf numFmtId="0" fontId="20" fillId="5" borderId="0" xfId="0" applyFont="1" applyFill="1" applyAlignment="1">
      <alignment horizontal="right"/>
    </xf>
    <xf numFmtId="3" fontId="12" fillId="5" borderId="0" xfId="0" applyNumberFormat="1" applyFont="1" applyFill="1"/>
    <xf numFmtId="0" fontId="20" fillId="5" borderId="6" xfId="0" applyFont="1" applyFill="1" applyBorder="1" applyAlignment="1">
      <alignment horizontal="right"/>
    </xf>
    <xf numFmtId="0" fontId="3" fillId="2" borderId="5" xfId="0" applyFont="1" applyFill="1" applyBorder="1"/>
    <xf numFmtId="0" fontId="0" fillId="2" borderId="1" xfId="0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20" fillId="5" borderId="6" xfId="0" applyFont="1" applyFill="1" applyBorder="1" applyAlignment="1">
      <alignment horizontal="right" vertical="center"/>
    </xf>
    <xf numFmtId="0" fontId="3" fillId="2" borderId="1" xfId="0" applyFont="1" applyFill="1" applyBorder="1"/>
    <xf numFmtId="0" fontId="0" fillId="5" borderId="1" xfId="0" applyFill="1" applyBorder="1"/>
    <xf numFmtId="0" fontId="11" fillId="5" borderId="0" xfId="0" applyFont="1" applyFill="1"/>
    <xf numFmtId="3" fontId="19" fillId="5" borderId="0" xfId="0" applyNumberFormat="1" applyFont="1" applyFill="1"/>
    <xf numFmtId="0" fontId="21" fillId="2" borderId="1" xfId="0" applyFont="1" applyFill="1" applyBorder="1" applyAlignment="1">
      <alignment horizontal="right"/>
    </xf>
    <xf numFmtId="0" fontId="18" fillId="2" borderId="1" xfId="0" applyFont="1" applyFill="1" applyBorder="1"/>
    <xf numFmtId="0" fontId="7" fillId="5" borderId="1" xfId="0" applyFont="1" applyFill="1" applyBorder="1" applyAlignment="1">
      <alignment horizontal="left" vertical="center" wrapText="1" indent="1"/>
    </xf>
    <xf numFmtId="0" fontId="22" fillId="5" borderId="0" xfId="0" applyFont="1" applyFill="1" applyAlignment="1">
      <alignment horizontal="left" vertical="center" indent="1"/>
    </xf>
    <xf numFmtId="0" fontId="21" fillId="2" borderId="0" xfId="0" applyFont="1" applyFill="1" applyAlignment="1">
      <alignment horizontal="right"/>
    </xf>
    <xf numFmtId="0" fontId="20" fillId="5" borderId="8" xfId="0" applyFont="1" applyFill="1" applyBorder="1" applyAlignment="1">
      <alignment horizontal="right"/>
    </xf>
    <xf numFmtId="3" fontId="12" fillId="5" borderId="0" xfId="0" applyNumberFormat="1" applyFont="1" applyFill="1" applyAlignment="1">
      <alignment horizontal="right"/>
    </xf>
    <xf numFmtId="0" fontId="23" fillId="2" borderId="1" xfId="0" applyFont="1" applyFill="1" applyBorder="1"/>
    <xf numFmtId="3" fontId="18" fillId="2" borderId="1" xfId="0" applyNumberFormat="1" applyFont="1" applyFill="1" applyBorder="1"/>
    <xf numFmtId="0" fontId="6" fillId="5" borderId="0" xfId="0" applyFont="1" applyFill="1" applyAlignment="1">
      <alignment horizontal="right" indent="1"/>
    </xf>
    <xf numFmtId="3" fontId="24" fillId="5" borderId="7" xfId="0" applyNumberFormat="1" applyFont="1" applyFill="1" applyBorder="1"/>
    <xf numFmtId="0" fontId="24" fillId="5" borderId="0" xfId="0" applyFont="1" applyFill="1" applyAlignment="1">
      <alignment horizontal="right"/>
    </xf>
    <xf numFmtId="0" fontId="24" fillId="5" borderId="0" xfId="0" applyFont="1" applyFill="1"/>
    <xf numFmtId="9" fontId="24" fillId="4" borderId="0" xfId="7" applyFont="1" applyFill="1"/>
    <xf numFmtId="0" fontId="26" fillId="0" borderId="6" xfId="0" applyFont="1" applyBorder="1"/>
    <xf numFmtId="0" fontId="26" fillId="5" borderId="6" xfId="0" applyFont="1" applyFill="1" applyBorder="1"/>
    <xf numFmtId="3" fontId="27" fillId="0" borderId="6" xfId="0" applyNumberFormat="1" applyFont="1" applyBorder="1"/>
    <xf numFmtId="0" fontId="6" fillId="4" borderId="0" xfId="0" applyFont="1" applyFill="1"/>
    <xf numFmtId="0" fontId="28" fillId="2" borderId="0" xfId="0" applyFont="1" applyFill="1"/>
    <xf numFmtId="0" fontId="30" fillId="7" borderId="11" xfId="0" applyFont="1" applyFill="1" applyBorder="1"/>
    <xf numFmtId="0" fontId="30" fillId="6" borderId="0" xfId="0" applyFont="1" applyFill="1"/>
    <xf numFmtId="0" fontId="31" fillId="6" borderId="0" xfId="0" applyFont="1" applyFill="1"/>
    <xf numFmtId="0" fontId="29" fillId="6" borderId="13" xfId="0" applyFont="1" applyFill="1" applyBorder="1" applyAlignment="1">
      <alignment wrapText="1"/>
    </xf>
    <xf numFmtId="0" fontId="31" fillId="6" borderId="10" xfId="0" applyFont="1" applyFill="1" applyBorder="1"/>
    <xf numFmtId="0" fontId="31" fillId="6" borderId="9" xfId="0" applyFont="1" applyFill="1" applyBorder="1"/>
    <xf numFmtId="2" fontId="13" fillId="3" borderId="1" xfId="0" applyNumberFormat="1" applyFont="1" applyFill="1" applyBorder="1" applyAlignment="1">
      <alignment horizontal="center"/>
    </xf>
    <xf numFmtId="3" fontId="25" fillId="8" borderId="1" xfId="0" applyNumberFormat="1" applyFont="1" applyFill="1" applyBorder="1"/>
    <xf numFmtId="1" fontId="18" fillId="2" borderId="0" xfId="0" applyNumberFormat="1" applyFont="1" applyFill="1"/>
    <xf numFmtId="0" fontId="32" fillId="5" borderId="1" xfId="0" applyFont="1" applyFill="1" applyBorder="1" applyAlignment="1">
      <alignment horizontal="left" vertical="center" wrapText="1" indent="1"/>
    </xf>
    <xf numFmtId="0" fontId="33" fillId="5" borderId="1" xfId="0" applyFont="1" applyFill="1" applyBorder="1" applyAlignment="1">
      <alignment horizontal="left" vertical="center" wrapText="1" indent="1"/>
    </xf>
    <xf numFmtId="0" fontId="34" fillId="5" borderId="1" xfId="0" applyFont="1" applyFill="1" applyBorder="1" applyAlignment="1">
      <alignment horizontal="left" vertical="center" wrapText="1" indent="1"/>
    </xf>
    <xf numFmtId="0" fontId="6" fillId="5" borderId="1" xfId="0" applyFont="1" applyFill="1" applyBorder="1" applyAlignment="1">
      <alignment horizontal="center"/>
    </xf>
    <xf numFmtId="0" fontId="35" fillId="5" borderId="1" xfId="0" applyFont="1" applyFill="1" applyBorder="1"/>
    <xf numFmtId="0" fontId="35" fillId="5" borderId="2" xfId="0" applyFont="1" applyFill="1" applyBorder="1" applyAlignment="1">
      <alignment horizontal="left"/>
    </xf>
  </cellXfs>
  <cellStyles count="8">
    <cellStyle name="Normal" xfId="0" builtinId="0"/>
    <cellStyle name="Normal 2" xfId="1" xr:uid="{0C4EC33C-A9DB-4973-B400-AA815024B5FC}"/>
    <cellStyle name="Normal 2 2" xfId="5" xr:uid="{6507D958-06FE-435E-B098-981FDAA7240B}"/>
    <cellStyle name="Normal 4" xfId="3" xr:uid="{10191A6D-87D2-41F8-A864-70D3993E8DCD}"/>
    <cellStyle name="Normal 5" xfId="2" xr:uid="{41AA8908-9C7F-4A28-9334-B409FD088189}"/>
    <cellStyle name="Normal 5 2" xfId="6" xr:uid="{8D150C58-7455-48A2-84B7-F3F504557F59}"/>
    <cellStyle name="Normal 5 5" xfId="4" xr:uid="{66D515E7-2185-447C-A789-82A15F0C1783}"/>
    <cellStyle name="Percent 2" xfId="7" xr:uid="{7BFD27BB-F6B4-6748-A011-BF372A4494BA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border>
        <bottom style="thin">
          <color theme="5"/>
        </bottom>
        <vertical/>
        <horizontal/>
      </border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color theme="0"/>
      </font>
      <fill>
        <patternFill>
          <bgColor theme="1"/>
        </patternFill>
      </fill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auto="1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4"/>
        </bottom>
        <vertical/>
        <horizontal/>
      </border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6" defaultTableStyle="TableStyleMedium2" defaultPivotStyle="PivotStyleLight16">
    <tableStyle name="Custom slicer" pivot="0" table="0" count="10" xr9:uid="{ED3F5085-E84D-40D2-8659-7E3611A2E7AE}">
      <tableStyleElement type="wholeTable" dxfId="15"/>
      <tableStyleElement type="headerRow" dxfId="14"/>
    </tableStyle>
    <tableStyle name="SlicerStyleDark1 2" pivot="0" table="0" count="2" xr9:uid="{9C7C44DC-4410-4C19-B58F-7C3CE70DA5EF}">
      <tableStyleElement type="wholeTable" dxfId="13"/>
      <tableStyleElement type="headerRow" dxfId="12"/>
    </tableStyle>
    <tableStyle name="Custom Style" pivot="0" table="0" count="2" xr9:uid="{3761DCD3-AC13-424C-AF35-48A9CD5BBEDB}">
      <tableStyleElement type="wholeTable" dxfId="11"/>
      <tableStyleElement type="headerRow" dxfId="10"/>
    </tableStyle>
    <tableStyle name="SlicerStyleDark3 2" pivot="0" table="0" count="2" xr9:uid="{54876AB4-DE99-422E-B412-5358EA43843F}">
      <tableStyleElement type="wholeTable" dxfId="9"/>
      <tableStyleElement type="headerRow" dxfId="8"/>
    </tableStyle>
    <tableStyle name="SlicerStyleLight1 2" pivot="0" table="0" count="2" xr9:uid="{9E4FD8C4-3460-47E2-BD24-C482EE494123}">
      <tableStyleElement type="wholeTable" dxfId="7"/>
      <tableStyleElement type="headerRow" dxfId="6"/>
    </tableStyle>
    <tableStyle name="SlicerStyleLight2 2" pivot="0" table="0" count="2" xr9:uid="{B2239D44-0B99-4208-BEB3-001F7BC5D2B8}">
      <tableStyleElement type="wholeTable" dxfId="5"/>
      <tableStyleElement type="headerRow" dxfId="4"/>
    </tableStyle>
  </tableStyles>
  <colors>
    <mruColors>
      <color rgb="FFC6E0B4"/>
      <color rgb="FFFFFFFF"/>
      <color rgb="FFFF9999"/>
      <color rgb="FFDDEBF7"/>
      <color rgb="FFFFF469"/>
      <color rgb="FF997300"/>
      <color rgb="FFFF66CC"/>
      <color rgb="FFFFCCCC"/>
      <color rgb="FFA50021"/>
      <color rgb="FF843C0C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auto="1"/>
          </font>
          <fill>
            <patternFill patternType="solid">
              <fgColor auto="1"/>
              <bgColor rgb="FFFFF46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auto="1"/>
          </font>
          <fill>
            <patternFill patternType="solid">
              <fgColor auto="1"/>
              <bgColor rgb="FFFFF46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FFFFFF"/>
              <bgColor theme="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Custom 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ECD-A5F3-A64F-B3E3-0949AC09324A}">
  <dimension ref="B1:AM81"/>
  <sheetViews>
    <sheetView tabSelected="1" zoomScale="75" zoomScaleNormal="80" workbookViewId="0">
      <selection activeCell="AB65" sqref="AB65"/>
    </sheetView>
  </sheetViews>
  <sheetFormatPr defaultColWidth="9.140625" defaultRowHeight="15"/>
  <cols>
    <col min="1" max="1" width="2.85546875" style="5" customWidth="1"/>
    <col min="2" max="2" width="2.140625" style="5" bestFit="1" customWidth="1"/>
    <col min="3" max="3" width="29.28515625" style="5" customWidth="1"/>
    <col min="4" max="4" width="2.140625" style="5" customWidth="1"/>
    <col min="5" max="5" width="2.140625" style="5" bestFit="1" customWidth="1"/>
    <col min="6" max="6" width="51.42578125" style="5" customWidth="1"/>
    <col min="7" max="7" width="4.42578125" style="5" customWidth="1"/>
    <col min="8" max="8" width="2.85546875" style="5" customWidth="1"/>
    <col min="9" max="9" width="56.85546875" style="5" customWidth="1"/>
    <col min="10" max="10" width="5.85546875" style="5" customWidth="1"/>
    <col min="11" max="11" width="3" style="11" customWidth="1"/>
    <col min="12" max="15" width="4.28515625" style="5" bestFit="1" customWidth="1"/>
    <col min="16" max="28" width="4.28515625" style="5" customWidth="1"/>
    <col min="29" max="29" width="8" style="5" customWidth="1"/>
    <col min="30" max="30" width="14.140625" style="5" customWidth="1"/>
    <col min="31" max="31" width="3.85546875" style="5" customWidth="1"/>
    <col min="32" max="32" width="39.140625" style="5" bestFit="1" customWidth="1"/>
    <col min="33" max="33" width="43.85546875" style="5" bestFit="1" customWidth="1"/>
    <col min="34" max="34" width="10.7109375" style="5" customWidth="1"/>
    <col min="35" max="35" width="5.42578125" style="11" bestFit="1" customWidth="1"/>
    <col min="36" max="36" width="70.140625" style="5" customWidth="1"/>
    <col min="37" max="37" width="6" style="5" customWidth="1"/>
    <col min="38" max="38" width="5.42578125" style="11" bestFit="1" customWidth="1"/>
    <col min="39" max="39" width="80.140625" style="5" customWidth="1"/>
    <col min="40" max="16384" width="9.140625" style="5"/>
  </cols>
  <sheetData>
    <row r="1" spans="2:39" ht="14.45" customHeight="1"/>
    <row r="2" spans="2:39" ht="26.1" customHeight="1">
      <c r="I2" s="6" t="s">
        <v>0</v>
      </c>
      <c r="J2" s="7"/>
      <c r="K2" s="8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E2" s="9"/>
      <c r="AF2" s="9"/>
      <c r="AG2" s="9"/>
      <c r="AH2" s="9"/>
      <c r="AI2" s="9"/>
      <c r="AJ2" s="9"/>
      <c r="AK2" s="9"/>
      <c r="AL2" s="9"/>
      <c r="AM2" s="9"/>
    </row>
    <row r="3" spans="2:39" ht="21">
      <c r="J3" s="10"/>
      <c r="L3" s="68" t="s">
        <v>1</v>
      </c>
      <c r="M3" s="68"/>
      <c r="N3" s="68"/>
      <c r="O3" s="68"/>
      <c r="P3" s="68" t="s">
        <v>2</v>
      </c>
      <c r="Q3" s="68"/>
      <c r="R3" s="68"/>
      <c r="S3" s="68"/>
      <c r="T3" s="68"/>
      <c r="U3" s="68" t="s">
        <v>3</v>
      </c>
      <c r="V3" s="68"/>
      <c r="W3" s="68"/>
      <c r="X3" s="68"/>
      <c r="Y3" s="68" t="s">
        <v>4</v>
      </c>
      <c r="Z3" s="68"/>
      <c r="AA3" s="68"/>
      <c r="AB3" s="68"/>
      <c r="AC3" s="12"/>
      <c r="AE3" s="9"/>
      <c r="AF3" s="9"/>
      <c r="AG3" s="9"/>
      <c r="AH3" s="9"/>
      <c r="AI3" s="9"/>
      <c r="AJ3" s="9"/>
      <c r="AK3" s="9"/>
      <c r="AL3" s="9"/>
      <c r="AM3" s="9"/>
    </row>
    <row r="4" spans="2:39" ht="21.6" customHeight="1">
      <c r="J4" s="10"/>
      <c r="L4" s="13" t="s">
        <v>5</v>
      </c>
      <c r="M4" s="13" t="s">
        <v>6</v>
      </c>
      <c r="N4" s="13" t="s">
        <v>7</v>
      </c>
      <c r="O4" s="13" t="s">
        <v>8</v>
      </c>
      <c r="P4" s="13" t="s">
        <v>9</v>
      </c>
      <c r="Q4" s="13" t="s">
        <v>10</v>
      </c>
      <c r="R4" s="13" t="s">
        <v>11</v>
      </c>
      <c r="S4" s="13" t="s">
        <v>12</v>
      </c>
      <c r="T4" s="13" t="s">
        <v>13</v>
      </c>
      <c r="U4" s="13" t="s">
        <v>14</v>
      </c>
      <c r="V4" s="13" t="s">
        <v>15</v>
      </c>
      <c r="W4" s="13" t="s">
        <v>16</v>
      </c>
      <c r="X4" s="13" t="s">
        <v>17</v>
      </c>
      <c r="Y4" s="13" t="s">
        <v>18</v>
      </c>
      <c r="Z4" s="13" t="s">
        <v>19</v>
      </c>
      <c r="AA4" s="13" t="s">
        <v>20</v>
      </c>
      <c r="AB4" s="13" t="s">
        <v>21</v>
      </c>
      <c r="AC4" s="12" t="s">
        <v>22</v>
      </c>
      <c r="AE4" s="9"/>
      <c r="AF4" s="9"/>
      <c r="AG4" s="9"/>
      <c r="AH4" s="9"/>
      <c r="AI4" s="9"/>
      <c r="AJ4" s="9"/>
      <c r="AK4" s="9"/>
      <c r="AL4" s="9"/>
      <c r="AM4" s="9"/>
    </row>
    <row r="5" spans="2:39" ht="21.6" customHeight="1">
      <c r="B5" s="14"/>
      <c r="C5" s="15" t="s">
        <v>23</v>
      </c>
      <c r="D5" s="1"/>
      <c r="E5" s="1"/>
      <c r="F5" s="1"/>
      <c r="H5" s="16">
        <v>1</v>
      </c>
      <c r="I5" s="69" t="s">
        <v>24</v>
      </c>
      <c r="J5" s="18">
        <f>SUM(J6:J21)</f>
        <v>0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E5" s="9"/>
      <c r="AF5" s="9"/>
      <c r="AG5" s="9"/>
      <c r="AH5" s="9"/>
      <c r="AI5" s="9"/>
      <c r="AJ5" s="9"/>
      <c r="AK5" s="9"/>
      <c r="AL5" s="9"/>
      <c r="AM5" s="9"/>
    </row>
    <row r="6" spans="2:39" ht="17.100000000000001" customHeight="1">
      <c r="B6" s="20">
        <v>1</v>
      </c>
      <c r="C6" s="21" t="s">
        <v>25</v>
      </c>
      <c r="D6" s="22"/>
      <c r="E6" s="22"/>
      <c r="F6" s="23"/>
      <c r="I6" s="39" t="s">
        <v>26</v>
      </c>
      <c r="J6" s="56">
        <v>0</v>
      </c>
      <c r="K6" s="57" t="s">
        <v>27</v>
      </c>
      <c r="L6" s="58" t="s">
        <v>27</v>
      </c>
      <c r="M6" s="58" t="s">
        <v>27</v>
      </c>
      <c r="N6" s="58"/>
      <c r="O6" s="58"/>
      <c r="P6" s="25"/>
      <c r="Q6" s="25"/>
      <c r="R6" s="25"/>
      <c r="S6" s="25"/>
      <c r="T6" s="25"/>
      <c r="U6" s="25"/>
      <c r="V6" s="25"/>
      <c r="W6" s="25">
        <v>2</v>
      </c>
      <c r="X6" s="25">
        <v>2</v>
      </c>
      <c r="Y6" s="25">
        <v>2</v>
      </c>
      <c r="Z6" s="25">
        <v>2</v>
      </c>
      <c r="AA6" s="25"/>
      <c r="AB6" s="25"/>
      <c r="AC6" s="26">
        <f t="shared" ref="AC6:AC21" si="0">SUM(L6:AB6)-J6</f>
        <v>8</v>
      </c>
      <c r="AE6" s="9"/>
      <c r="AF6" s="9"/>
      <c r="AG6" s="9"/>
      <c r="AH6" s="9"/>
      <c r="AI6" s="9"/>
      <c r="AJ6" s="9"/>
      <c r="AK6" s="9"/>
      <c r="AL6" s="9"/>
      <c r="AM6" s="9"/>
    </row>
    <row r="7" spans="2:39" ht="17.100000000000001" customHeight="1">
      <c r="B7" s="20">
        <v>2</v>
      </c>
      <c r="C7" s="21" t="s">
        <v>28</v>
      </c>
      <c r="D7" s="22"/>
      <c r="E7" s="22"/>
      <c r="F7" s="23"/>
      <c r="I7" s="39" t="s">
        <v>29</v>
      </c>
      <c r="J7" s="56">
        <v>0</v>
      </c>
      <c r="K7" s="57" t="s">
        <v>27</v>
      </c>
      <c r="L7" s="60" t="s">
        <v>27</v>
      </c>
      <c r="M7" s="60" t="s">
        <v>27</v>
      </c>
      <c r="N7" s="60" t="s">
        <v>27</v>
      </c>
      <c r="O7" s="60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6">
        <f t="shared" si="0"/>
        <v>0</v>
      </c>
      <c r="AE7" s="9"/>
      <c r="AF7" s="9"/>
      <c r="AG7" s="9"/>
      <c r="AH7" s="9"/>
      <c r="AI7" s="9"/>
      <c r="AJ7" s="9"/>
      <c r="AK7" s="9"/>
      <c r="AL7" s="9"/>
      <c r="AM7" s="9"/>
    </row>
    <row r="8" spans="2:39" ht="17.100000000000001" customHeight="1">
      <c r="B8" s="20">
        <v>3</v>
      </c>
      <c r="C8" s="21" t="s">
        <v>30</v>
      </c>
      <c r="D8" s="22"/>
      <c r="E8" s="22"/>
      <c r="F8" s="23"/>
      <c r="I8" s="39" t="s">
        <v>31</v>
      </c>
      <c r="J8" s="56">
        <v>0</v>
      </c>
      <c r="K8" s="57" t="s">
        <v>27</v>
      </c>
      <c r="L8" s="61" t="s">
        <v>27</v>
      </c>
      <c r="M8" s="61" t="s">
        <v>27</v>
      </c>
      <c r="N8" s="61" t="s">
        <v>27</v>
      </c>
      <c r="O8" s="61" t="s">
        <v>27</v>
      </c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6">
        <f t="shared" si="0"/>
        <v>0</v>
      </c>
      <c r="AE8" s="9"/>
      <c r="AF8" s="9"/>
      <c r="AG8" s="9"/>
      <c r="AH8" s="9"/>
      <c r="AI8" s="9"/>
      <c r="AJ8" s="9"/>
      <c r="AK8" s="9"/>
      <c r="AL8" s="9"/>
      <c r="AM8" s="9"/>
    </row>
    <row r="9" spans="2:39" ht="17.100000000000001" customHeight="1">
      <c r="B9" s="20">
        <v>4</v>
      </c>
      <c r="C9" s="21" t="s">
        <v>32</v>
      </c>
      <c r="D9" s="22"/>
      <c r="E9" s="22"/>
      <c r="F9" s="23"/>
      <c r="I9" s="39" t="s">
        <v>33</v>
      </c>
      <c r="J9" s="56">
        <v>0</v>
      </c>
      <c r="K9" s="57" t="s">
        <v>27</v>
      </c>
      <c r="L9" s="61" t="s">
        <v>27</v>
      </c>
      <c r="M9" s="61"/>
      <c r="N9" s="61"/>
      <c r="O9" s="61" t="s">
        <v>27</v>
      </c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6">
        <f t="shared" si="0"/>
        <v>0</v>
      </c>
      <c r="AE9" s="9"/>
      <c r="AF9" s="9"/>
      <c r="AG9" s="9"/>
      <c r="AH9" s="9"/>
      <c r="AI9" s="9"/>
      <c r="AJ9" s="9"/>
      <c r="AK9" s="9"/>
      <c r="AL9" s="9"/>
      <c r="AM9" s="9"/>
    </row>
    <row r="10" spans="2:39" ht="17.100000000000001" customHeight="1">
      <c r="B10" s="20">
        <v>5</v>
      </c>
      <c r="C10" s="21" t="s">
        <v>34</v>
      </c>
      <c r="D10" s="22"/>
      <c r="E10" s="22"/>
      <c r="F10" s="23"/>
      <c r="I10" s="39" t="s">
        <v>35</v>
      </c>
      <c r="J10" s="56">
        <v>0</v>
      </c>
      <c r="K10" s="57" t="s">
        <v>27</v>
      </c>
      <c r="L10" s="61" t="s">
        <v>27</v>
      </c>
      <c r="M10" s="61" t="s">
        <v>27</v>
      </c>
      <c r="N10" s="61" t="s">
        <v>27</v>
      </c>
      <c r="O10" s="61" t="s">
        <v>27</v>
      </c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6">
        <f t="shared" si="0"/>
        <v>0</v>
      </c>
      <c r="AE10" s="9"/>
      <c r="AF10" s="9"/>
      <c r="AG10" s="9"/>
      <c r="AH10" s="9"/>
      <c r="AI10" s="9"/>
      <c r="AJ10" s="9"/>
      <c r="AK10" s="9"/>
      <c r="AL10" s="9"/>
      <c r="AM10" s="9"/>
    </row>
    <row r="11" spans="2:39" ht="17.100000000000001" customHeight="1">
      <c r="B11" s="20">
        <v>6</v>
      </c>
      <c r="C11" s="21" t="s">
        <v>36</v>
      </c>
      <c r="D11" s="22"/>
      <c r="E11" s="22"/>
      <c r="F11" s="23"/>
      <c r="I11" s="39" t="s">
        <v>37</v>
      </c>
      <c r="J11" s="56">
        <v>0</v>
      </c>
      <c r="K11" s="57" t="s">
        <v>27</v>
      </c>
      <c r="L11" s="61" t="s">
        <v>27</v>
      </c>
      <c r="M11" s="61" t="s">
        <v>27</v>
      </c>
      <c r="N11" s="61" t="s">
        <v>27</v>
      </c>
      <c r="O11" s="61" t="s">
        <v>27</v>
      </c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6">
        <f t="shared" si="0"/>
        <v>0</v>
      </c>
      <c r="AE11" s="9"/>
      <c r="AF11" s="9"/>
      <c r="AG11" s="9"/>
      <c r="AH11" s="9"/>
      <c r="AI11" s="9"/>
      <c r="AJ11" s="9"/>
      <c r="AK11" s="9"/>
      <c r="AL11" s="9"/>
      <c r="AM11" s="9"/>
    </row>
    <row r="12" spans="2:39" ht="17.100000000000001" customHeight="1">
      <c r="B12" s="28">
        <v>7</v>
      </c>
      <c r="C12" s="21" t="s">
        <v>38</v>
      </c>
      <c r="D12" s="22"/>
      <c r="E12" s="22"/>
      <c r="F12" s="23"/>
      <c r="I12" s="39" t="s">
        <v>39</v>
      </c>
      <c r="J12" s="56">
        <v>0</v>
      </c>
      <c r="K12" s="57" t="s">
        <v>27</v>
      </c>
      <c r="L12" s="61"/>
      <c r="M12" s="61"/>
      <c r="N12" s="61"/>
      <c r="O12" s="61" t="s">
        <v>27</v>
      </c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6">
        <f t="shared" si="0"/>
        <v>0</v>
      </c>
      <c r="AE12" s="9"/>
      <c r="AF12" s="9"/>
      <c r="AG12" s="9"/>
      <c r="AH12" s="9"/>
      <c r="AI12" s="9"/>
      <c r="AJ12" s="9"/>
      <c r="AK12" s="9"/>
      <c r="AL12" s="9"/>
      <c r="AM12" s="9"/>
    </row>
    <row r="13" spans="2:39" ht="21">
      <c r="B13" s="2"/>
      <c r="C13" s="2"/>
      <c r="D13" s="2"/>
      <c r="E13" s="2"/>
      <c r="F13" s="2"/>
      <c r="I13" s="39"/>
      <c r="J13" s="56"/>
      <c r="K13" s="57" t="s">
        <v>27</v>
      </c>
      <c r="L13" s="61"/>
      <c r="M13" s="61"/>
      <c r="N13" s="61"/>
      <c r="O13" s="61" t="s">
        <v>27</v>
      </c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6">
        <f t="shared" si="0"/>
        <v>0</v>
      </c>
      <c r="AE13" s="9"/>
      <c r="AF13" s="9"/>
      <c r="AG13" s="9"/>
      <c r="AH13" s="9"/>
      <c r="AI13" s="9"/>
      <c r="AJ13" s="9"/>
      <c r="AK13" s="9"/>
      <c r="AL13" s="9"/>
      <c r="AM13" s="9"/>
    </row>
    <row r="14" spans="2:39" s="31" customFormat="1" ht="21">
      <c r="B14" s="29"/>
      <c r="C14" s="30" t="s">
        <v>40</v>
      </c>
      <c r="D14" s="4"/>
      <c r="E14" s="29"/>
      <c r="F14" s="30" t="s">
        <v>41</v>
      </c>
      <c r="I14" s="39"/>
      <c r="J14" s="56"/>
      <c r="K14" s="57" t="s">
        <v>27</v>
      </c>
      <c r="L14" s="61"/>
      <c r="M14" s="61"/>
      <c r="N14" s="61"/>
      <c r="O14" s="61" t="s">
        <v>27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26">
        <f t="shared" si="0"/>
        <v>0</v>
      </c>
      <c r="AE14" s="9"/>
      <c r="AF14" s="9"/>
      <c r="AG14" s="9"/>
      <c r="AH14" s="9"/>
      <c r="AI14" s="9"/>
      <c r="AJ14" s="9"/>
      <c r="AK14" s="9"/>
      <c r="AL14" s="9"/>
      <c r="AM14" s="9"/>
    </row>
    <row r="15" spans="2:39" ht="17.100000000000001" customHeight="1">
      <c r="B15" s="33">
        <v>1</v>
      </c>
      <c r="C15" s="21" t="s">
        <v>28</v>
      </c>
      <c r="D15" s="2"/>
      <c r="E15" s="33">
        <v>1</v>
      </c>
      <c r="F15" s="34" t="str">
        <f>C15</f>
        <v>Remove Non Resident shareholders in GBLS share structure</v>
      </c>
      <c r="I15" s="39"/>
      <c r="J15" s="56"/>
      <c r="K15" s="57" t="s">
        <v>27</v>
      </c>
      <c r="L15" s="61"/>
      <c r="M15" s="61"/>
      <c r="N15" s="61"/>
      <c r="O15" s="61" t="s">
        <v>27</v>
      </c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6">
        <f t="shared" si="0"/>
        <v>0</v>
      </c>
      <c r="AE15" s="9"/>
      <c r="AF15" s="9"/>
      <c r="AG15" s="9"/>
      <c r="AH15" s="9"/>
      <c r="AI15" s="9"/>
      <c r="AJ15" s="9"/>
      <c r="AK15" s="9"/>
      <c r="AL15" s="9"/>
      <c r="AM15" s="9"/>
    </row>
    <row r="16" spans="2:39" ht="17.100000000000001" customHeight="1">
      <c r="B16" s="33">
        <v>2</v>
      </c>
      <c r="C16" s="21" t="s">
        <v>30</v>
      </c>
      <c r="D16" s="2"/>
      <c r="E16" s="33">
        <v>2</v>
      </c>
      <c r="F16" s="34" t="str">
        <f>C16</f>
        <v>Implement La Salette 4A project</v>
      </c>
      <c r="I16" s="39"/>
      <c r="J16" s="56"/>
      <c r="K16" s="57" t="s">
        <v>27</v>
      </c>
      <c r="L16" s="61"/>
      <c r="M16" s="61"/>
      <c r="N16" s="61"/>
      <c r="O16" s="61" t="s">
        <v>27</v>
      </c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6">
        <f t="shared" si="0"/>
        <v>0</v>
      </c>
      <c r="AE16" s="9"/>
      <c r="AF16" s="9"/>
      <c r="AG16" s="9"/>
      <c r="AH16" s="9"/>
      <c r="AI16" s="9"/>
      <c r="AJ16" s="9"/>
      <c r="AK16" s="9"/>
      <c r="AL16" s="9"/>
      <c r="AM16" s="9"/>
    </row>
    <row r="17" spans="2:39" ht="17.100000000000001" customHeight="1">
      <c r="B17" s="33">
        <v>3</v>
      </c>
      <c r="C17" s="21" t="s">
        <v>34</v>
      </c>
      <c r="D17" s="2"/>
      <c r="E17" s="33">
        <v>3</v>
      </c>
      <c r="F17" s="34" t="str">
        <f>C17</f>
        <v>Get approval of EDB for RDSL Serviced land</v>
      </c>
      <c r="I17" s="39"/>
      <c r="J17" s="56"/>
      <c r="K17" s="57" t="s">
        <v>27</v>
      </c>
      <c r="L17" s="61"/>
      <c r="M17" s="61"/>
      <c r="N17" s="61"/>
      <c r="O17" s="61" t="s">
        <v>27</v>
      </c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6">
        <f t="shared" si="0"/>
        <v>0</v>
      </c>
      <c r="AE17" s="9"/>
      <c r="AF17" s="9"/>
      <c r="AG17" s="9"/>
      <c r="AH17" s="9"/>
      <c r="AI17" s="9"/>
      <c r="AJ17" s="9"/>
      <c r="AK17" s="9"/>
      <c r="AL17" s="9"/>
      <c r="AM17" s="9"/>
    </row>
    <row r="18" spans="2:39" ht="17.100000000000001" customHeight="1">
      <c r="B18" s="33">
        <v>4</v>
      </c>
      <c r="C18" s="21" t="s">
        <v>25</v>
      </c>
      <c r="D18" s="2"/>
      <c r="E18" s="33">
        <v>4</v>
      </c>
      <c r="F18" s="34" t="str">
        <f>C18</f>
        <v>Kick start construction of 66 apartment units at Montebello</v>
      </c>
      <c r="I18" s="39"/>
      <c r="J18" s="56"/>
      <c r="K18" s="57" t="s">
        <v>27</v>
      </c>
      <c r="L18" s="61"/>
      <c r="M18" s="61"/>
      <c r="N18" s="61"/>
      <c r="O18" s="61" t="s">
        <v>27</v>
      </c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6">
        <f t="shared" si="0"/>
        <v>0</v>
      </c>
      <c r="AE18" s="35"/>
      <c r="AF18" s="35"/>
      <c r="AG18" s="9"/>
      <c r="AI18" s="5"/>
      <c r="AL18" s="5"/>
    </row>
    <row r="19" spans="2:39" ht="17.100000000000001" customHeight="1">
      <c r="B19" s="33">
        <v>5</v>
      </c>
      <c r="C19" s="21" t="s">
        <v>38</v>
      </c>
      <c r="D19" s="2"/>
      <c r="E19" s="33">
        <v>5</v>
      </c>
      <c r="F19" s="34" t="s">
        <v>24</v>
      </c>
      <c r="I19" s="39"/>
      <c r="J19" s="56"/>
      <c r="K19" s="57" t="s">
        <v>27</v>
      </c>
      <c r="L19" s="61"/>
      <c r="M19" s="61"/>
      <c r="N19" s="61"/>
      <c r="O19" s="61" t="s">
        <v>27</v>
      </c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6">
        <f t="shared" si="0"/>
        <v>0</v>
      </c>
      <c r="AE19" s="35"/>
      <c r="AF19" s="35"/>
      <c r="AG19" s="9"/>
      <c r="AI19" s="5"/>
      <c r="AL19" s="5"/>
    </row>
    <row r="20" spans="2:39" ht="17.100000000000001" customHeight="1">
      <c r="D20" s="2"/>
      <c r="I20" s="39"/>
      <c r="J20" s="56"/>
      <c r="K20" s="57" t="s">
        <v>27</v>
      </c>
      <c r="L20" s="61"/>
      <c r="M20" s="61"/>
      <c r="N20" s="61"/>
      <c r="O20" s="61" t="s">
        <v>27</v>
      </c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6">
        <f t="shared" si="0"/>
        <v>0</v>
      </c>
      <c r="AE20" s="35"/>
      <c r="AF20" s="35"/>
      <c r="AG20" s="9"/>
      <c r="AI20" s="5"/>
      <c r="AL20" s="5"/>
    </row>
    <row r="21" spans="2:39" ht="17.100000000000001" customHeight="1">
      <c r="D21" s="2"/>
      <c r="I21" s="59" t="s">
        <v>27</v>
      </c>
      <c r="J21" s="24"/>
      <c r="K21" s="57" t="s">
        <v>27</v>
      </c>
      <c r="L21" s="61" t="s">
        <v>27</v>
      </c>
      <c r="M21" s="61" t="s">
        <v>27</v>
      </c>
      <c r="N21" s="61" t="s">
        <v>27</v>
      </c>
      <c r="O21" s="61" t="s">
        <v>27</v>
      </c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6">
        <f t="shared" si="0"/>
        <v>0</v>
      </c>
      <c r="AE21" s="35"/>
      <c r="AF21" s="35"/>
      <c r="AG21" s="9"/>
      <c r="AI21" s="5"/>
      <c r="AL21" s="5"/>
    </row>
    <row r="22" spans="2:39">
      <c r="J22" s="36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12"/>
      <c r="AI22" s="5"/>
      <c r="AL22" s="5"/>
    </row>
    <row r="23" spans="2:39" ht="18.95" customHeight="1">
      <c r="H23" s="16">
        <v>2</v>
      </c>
      <c r="I23" s="17" t="s">
        <v>42</v>
      </c>
      <c r="J23" s="18">
        <f>SUM(J24:J38)</f>
        <v>0</v>
      </c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8"/>
      <c r="AI23" s="5"/>
      <c r="AL23" s="5"/>
    </row>
    <row r="24" spans="2:39" ht="18.600000000000001" customHeight="1">
      <c r="I24" s="39" t="s">
        <v>43</v>
      </c>
      <c r="J24" s="56"/>
      <c r="K24" s="57"/>
      <c r="L24" s="60"/>
      <c r="M24" s="60"/>
      <c r="N24" s="60" t="s">
        <v>27</v>
      </c>
      <c r="O24" s="60" t="s">
        <v>27</v>
      </c>
      <c r="P24" s="27"/>
      <c r="Q24" s="27"/>
      <c r="R24" s="27"/>
      <c r="S24" s="27"/>
      <c r="T24" s="27"/>
      <c r="U24" s="27"/>
      <c r="V24" s="27"/>
      <c r="W24" s="27"/>
      <c r="X24" s="27">
        <v>1</v>
      </c>
      <c r="Y24" s="27"/>
      <c r="Z24" s="27"/>
      <c r="AA24" s="27"/>
      <c r="AB24" s="27"/>
      <c r="AC24" s="26">
        <f t="shared" ref="AC24:AC38" si="1">SUM(L24:AB24)-J24</f>
        <v>1</v>
      </c>
      <c r="AJ24" s="40"/>
      <c r="AM24" s="40"/>
    </row>
    <row r="25" spans="2:39" ht="18.600000000000001" customHeight="1">
      <c r="I25" s="39" t="s">
        <v>44</v>
      </c>
      <c r="J25" s="56"/>
      <c r="K25" s="57"/>
      <c r="L25" s="61"/>
      <c r="M25" s="61"/>
      <c r="N25" s="61" t="s">
        <v>27</v>
      </c>
      <c r="O25" s="61" t="s">
        <v>27</v>
      </c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6">
        <f t="shared" si="1"/>
        <v>0</v>
      </c>
      <c r="AJ25" s="40"/>
      <c r="AM25" s="40"/>
    </row>
    <row r="26" spans="2:39" ht="18.600000000000001" customHeight="1">
      <c r="I26" s="39" t="s">
        <v>45</v>
      </c>
      <c r="J26" s="56"/>
      <c r="K26" s="57"/>
      <c r="L26" s="61"/>
      <c r="M26" s="61"/>
      <c r="N26" s="61" t="s">
        <v>27</v>
      </c>
      <c r="O26" s="61" t="s">
        <v>27</v>
      </c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6">
        <f t="shared" si="1"/>
        <v>0</v>
      </c>
      <c r="AJ26" s="40"/>
      <c r="AM26" s="40"/>
    </row>
    <row r="27" spans="2:39" ht="18.600000000000001" customHeight="1">
      <c r="I27" s="39" t="s">
        <v>33</v>
      </c>
      <c r="J27" s="56"/>
      <c r="K27" s="57"/>
      <c r="L27" s="61"/>
      <c r="M27" s="61"/>
      <c r="N27" s="61" t="s">
        <v>27</v>
      </c>
      <c r="O27" s="61" t="s">
        <v>27</v>
      </c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6">
        <f t="shared" si="1"/>
        <v>0</v>
      </c>
      <c r="AJ27" s="40"/>
      <c r="AM27" s="40"/>
    </row>
    <row r="28" spans="2:39" ht="18.600000000000001" customHeight="1">
      <c r="I28" s="39" t="s">
        <v>35</v>
      </c>
      <c r="J28" s="56"/>
      <c r="K28" s="57"/>
      <c r="L28" s="61"/>
      <c r="M28" s="61"/>
      <c r="N28" s="61" t="s">
        <v>27</v>
      </c>
      <c r="O28" s="61" t="s">
        <v>27</v>
      </c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6">
        <f t="shared" si="1"/>
        <v>0</v>
      </c>
      <c r="AJ28" s="40"/>
      <c r="AM28" s="40"/>
    </row>
    <row r="29" spans="2:39" ht="18.600000000000001" customHeight="1">
      <c r="I29" s="39" t="s">
        <v>37</v>
      </c>
      <c r="J29" s="56"/>
      <c r="K29" s="57"/>
      <c r="L29" s="61"/>
      <c r="M29" s="61"/>
      <c r="N29" s="61" t="s">
        <v>27</v>
      </c>
      <c r="O29" s="61" t="s">
        <v>27</v>
      </c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6">
        <f t="shared" si="1"/>
        <v>0</v>
      </c>
      <c r="AJ29" s="40"/>
      <c r="AM29" s="40"/>
    </row>
    <row r="30" spans="2:39" ht="18.600000000000001" customHeight="1">
      <c r="I30" s="39" t="s">
        <v>39</v>
      </c>
      <c r="J30" s="56"/>
      <c r="K30" s="57"/>
      <c r="L30" s="61"/>
      <c r="M30" s="61"/>
      <c r="N30" s="61" t="s">
        <v>27</v>
      </c>
      <c r="O30" s="61" t="s">
        <v>27</v>
      </c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6">
        <f t="shared" si="1"/>
        <v>0</v>
      </c>
      <c r="AJ30" s="40"/>
      <c r="AM30" s="40"/>
    </row>
    <row r="31" spans="2:39" ht="18.600000000000001" customHeight="1">
      <c r="I31" s="39"/>
      <c r="J31" s="56"/>
      <c r="K31" s="57"/>
      <c r="L31" s="61"/>
      <c r="M31" s="61"/>
      <c r="N31" s="61" t="s">
        <v>27</v>
      </c>
      <c r="O31" s="61" t="s">
        <v>27</v>
      </c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6">
        <f t="shared" si="1"/>
        <v>0</v>
      </c>
      <c r="AJ31" s="40"/>
      <c r="AM31" s="40"/>
    </row>
    <row r="32" spans="2:39" ht="18.600000000000001" customHeight="1">
      <c r="I32" s="39"/>
      <c r="J32" s="24"/>
      <c r="K32" s="57"/>
      <c r="L32" s="61"/>
      <c r="M32" s="61"/>
      <c r="N32" s="61" t="s">
        <v>27</v>
      </c>
      <c r="O32" s="61" t="s">
        <v>27</v>
      </c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6">
        <f t="shared" si="1"/>
        <v>0</v>
      </c>
      <c r="AJ32" s="40"/>
      <c r="AM32" s="40"/>
    </row>
    <row r="33" spans="8:39" ht="18.600000000000001" customHeight="1">
      <c r="I33" s="39"/>
      <c r="J33" s="24"/>
      <c r="K33" s="57"/>
      <c r="L33" s="61"/>
      <c r="M33" s="61"/>
      <c r="N33" s="61" t="s">
        <v>27</v>
      </c>
      <c r="O33" s="61" t="s">
        <v>27</v>
      </c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6">
        <f t="shared" si="1"/>
        <v>0</v>
      </c>
      <c r="AJ33" s="40"/>
      <c r="AM33" s="40"/>
    </row>
    <row r="34" spans="8:39" ht="18.600000000000001" customHeight="1">
      <c r="I34" s="39"/>
      <c r="J34" s="24"/>
      <c r="K34" s="57"/>
      <c r="L34" s="61"/>
      <c r="M34" s="61"/>
      <c r="N34" s="61" t="s">
        <v>27</v>
      </c>
      <c r="O34" s="61" t="s">
        <v>27</v>
      </c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6">
        <f t="shared" si="1"/>
        <v>0</v>
      </c>
      <c r="AJ34" s="40"/>
      <c r="AM34" s="40"/>
    </row>
    <row r="35" spans="8:39" ht="18.600000000000001" customHeight="1">
      <c r="I35" s="39"/>
      <c r="J35" s="24"/>
      <c r="K35" s="57"/>
      <c r="L35" s="61"/>
      <c r="M35" s="61"/>
      <c r="N35" s="61" t="s">
        <v>27</v>
      </c>
      <c r="O35" s="61" t="s">
        <v>27</v>
      </c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6">
        <f t="shared" si="1"/>
        <v>0</v>
      </c>
      <c r="AJ35" s="40"/>
      <c r="AM35" s="40"/>
    </row>
    <row r="36" spans="8:39" ht="18.600000000000001" customHeight="1">
      <c r="I36" s="39"/>
      <c r="J36" s="24"/>
      <c r="K36" s="57"/>
      <c r="L36" s="61"/>
      <c r="M36" s="61"/>
      <c r="N36" s="61" t="s">
        <v>27</v>
      </c>
      <c r="O36" s="61" t="s">
        <v>27</v>
      </c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6">
        <f t="shared" si="1"/>
        <v>0</v>
      </c>
      <c r="AJ36" s="40"/>
      <c r="AM36" s="40"/>
    </row>
    <row r="37" spans="8:39" ht="18.600000000000001" customHeight="1">
      <c r="I37" s="39"/>
      <c r="J37" s="24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6">
        <f t="shared" si="1"/>
        <v>0</v>
      </c>
      <c r="AJ37" s="40"/>
      <c r="AM37" s="40"/>
    </row>
    <row r="38" spans="8:39" ht="18.600000000000001" customHeight="1">
      <c r="I38" s="39"/>
      <c r="J38" s="24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6">
        <f t="shared" si="1"/>
        <v>0</v>
      </c>
      <c r="AJ38" s="40"/>
      <c r="AM38" s="40"/>
    </row>
    <row r="39" spans="8:39" ht="23.45" customHeight="1">
      <c r="J39" s="36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12"/>
      <c r="AF39" s="3"/>
    </row>
    <row r="40" spans="8:39" ht="18.600000000000001" customHeight="1">
      <c r="H40" s="16">
        <v>3</v>
      </c>
      <c r="I40" s="17" t="str">
        <f>F17</f>
        <v>Get approval of EDB for RDSL Serviced land</v>
      </c>
      <c r="J40" s="18">
        <f>SUM(J41:J50)</f>
        <v>0</v>
      </c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19"/>
    </row>
    <row r="41" spans="8:39" ht="18.600000000000001" customHeight="1">
      <c r="I41" s="39" t="s">
        <v>46</v>
      </c>
      <c r="J41" s="56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>
        <v>1</v>
      </c>
      <c r="Z41" s="42">
        <v>1</v>
      </c>
      <c r="AA41" s="42">
        <v>1</v>
      </c>
      <c r="AB41" s="42"/>
      <c r="AC41" s="43">
        <f t="shared" ref="AC41:AC50" si="2">SUM(L41:AB41)-J41</f>
        <v>3</v>
      </c>
      <c r="AI41" s="40"/>
      <c r="AJ41" s="40"/>
      <c r="AL41" s="40"/>
      <c r="AM41" s="40"/>
    </row>
    <row r="42" spans="8:39" ht="18.600000000000001" customHeight="1">
      <c r="I42" s="65"/>
      <c r="J42" s="56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43">
        <f t="shared" si="2"/>
        <v>0</v>
      </c>
      <c r="AI42" s="40"/>
      <c r="AJ42" s="40"/>
      <c r="AL42" s="40"/>
      <c r="AM42" s="40"/>
    </row>
    <row r="43" spans="8:39" ht="18.600000000000001" customHeight="1">
      <c r="I43" s="66"/>
      <c r="J43" s="56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43">
        <f t="shared" si="2"/>
        <v>0</v>
      </c>
      <c r="AI43" s="40"/>
      <c r="AJ43" s="40"/>
      <c r="AL43" s="40"/>
      <c r="AM43" s="40"/>
    </row>
    <row r="44" spans="8:39" ht="18.600000000000001" customHeight="1">
      <c r="I44" s="39"/>
      <c r="J44" s="56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43">
        <f t="shared" si="2"/>
        <v>0</v>
      </c>
      <c r="AJ44" s="40"/>
      <c r="AM44" s="40"/>
    </row>
    <row r="45" spans="8:39" ht="18.600000000000001" customHeight="1">
      <c r="I45" s="39"/>
      <c r="J45" s="56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43">
        <f t="shared" si="2"/>
        <v>0</v>
      </c>
      <c r="AJ45" s="40"/>
      <c r="AM45" s="40"/>
    </row>
    <row r="46" spans="8:39" ht="18.600000000000001" customHeight="1">
      <c r="I46" s="39"/>
      <c r="J46" s="56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43">
        <f t="shared" si="2"/>
        <v>0</v>
      </c>
      <c r="AJ46" s="40"/>
      <c r="AM46" s="40"/>
    </row>
    <row r="47" spans="8:39" ht="18.600000000000001" customHeight="1">
      <c r="I47" s="39"/>
      <c r="J47" s="56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43">
        <f t="shared" si="2"/>
        <v>0</v>
      </c>
      <c r="AJ47" s="40"/>
      <c r="AM47" s="40"/>
    </row>
    <row r="48" spans="8:39" ht="18.600000000000001" customHeight="1">
      <c r="I48" s="39"/>
      <c r="J48" s="24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43">
        <f t="shared" si="2"/>
        <v>0</v>
      </c>
      <c r="AJ48" s="40"/>
      <c r="AM48" s="40"/>
    </row>
    <row r="49" spans="8:39" ht="18.600000000000001" customHeight="1">
      <c r="I49" s="39"/>
      <c r="J49" s="24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43">
        <f t="shared" si="2"/>
        <v>0</v>
      </c>
      <c r="AJ49" s="40"/>
      <c r="AM49" s="40"/>
    </row>
    <row r="50" spans="8:39" ht="18.600000000000001" customHeight="1">
      <c r="I50" s="39"/>
      <c r="J50" s="24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43">
        <f t="shared" si="2"/>
        <v>0</v>
      </c>
      <c r="AJ50" s="40"/>
      <c r="AM50" s="40"/>
    </row>
    <row r="51" spans="8:39" ht="24" customHeight="1">
      <c r="J51" s="36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12"/>
      <c r="AF51" s="3"/>
    </row>
    <row r="52" spans="8:39" ht="18.95" customHeight="1">
      <c r="H52" s="16">
        <v>4</v>
      </c>
      <c r="I52" s="17" t="str">
        <f>F18</f>
        <v>Kick start construction of 66 apartment units at Montebello</v>
      </c>
      <c r="J52" s="18">
        <f>SUM(J53:J62)</f>
        <v>0</v>
      </c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19"/>
    </row>
    <row r="53" spans="8:39" ht="18.600000000000001" customHeight="1">
      <c r="I53" s="67" t="s">
        <v>47</v>
      </c>
      <c r="J53" s="56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3">
        <f t="shared" ref="AC53:AC62" si="3">SUM(L53:AB53)-J53</f>
        <v>5</v>
      </c>
      <c r="AI53" s="40"/>
      <c r="AJ53" s="40"/>
      <c r="AL53" s="40"/>
      <c r="AM53" s="40"/>
    </row>
    <row r="54" spans="8:39" ht="18.600000000000001" customHeight="1">
      <c r="I54" s="39"/>
      <c r="J54" s="56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43">
        <f t="shared" si="3"/>
        <v>0</v>
      </c>
      <c r="AI54" s="40"/>
      <c r="AJ54" s="40"/>
      <c r="AL54" s="40"/>
      <c r="AM54" s="40"/>
    </row>
    <row r="55" spans="8:39" ht="18.600000000000001" customHeight="1">
      <c r="I55" s="39"/>
      <c r="J55" s="56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43">
        <f t="shared" si="3"/>
        <v>0</v>
      </c>
      <c r="AI55" s="40"/>
      <c r="AJ55" s="40"/>
      <c r="AL55" s="40"/>
      <c r="AM55" s="40"/>
    </row>
    <row r="56" spans="8:39" ht="18.600000000000001" customHeight="1">
      <c r="I56" s="39"/>
      <c r="J56" s="56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43">
        <f t="shared" si="3"/>
        <v>0</v>
      </c>
      <c r="AJ56" s="40"/>
      <c r="AM56" s="40"/>
    </row>
    <row r="57" spans="8:39" ht="18.600000000000001" customHeight="1">
      <c r="I57" s="39"/>
      <c r="J57" s="56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43">
        <f t="shared" si="3"/>
        <v>0</v>
      </c>
      <c r="AJ57" s="40"/>
      <c r="AM57" s="40"/>
    </row>
    <row r="58" spans="8:39" ht="18.600000000000001" customHeight="1">
      <c r="I58" s="39"/>
      <c r="J58" s="56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43">
        <f t="shared" si="3"/>
        <v>0</v>
      </c>
      <c r="AJ58" s="40"/>
      <c r="AM58" s="40"/>
    </row>
    <row r="59" spans="8:39" ht="18.600000000000001" customHeight="1">
      <c r="I59" s="39"/>
      <c r="J59" s="56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43">
        <f t="shared" si="3"/>
        <v>0</v>
      </c>
      <c r="AJ59" s="40"/>
      <c r="AM59" s="40"/>
    </row>
    <row r="60" spans="8:39" ht="18.600000000000001" customHeight="1">
      <c r="I60" s="39"/>
      <c r="J60" s="24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43">
        <f t="shared" si="3"/>
        <v>0</v>
      </c>
      <c r="AJ60" s="40"/>
      <c r="AM60" s="40"/>
    </row>
    <row r="61" spans="8:39" ht="18.600000000000001" customHeight="1">
      <c r="I61" s="39"/>
      <c r="J61" s="24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43">
        <f t="shared" si="3"/>
        <v>0</v>
      </c>
      <c r="AJ61" s="40"/>
      <c r="AM61" s="40"/>
    </row>
    <row r="62" spans="8:39" ht="18.600000000000001" customHeight="1">
      <c r="I62" s="39"/>
      <c r="J62" s="24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43">
        <f t="shared" si="3"/>
        <v>0</v>
      </c>
      <c r="AJ62" s="40"/>
      <c r="AM62" s="40"/>
    </row>
    <row r="63" spans="8:39" ht="18.95" customHeight="1">
      <c r="J63" s="36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12"/>
      <c r="AJ63" s="40"/>
      <c r="AM63" s="40"/>
    </row>
    <row r="64" spans="8:39" ht="18.95" customHeight="1">
      <c r="H64" s="16">
        <v>5</v>
      </c>
      <c r="I64" s="70" t="s">
        <v>38</v>
      </c>
      <c r="J64" s="18">
        <f>SUM(J65:J70)</f>
        <v>0</v>
      </c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38"/>
      <c r="AJ64" s="40"/>
      <c r="AM64" s="40"/>
    </row>
    <row r="65" spans="9:39" ht="18.600000000000001" customHeight="1">
      <c r="I65" s="39" t="s">
        <v>48</v>
      </c>
      <c r="J65" s="56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>
        <v>1</v>
      </c>
      <c r="Z65" s="27">
        <v>1</v>
      </c>
      <c r="AA65" s="27">
        <v>1</v>
      </c>
      <c r="AB65" s="27">
        <v>1</v>
      </c>
      <c r="AC65" s="43">
        <f t="shared" ref="AC65:AC70" si="4">SUM(L65:AB65)-J65</f>
        <v>4</v>
      </c>
      <c r="AJ65" s="40"/>
      <c r="AM65" s="40"/>
    </row>
    <row r="66" spans="9:39" ht="18.600000000000001" customHeight="1">
      <c r="I66" s="39"/>
      <c r="J66" s="56"/>
      <c r="L66" s="25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43">
        <f t="shared" si="4"/>
        <v>0</v>
      </c>
      <c r="AJ66" s="40"/>
      <c r="AM66" s="40"/>
    </row>
    <row r="67" spans="9:39" ht="18.600000000000001" customHeight="1">
      <c r="I67" s="39"/>
      <c r="J67" s="56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43">
        <f t="shared" si="4"/>
        <v>0</v>
      </c>
      <c r="AJ67" s="40"/>
      <c r="AM67" s="40"/>
    </row>
    <row r="68" spans="9:39" ht="18.600000000000001" customHeight="1">
      <c r="I68" s="39"/>
      <c r="J68" s="56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43">
        <f t="shared" si="4"/>
        <v>0</v>
      </c>
      <c r="AJ68" s="40"/>
      <c r="AM68" s="40"/>
    </row>
    <row r="69" spans="9:39" ht="18.600000000000001" customHeight="1">
      <c r="I69" s="39"/>
      <c r="J69" s="56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43">
        <f t="shared" si="4"/>
        <v>0</v>
      </c>
      <c r="AJ69" s="40"/>
      <c r="AM69" s="40"/>
    </row>
    <row r="70" spans="9:39" ht="18.600000000000001" customHeight="1">
      <c r="I70" s="39"/>
      <c r="J70" s="56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43">
        <f t="shared" si="4"/>
        <v>0</v>
      </c>
      <c r="AJ70" s="40"/>
      <c r="AM70" s="40"/>
    </row>
    <row r="71" spans="9:39" ht="18.600000000000001" customHeight="1">
      <c r="I71" s="39"/>
      <c r="J71" s="56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12"/>
      <c r="AJ71" s="40"/>
      <c r="AM71" s="40"/>
    </row>
    <row r="72" spans="9:39" ht="15.6" customHeight="1">
      <c r="I72" s="44" t="s">
        <v>49</v>
      </c>
      <c r="J72" s="45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</row>
    <row r="73" spans="9:39" ht="14.45" customHeight="1">
      <c r="I73" s="46" t="s">
        <v>50</v>
      </c>
      <c r="J73" s="47">
        <f>J72+J64+J23+J5+J40+J52</f>
        <v>0</v>
      </c>
      <c r="K73" s="48"/>
      <c r="L73" s="49">
        <f t="shared" ref="L73:X73" si="5">SUM(L5:L72)</f>
        <v>0</v>
      </c>
      <c r="M73" s="49">
        <f t="shared" si="5"/>
        <v>0</v>
      </c>
      <c r="N73" s="49">
        <f t="shared" si="5"/>
        <v>0</v>
      </c>
      <c r="O73" s="49">
        <f t="shared" si="5"/>
        <v>0</v>
      </c>
      <c r="P73" s="49">
        <f t="shared" si="5"/>
        <v>0</v>
      </c>
      <c r="Q73" s="49">
        <f t="shared" si="5"/>
        <v>0</v>
      </c>
      <c r="R73" s="49">
        <f t="shared" si="5"/>
        <v>0</v>
      </c>
      <c r="S73" s="49">
        <f t="shared" si="5"/>
        <v>0</v>
      </c>
      <c r="T73" s="49">
        <f t="shared" si="5"/>
        <v>0</v>
      </c>
      <c r="U73" s="49">
        <f t="shared" si="5"/>
        <v>0</v>
      </c>
      <c r="V73" s="49">
        <f t="shared" si="5"/>
        <v>0</v>
      </c>
      <c r="W73" s="49">
        <f t="shared" si="5"/>
        <v>2</v>
      </c>
      <c r="X73" s="49">
        <f t="shared" si="5"/>
        <v>4</v>
      </c>
      <c r="Y73" s="49">
        <f t="shared" ref="Y73:AB73" si="6">SUM(Y5:Y72)</f>
        <v>5</v>
      </c>
      <c r="Z73" s="49">
        <f t="shared" si="6"/>
        <v>5</v>
      </c>
      <c r="AA73" s="49">
        <f t="shared" si="6"/>
        <v>3</v>
      </c>
      <c r="AB73" s="49">
        <f t="shared" si="6"/>
        <v>2</v>
      </c>
      <c r="AC73" s="12" t="s">
        <v>22</v>
      </c>
    </row>
    <row r="74" spans="9:39" ht="14.45" customHeight="1">
      <c r="I74" s="46" t="s">
        <v>51</v>
      </c>
      <c r="J74" s="63">
        <f>J79*J80</f>
        <v>40</v>
      </c>
      <c r="K74" s="48"/>
      <c r="L74" s="49">
        <f t="shared" ref="L74:AB74" si="7">$J$74*L75</f>
        <v>40</v>
      </c>
      <c r="M74" s="49">
        <f t="shared" si="7"/>
        <v>40</v>
      </c>
      <c r="N74" s="49">
        <f t="shared" si="7"/>
        <v>40</v>
      </c>
      <c r="O74" s="49">
        <f t="shared" si="7"/>
        <v>40</v>
      </c>
      <c r="P74" s="49">
        <f t="shared" si="7"/>
        <v>40</v>
      </c>
      <c r="Q74" s="49">
        <f t="shared" si="7"/>
        <v>40</v>
      </c>
      <c r="R74" s="49">
        <f t="shared" si="7"/>
        <v>40</v>
      </c>
      <c r="S74" s="49">
        <f t="shared" si="7"/>
        <v>40</v>
      </c>
      <c r="T74" s="49">
        <f t="shared" si="7"/>
        <v>40</v>
      </c>
      <c r="U74" s="49">
        <f t="shared" si="7"/>
        <v>40</v>
      </c>
      <c r="V74" s="49">
        <f t="shared" si="7"/>
        <v>40</v>
      </c>
      <c r="W74" s="49">
        <f t="shared" si="7"/>
        <v>40</v>
      </c>
      <c r="X74" s="49">
        <f t="shared" si="7"/>
        <v>40</v>
      </c>
      <c r="Y74" s="49">
        <f t="shared" si="7"/>
        <v>40</v>
      </c>
      <c r="Z74" s="49">
        <f t="shared" si="7"/>
        <v>40</v>
      </c>
      <c r="AA74" s="49">
        <f t="shared" si="7"/>
        <v>40</v>
      </c>
      <c r="AB74" s="49">
        <f t="shared" si="7"/>
        <v>40</v>
      </c>
      <c r="AC74" s="12" t="s">
        <v>22</v>
      </c>
    </row>
    <row r="75" spans="9:39" ht="14.45" customHeight="1">
      <c r="I75" s="46" t="s">
        <v>22</v>
      </c>
      <c r="K75" s="48"/>
      <c r="L75" s="50">
        <v>1</v>
      </c>
      <c r="M75" s="50">
        <v>1</v>
      </c>
      <c r="N75" s="50">
        <v>1</v>
      </c>
      <c r="O75" s="50">
        <v>1</v>
      </c>
      <c r="P75" s="50">
        <v>1</v>
      </c>
      <c r="Q75" s="50">
        <v>1</v>
      </c>
      <c r="R75" s="50">
        <v>1</v>
      </c>
      <c r="S75" s="50">
        <v>1</v>
      </c>
      <c r="T75" s="50">
        <v>1</v>
      </c>
      <c r="U75" s="50">
        <v>1</v>
      </c>
      <c r="V75" s="50">
        <v>1</v>
      </c>
      <c r="W75" s="50">
        <v>1</v>
      </c>
      <c r="X75" s="50">
        <v>1</v>
      </c>
      <c r="Y75" s="50">
        <v>1</v>
      </c>
      <c r="Z75" s="50">
        <v>1</v>
      </c>
      <c r="AA75" s="50">
        <v>1</v>
      </c>
      <c r="AB75" s="50">
        <v>1</v>
      </c>
      <c r="AC75" s="12"/>
    </row>
    <row r="76" spans="9:39" ht="14.45" customHeight="1">
      <c r="I76" s="46" t="s">
        <v>52</v>
      </c>
      <c r="J76" s="64">
        <f>SUM(L76:AB76)</f>
        <v>659</v>
      </c>
      <c r="K76" s="48"/>
      <c r="L76" s="51">
        <f t="shared" ref="L76:X76" si="8">L74-L73</f>
        <v>40</v>
      </c>
      <c r="M76" s="51">
        <f t="shared" si="8"/>
        <v>40</v>
      </c>
      <c r="N76" s="51">
        <f t="shared" si="8"/>
        <v>40</v>
      </c>
      <c r="O76" s="51">
        <f t="shared" si="8"/>
        <v>40</v>
      </c>
      <c r="P76" s="51">
        <f t="shared" si="8"/>
        <v>40</v>
      </c>
      <c r="Q76" s="51">
        <f t="shared" si="8"/>
        <v>40</v>
      </c>
      <c r="R76" s="51">
        <f t="shared" si="8"/>
        <v>40</v>
      </c>
      <c r="S76" s="51">
        <f t="shared" si="8"/>
        <v>40</v>
      </c>
      <c r="T76" s="51">
        <f t="shared" si="8"/>
        <v>40</v>
      </c>
      <c r="U76" s="51">
        <f t="shared" si="8"/>
        <v>40</v>
      </c>
      <c r="V76" s="51">
        <f t="shared" si="8"/>
        <v>40</v>
      </c>
      <c r="W76" s="51">
        <f t="shared" si="8"/>
        <v>38</v>
      </c>
      <c r="X76" s="51">
        <f t="shared" si="8"/>
        <v>36</v>
      </c>
      <c r="Y76" s="51">
        <f t="shared" ref="Y76:AB76" si="9">Y74-Y73</f>
        <v>35</v>
      </c>
      <c r="Z76" s="51">
        <f t="shared" si="9"/>
        <v>35</v>
      </c>
      <c r="AA76" s="51">
        <f t="shared" si="9"/>
        <v>37</v>
      </c>
      <c r="AB76" s="51">
        <f t="shared" si="9"/>
        <v>38</v>
      </c>
      <c r="AC76" s="12"/>
    </row>
    <row r="77" spans="9:39" ht="15.6" customHeight="1">
      <c r="I77" s="52" t="s">
        <v>53</v>
      </c>
      <c r="J77" s="53">
        <f>J76-J73</f>
        <v>659</v>
      </c>
      <c r="L77" s="62" t="s">
        <v>5</v>
      </c>
      <c r="M77" s="62" t="s">
        <v>6</v>
      </c>
      <c r="N77" s="62" t="s">
        <v>7</v>
      </c>
      <c r="O77" s="62" t="s">
        <v>8</v>
      </c>
      <c r="P77" s="62" t="s">
        <v>9</v>
      </c>
      <c r="Q77" s="62" t="s">
        <v>10</v>
      </c>
      <c r="R77" s="62" t="s">
        <v>11</v>
      </c>
      <c r="S77" s="62" t="s">
        <v>12</v>
      </c>
      <c r="T77" s="62" t="s">
        <v>13</v>
      </c>
      <c r="U77" s="62" t="s">
        <v>14</v>
      </c>
      <c r="V77" s="62" t="s">
        <v>15</v>
      </c>
      <c r="W77" s="62" t="s">
        <v>16</v>
      </c>
      <c r="X77" s="62" t="s">
        <v>17</v>
      </c>
      <c r="Y77" s="62" t="s">
        <v>18</v>
      </c>
      <c r="Z77" s="62" t="s">
        <v>19</v>
      </c>
      <c r="AA77" s="62" t="s">
        <v>20</v>
      </c>
      <c r="AB77" s="62" t="s">
        <v>21</v>
      </c>
    </row>
    <row r="78" spans="9:39" ht="14.45" customHeight="1">
      <c r="I78" s="46" t="s">
        <v>54</v>
      </c>
      <c r="J78" s="54">
        <v>17</v>
      </c>
    </row>
    <row r="79" spans="9:39" s="11" customFormat="1" ht="14.45" customHeight="1">
      <c r="I79" s="46" t="s">
        <v>55</v>
      </c>
      <c r="J79" s="54">
        <v>8</v>
      </c>
    </row>
    <row r="80" spans="9:39" s="11" customFormat="1" ht="14.45" customHeight="1">
      <c r="I80" s="46" t="s">
        <v>56</v>
      </c>
      <c r="J80" s="54">
        <v>5</v>
      </c>
    </row>
    <row r="81" spans="9:10" s="11" customFormat="1" ht="14.45" customHeight="1">
      <c r="I81" s="5"/>
      <c r="J81" s="55">
        <f>J78*J79*J80</f>
        <v>680</v>
      </c>
    </row>
  </sheetData>
  <mergeCells count="4">
    <mergeCell ref="L3:O3"/>
    <mergeCell ref="P3:T3"/>
    <mergeCell ref="U3:X3"/>
    <mergeCell ref="Y3:AB3"/>
  </mergeCells>
  <phoneticPr fontId="5" type="noConversion"/>
  <conditionalFormatting sqref="J77 L76:AB76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AC41:AC51 AC53:AC63 AC65:AC71 AC24:AC39 AC6:AC22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xmlns="" id="ms-officescript%3A%2F%2Fonedrive_business_itemlink%2F01BUVZPP2EM7X7J5DTGFBYOXJI4DDSC6IG:ms-officescript%3A%2F%2Fonedrive_business_sharinglink%2Fu!aHR0cHM6Ly9mYXN0dHJhY2tnbG9iYWxsdGQtbXkuc2hhcmVwb2ludC5jb20vOnU6L2cvcGVyc29uYWwvYWZyb2RpdGFfZmFzdHRyYWNrLWV1cm9wZV9jb20vRVVSbjdfVDBjekZEaDEwbzRNY2hlUVlCQWFUaE9VTUVKQjRTU3pkWnZuNjVCZw"/>
</scriptIds>
</file>

<file path=customXml/itemProps1.xml><?xml version="1.0" encoding="utf-8"?>
<ds:datastoreItem xmlns:ds="http://schemas.openxmlformats.org/officeDocument/2006/customXml" ds:itemID="{C99ED16A-CE2D-4835-B7FB-20B7D386E2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Afrodita Dobreva</dc:creator>
  <cp:keywords/>
  <dc:description/>
  <cp:lastModifiedBy>Guest User</cp:lastModifiedBy>
  <cp:revision/>
  <dcterms:created xsi:type="dcterms:W3CDTF">2022-05-10T06:49:55Z</dcterms:created>
  <dcterms:modified xsi:type="dcterms:W3CDTF">2025-02-20T13:45:05Z</dcterms:modified>
  <cp:category/>
  <cp:contentStatus/>
</cp:coreProperties>
</file>